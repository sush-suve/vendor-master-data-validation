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afe3c25e3dfb95/Documents/"/>
    </mc:Choice>
  </mc:AlternateContent>
  <xr:revisionPtr revIDLastSave="17" documentId="13_ncr:1_{3D18486C-A20F-4CB5-949F-A06FE374BD70}" xr6:coauthVersionLast="47" xr6:coauthVersionMax="47" xr10:uidLastSave="{1A9E1F0B-D8DC-4A24-9C16-C606C9259FA6}"/>
  <bookViews>
    <workbookView xWindow="-108" yWindow="-108" windowWidth="23256" windowHeight="12456" activeTab="1" xr2:uid="{08EE9A72-982F-43B5-8B74-52767D0AE0E0}"/>
  </bookViews>
  <sheets>
    <sheet name="raw_data" sheetId="1" r:id="rId1"/>
    <sheet name="validated_data" sheetId="2" r:id="rId2"/>
    <sheet name="reference_data" sheetId="5" r:id="rId3"/>
    <sheet name="issue_log" sheetId="3" r:id="rId4"/>
    <sheet name="Cleaned_Data" sheetId="6" r:id="rId5"/>
    <sheet name="summary_dashboard" sheetId="4" r:id="rId6"/>
  </sheets>
  <definedNames>
    <definedName name="_xlnm._FilterDatabase" localSheetId="1" hidden="1">validated_data!$E$1:$E$951</definedName>
  </definedNames>
  <calcPr calcId="191029"/>
</workbook>
</file>

<file path=xl/calcChain.xml><?xml version="1.0" encoding="utf-8"?>
<calcChain xmlns="http://schemas.openxmlformats.org/spreadsheetml/2006/main">
  <c r="C21" i="4" l="1"/>
  <c r="P904" i="2"/>
  <c r="P888" i="2"/>
  <c r="P869" i="2"/>
  <c r="P840" i="2"/>
  <c r="P824" i="2"/>
  <c r="P821" i="2"/>
  <c r="P805" i="2"/>
  <c r="P776" i="2"/>
  <c r="P760" i="2"/>
  <c r="P757" i="2"/>
  <c r="P741" i="2"/>
  <c r="P712" i="2"/>
  <c r="P696" i="2"/>
  <c r="P693" i="2"/>
  <c r="P677" i="2"/>
  <c r="P648" i="2"/>
  <c r="P632" i="2"/>
  <c r="P629" i="2"/>
  <c r="P613" i="2"/>
  <c r="P584" i="2"/>
  <c r="P568" i="2"/>
  <c r="P565" i="2"/>
  <c r="P549" i="2"/>
  <c r="P520" i="2"/>
  <c r="P504" i="2"/>
  <c r="P501" i="2"/>
  <c r="P485" i="2"/>
  <c r="P456" i="2"/>
  <c r="P440" i="2"/>
  <c r="P437" i="2"/>
  <c r="P421" i="2"/>
  <c r="P392" i="2"/>
  <c r="P376" i="2"/>
  <c r="P373" i="2"/>
  <c r="P357" i="2"/>
  <c r="P328" i="2"/>
  <c r="P312" i="2"/>
  <c r="P309" i="2"/>
  <c r="P293" i="2"/>
  <c r="P271" i="2"/>
  <c r="P269" i="2"/>
  <c r="P263" i="2"/>
  <c r="P261" i="2"/>
  <c r="P255" i="2"/>
  <c r="P253" i="2"/>
  <c r="P247" i="2"/>
  <c r="P245" i="2"/>
  <c r="P239" i="2"/>
  <c r="P237" i="2"/>
  <c r="P231" i="2"/>
  <c r="P229" i="2"/>
  <c r="P223" i="2"/>
  <c r="P221" i="2"/>
  <c r="P215" i="2"/>
  <c r="P213" i="2"/>
  <c r="P207" i="2"/>
  <c r="P205" i="2"/>
  <c r="P199" i="2"/>
  <c r="P197" i="2"/>
  <c r="P191" i="2"/>
  <c r="P189" i="2"/>
  <c r="P183" i="2"/>
  <c r="P181" i="2"/>
  <c r="P175" i="2"/>
  <c r="P173" i="2"/>
  <c r="P167" i="2"/>
  <c r="P165" i="2"/>
  <c r="P159" i="2"/>
  <c r="P157" i="2"/>
  <c r="P151" i="2"/>
  <c r="P149" i="2"/>
  <c r="P143" i="2"/>
  <c r="P141" i="2"/>
  <c r="P135" i="2"/>
  <c r="P133" i="2"/>
  <c r="P127" i="2"/>
  <c r="P125" i="2"/>
  <c r="P119" i="2"/>
  <c r="P117" i="2"/>
  <c r="P111" i="2"/>
  <c r="P109" i="2"/>
  <c r="P103" i="2"/>
  <c r="P101" i="2"/>
  <c r="P95" i="2"/>
  <c r="P93" i="2"/>
  <c r="P87" i="2"/>
  <c r="P85" i="2"/>
  <c r="P79" i="2"/>
  <c r="P77" i="2"/>
  <c r="P71" i="2"/>
  <c r="P69" i="2"/>
  <c r="P63" i="2"/>
  <c r="P61" i="2"/>
  <c r="P55" i="2"/>
  <c r="P53" i="2"/>
  <c r="P47" i="2"/>
  <c r="P45" i="2"/>
  <c r="P39" i="2"/>
  <c r="P37" i="2"/>
  <c r="P31" i="2"/>
  <c r="P29" i="2"/>
  <c r="P23" i="2"/>
  <c r="P21" i="2"/>
  <c r="P15" i="2"/>
  <c r="P13" i="2"/>
  <c r="P7" i="2"/>
  <c r="P5" i="2"/>
  <c r="Q2" i="2"/>
  <c r="N2" i="2" s="1"/>
  <c r="P2" i="2" s="1"/>
  <c r="Q3" i="2"/>
  <c r="N3" i="2" s="1"/>
  <c r="P3" i="2" s="1"/>
  <c r="Q4" i="2"/>
  <c r="N4" i="2" s="1"/>
  <c r="P4" i="2" s="1"/>
  <c r="Q5" i="2"/>
  <c r="N5" i="2" s="1"/>
  <c r="Q6" i="2"/>
  <c r="N6" i="2" s="1"/>
  <c r="P6" i="2" s="1"/>
  <c r="Q7" i="2"/>
  <c r="N7" i="2" s="1"/>
  <c r="Q8" i="2"/>
  <c r="N8" i="2" s="1"/>
  <c r="P8" i="2" s="1"/>
  <c r="Q9" i="2"/>
  <c r="N9" i="2" s="1"/>
  <c r="P9" i="2" s="1"/>
  <c r="Q10" i="2"/>
  <c r="N10" i="2" s="1"/>
  <c r="P10" i="2" s="1"/>
  <c r="Q11" i="2"/>
  <c r="N11" i="2" s="1"/>
  <c r="P11" i="2" s="1"/>
  <c r="Q12" i="2"/>
  <c r="N12" i="2" s="1"/>
  <c r="P12" i="2" s="1"/>
  <c r="Q13" i="2"/>
  <c r="N13" i="2" s="1"/>
  <c r="Q14" i="2"/>
  <c r="N14" i="2" s="1"/>
  <c r="P14" i="2" s="1"/>
  <c r="Q15" i="2"/>
  <c r="N15" i="2" s="1"/>
  <c r="Q16" i="2"/>
  <c r="N16" i="2" s="1"/>
  <c r="P16" i="2" s="1"/>
  <c r="Q17" i="2"/>
  <c r="N17" i="2" s="1"/>
  <c r="P17" i="2" s="1"/>
  <c r="Q18" i="2"/>
  <c r="N18" i="2" s="1"/>
  <c r="P18" i="2" s="1"/>
  <c r="Q19" i="2"/>
  <c r="N19" i="2" s="1"/>
  <c r="P19" i="2" s="1"/>
  <c r="Q20" i="2"/>
  <c r="N20" i="2" s="1"/>
  <c r="P20" i="2" s="1"/>
  <c r="Q21" i="2"/>
  <c r="N21" i="2" s="1"/>
  <c r="Q22" i="2"/>
  <c r="N22" i="2" s="1"/>
  <c r="P22" i="2" s="1"/>
  <c r="Q23" i="2"/>
  <c r="N23" i="2" s="1"/>
  <c r="Q24" i="2"/>
  <c r="N24" i="2" s="1"/>
  <c r="P24" i="2" s="1"/>
  <c r="Q25" i="2"/>
  <c r="N25" i="2" s="1"/>
  <c r="P25" i="2" s="1"/>
  <c r="Q26" i="2"/>
  <c r="N26" i="2" s="1"/>
  <c r="P26" i="2" s="1"/>
  <c r="Q27" i="2"/>
  <c r="N27" i="2" s="1"/>
  <c r="P27" i="2" s="1"/>
  <c r="Q28" i="2"/>
  <c r="N28" i="2" s="1"/>
  <c r="P28" i="2" s="1"/>
  <c r="Q29" i="2"/>
  <c r="N29" i="2" s="1"/>
  <c r="Q30" i="2"/>
  <c r="N30" i="2" s="1"/>
  <c r="P30" i="2" s="1"/>
  <c r="Q31" i="2"/>
  <c r="N31" i="2" s="1"/>
  <c r="Q32" i="2"/>
  <c r="N32" i="2" s="1"/>
  <c r="P32" i="2" s="1"/>
  <c r="Q33" i="2"/>
  <c r="N33" i="2" s="1"/>
  <c r="P33" i="2" s="1"/>
  <c r="Q34" i="2"/>
  <c r="N34" i="2" s="1"/>
  <c r="P34" i="2" s="1"/>
  <c r="Q35" i="2"/>
  <c r="N35" i="2" s="1"/>
  <c r="P35" i="2" s="1"/>
  <c r="Q36" i="2"/>
  <c r="N36" i="2" s="1"/>
  <c r="P36" i="2" s="1"/>
  <c r="Q37" i="2"/>
  <c r="N37" i="2" s="1"/>
  <c r="Q38" i="2"/>
  <c r="N38" i="2" s="1"/>
  <c r="P38" i="2" s="1"/>
  <c r="Q39" i="2"/>
  <c r="N39" i="2" s="1"/>
  <c r="Q40" i="2"/>
  <c r="N40" i="2" s="1"/>
  <c r="P40" i="2" s="1"/>
  <c r="Q41" i="2"/>
  <c r="N41" i="2" s="1"/>
  <c r="P41" i="2" s="1"/>
  <c r="Q42" i="2"/>
  <c r="N42" i="2" s="1"/>
  <c r="P42" i="2" s="1"/>
  <c r="Q43" i="2"/>
  <c r="N43" i="2" s="1"/>
  <c r="P43" i="2" s="1"/>
  <c r="Q44" i="2"/>
  <c r="N44" i="2" s="1"/>
  <c r="P44" i="2" s="1"/>
  <c r="Q45" i="2"/>
  <c r="N45" i="2" s="1"/>
  <c r="Q46" i="2"/>
  <c r="N46" i="2" s="1"/>
  <c r="P46" i="2" s="1"/>
  <c r="Q47" i="2"/>
  <c r="N47" i="2" s="1"/>
  <c r="Q48" i="2"/>
  <c r="N48" i="2" s="1"/>
  <c r="P48" i="2" s="1"/>
  <c r="Q49" i="2"/>
  <c r="N49" i="2" s="1"/>
  <c r="P49" i="2" s="1"/>
  <c r="Q50" i="2"/>
  <c r="N50" i="2" s="1"/>
  <c r="P50" i="2" s="1"/>
  <c r="Q51" i="2"/>
  <c r="N51" i="2" s="1"/>
  <c r="P51" i="2" s="1"/>
  <c r="Q52" i="2"/>
  <c r="N52" i="2" s="1"/>
  <c r="P52" i="2" s="1"/>
  <c r="Q53" i="2"/>
  <c r="N53" i="2" s="1"/>
  <c r="Q54" i="2"/>
  <c r="N54" i="2" s="1"/>
  <c r="P54" i="2" s="1"/>
  <c r="Q55" i="2"/>
  <c r="N55" i="2" s="1"/>
  <c r="Q56" i="2"/>
  <c r="N56" i="2" s="1"/>
  <c r="P56" i="2" s="1"/>
  <c r="Q57" i="2"/>
  <c r="N57" i="2" s="1"/>
  <c r="P57" i="2" s="1"/>
  <c r="Q58" i="2"/>
  <c r="N58" i="2" s="1"/>
  <c r="P58" i="2" s="1"/>
  <c r="Q59" i="2"/>
  <c r="N59" i="2" s="1"/>
  <c r="P59" i="2" s="1"/>
  <c r="Q60" i="2"/>
  <c r="N60" i="2" s="1"/>
  <c r="P60" i="2" s="1"/>
  <c r="Q61" i="2"/>
  <c r="N61" i="2" s="1"/>
  <c r="Q62" i="2"/>
  <c r="N62" i="2" s="1"/>
  <c r="P62" i="2" s="1"/>
  <c r="Q63" i="2"/>
  <c r="N63" i="2" s="1"/>
  <c r="Q64" i="2"/>
  <c r="N64" i="2" s="1"/>
  <c r="P64" i="2" s="1"/>
  <c r="Q65" i="2"/>
  <c r="N65" i="2" s="1"/>
  <c r="P65" i="2" s="1"/>
  <c r="Q66" i="2"/>
  <c r="N66" i="2" s="1"/>
  <c r="P66" i="2" s="1"/>
  <c r="Q67" i="2"/>
  <c r="N67" i="2" s="1"/>
  <c r="P67" i="2" s="1"/>
  <c r="Q68" i="2"/>
  <c r="N68" i="2" s="1"/>
  <c r="P68" i="2" s="1"/>
  <c r="Q69" i="2"/>
  <c r="N69" i="2" s="1"/>
  <c r="Q70" i="2"/>
  <c r="N70" i="2" s="1"/>
  <c r="P70" i="2" s="1"/>
  <c r="Q71" i="2"/>
  <c r="N71" i="2" s="1"/>
  <c r="Q72" i="2"/>
  <c r="N72" i="2" s="1"/>
  <c r="P72" i="2" s="1"/>
  <c r="Q73" i="2"/>
  <c r="N73" i="2" s="1"/>
  <c r="P73" i="2" s="1"/>
  <c r="Q74" i="2"/>
  <c r="N74" i="2" s="1"/>
  <c r="P74" i="2" s="1"/>
  <c r="Q75" i="2"/>
  <c r="N75" i="2" s="1"/>
  <c r="P75" i="2" s="1"/>
  <c r="Q76" i="2"/>
  <c r="N76" i="2" s="1"/>
  <c r="P76" i="2" s="1"/>
  <c r="Q77" i="2"/>
  <c r="N77" i="2" s="1"/>
  <c r="Q78" i="2"/>
  <c r="N78" i="2" s="1"/>
  <c r="P78" i="2" s="1"/>
  <c r="Q79" i="2"/>
  <c r="N79" i="2" s="1"/>
  <c r="Q80" i="2"/>
  <c r="N80" i="2" s="1"/>
  <c r="P80" i="2" s="1"/>
  <c r="Q81" i="2"/>
  <c r="N81" i="2" s="1"/>
  <c r="P81" i="2" s="1"/>
  <c r="Q82" i="2"/>
  <c r="N82" i="2" s="1"/>
  <c r="P82" i="2" s="1"/>
  <c r="Q83" i="2"/>
  <c r="N83" i="2" s="1"/>
  <c r="P83" i="2" s="1"/>
  <c r="Q84" i="2"/>
  <c r="N84" i="2" s="1"/>
  <c r="P84" i="2" s="1"/>
  <c r="Q85" i="2"/>
  <c r="N85" i="2" s="1"/>
  <c r="Q86" i="2"/>
  <c r="N86" i="2" s="1"/>
  <c r="P86" i="2" s="1"/>
  <c r="Q87" i="2"/>
  <c r="N87" i="2" s="1"/>
  <c r="Q88" i="2"/>
  <c r="N88" i="2" s="1"/>
  <c r="P88" i="2" s="1"/>
  <c r="Q89" i="2"/>
  <c r="N89" i="2" s="1"/>
  <c r="P89" i="2" s="1"/>
  <c r="Q90" i="2"/>
  <c r="N90" i="2" s="1"/>
  <c r="P90" i="2" s="1"/>
  <c r="Q91" i="2"/>
  <c r="N91" i="2" s="1"/>
  <c r="P91" i="2" s="1"/>
  <c r="Q92" i="2"/>
  <c r="N92" i="2" s="1"/>
  <c r="P92" i="2" s="1"/>
  <c r="Q93" i="2"/>
  <c r="N93" i="2" s="1"/>
  <c r="Q94" i="2"/>
  <c r="N94" i="2" s="1"/>
  <c r="P94" i="2" s="1"/>
  <c r="Q95" i="2"/>
  <c r="N95" i="2" s="1"/>
  <c r="Q96" i="2"/>
  <c r="N96" i="2" s="1"/>
  <c r="P96" i="2" s="1"/>
  <c r="Q97" i="2"/>
  <c r="N97" i="2" s="1"/>
  <c r="P97" i="2" s="1"/>
  <c r="Q98" i="2"/>
  <c r="N98" i="2" s="1"/>
  <c r="P98" i="2" s="1"/>
  <c r="Q99" i="2"/>
  <c r="N99" i="2" s="1"/>
  <c r="P99" i="2" s="1"/>
  <c r="Q100" i="2"/>
  <c r="N100" i="2" s="1"/>
  <c r="P100" i="2" s="1"/>
  <c r="Q101" i="2"/>
  <c r="N101" i="2" s="1"/>
  <c r="Q102" i="2"/>
  <c r="N102" i="2" s="1"/>
  <c r="P102" i="2" s="1"/>
  <c r="Q103" i="2"/>
  <c r="N103" i="2" s="1"/>
  <c r="Q104" i="2"/>
  <c r="N104" i="2" s="1"/>
  <c r="P104" i="2" s="1"/>
  <c r="Q105" i="2"/>
  <c r="N105" i="2" s="1"/>
  <c r="P105" i="2" s="1"/>
  <c r="Q106" i="2"/>
  <c r="N106" i="2" s="1"/>
  <c r="P106" i="2" s="1"/>
  <c r="Q107" i="2"/>
  <c r="N107" i="2" s="1"/>
  <c r="P107" i="2" s="1"/>
  <c r="Q108" i="2"/>
  <c r="N108" i="2" s="1"/>
  <c r="P108" i="2" s="1"/>
  <c r="Q109" i="2"/>
  <c r="N109" i="2" s="1"/>
  <c r="Q110" i="2"/>
  <c r="N110" i="2" s="1"/>
  <c r="P110" i="2" s="1"/>
  <c r="Q111" i="2"/>
  <c r="N111" i="2" s="1"/>
  <c r="Q112" i="2"/>
  <c r="N112" i="2" s="1"/>
  <c r="P112" i="2" s="1"/>
  <c r="Q113" i="2"/>
  <c r="N113" i="2" s="1"/>
  <c r="P113" i="2" s="1"/>
  <c r="Q114" i="2"/>
  <c r="N114" i="2" s="1"/>
  <c r="P114" i="2" s="1"/>
  <c r="Q115" i="2"/>
  <c r="N115" i="2" s="1"/>
  <c r="P115" i="2" s="1"/>
  <c r="Q116" i="2"/>
  <c r="N116" i="2" s="1"/>
  <c r="P116" i="2" s="1"/>
  <c r="Q117" i="2"/>
  <c r="N117" i="2" s="1"/>
  <c r="Q118" i="2"/>
  <c r="N118" i="2" s="1"/>
  <c r="P118" i="2" s="1"/>
  <c r="Q119" i="2"/>
  <c r="N119" i="2" s="1"/>
  <c r="Q120" i="2"/>
  <c r="O120" i="2" s="1"/>
  <c r="Q121" i="2"/>
  <c r="N121" i="2" s="1"/>
  <c r="P121" i="2" s="1"/>
  <c r="Q122" i="2"/>
  <c r="N122" i="2" s="1"/>
  <c r="P122" i="2" s="1"/>
  <c r="Q123" i="2"/>
  <c r="N123" i="2" s="1"/>
  <c r="P123" i="2" s="1"/>
  <c r="Q124" i="2"/>
  <c r="N124" i="2" s="1"/>
  <c r="P124" i="2" s="1"/>
  <c r="Q125" i="2"/>
  <c r="N125" i="2" s="1"/>
  <c r="Q126" i="2"/>
  <c r="N126" i="2" s="1"/>
  <c r="P126" i="2" s="1"/>
  <c r="Q127" i="2"/>
  <c r="N127" i="2" s="1"/>
  <c r="Q128" i="2"/>
  <c r="O128" i="2" s="1"/>
  <c r="Q129" i="2"/>
  <c r="N129" i="2" s="1"/>
  <c r="P129" i="2" s="1"/>
  <c r="Q130" i="2"/>
  <c r="N130" i="2" s="1"/>
  <c r="P130" i="2" s="1"/>
  <c r="Q131" i="2"/>
  <c r="N131" i="2" s="1"/>
  <c r="P131" i="2" s="1"/>
  <c r="Q132" i="2"/>
  <c r="N132" i="2" s="1"/>
  <c r="P132" i="2" s="1"/>
  <c r="Q133" i="2"/>
  <c r="N133" i="2" s="1"/>
  <c r="Q134" i="2"/>
  <c r="N134" i="2" s="1"/>
  <c r="P134" i="2" s="1"/>
  <c r="Q135" i="2"/>
  <c r="N135" i="2" s="1"/>
  <c r="Q136" i="2"/>
  <c r="N136" i="2" s="1"/>
  <c r="P136" i="2" s="1"/>
  <c r="Q137" i="2"/>
  <c r="N137" i="2" s="1"/>
  <c r="P137" i="2" s="1"/>
  <c r="Q138" i="2"/>
  <c r="N138" i="2" s="1"/>
  <c r="P138" i="2" s="1"/>
  <c r="Q139" i="2"/>
  <c r="N139" i="2" s="1"/>
  <c r="P139" i="2" s="1"/>
  <c r="Q140" i="2"/>
  <c r="N140" i="2" s="1"/>
  <c r="P140" i="2" s="1"/>
  <c r="Q141" i="2"/>
  <c r="N141" i="2" s="1"/>
  <c r="Q142" i="2"/>
  <c r="N142" i="2" s="1"/>
  <c r="P142" i="2" s="1"/>
  <c r="Q143" i="2"/>
  <c r="N143" i="2" s="1"/>
  <c r="Q144" i="2"/>
  <c r="N144" i="2" s="1"/>
  <c r="P144" i="2" s="1"/>
  <c r="Q145" i="2"/>
  <c r="N145" i="2" s="1"/>
  <c r="P145" i="2" s="1"/>
  <c r="Q146" i="2"/>
  <c r="N146" i="2" s="1"/>
  <c r="P146" i="2" s="1"/>
  <c r="Q147" i="2"/>
  <c r="N147" i="2" s="1"/>
  <c r="P147" i="2" s="1"/>
  <c r="Q148" i="2"/>
  <c r="N148" i="2" s="1"/>
  <c r="P148" i="2" s="1"/>
  <c r="Q149" i="2"/>
  <c r="N149" i="2" s="1"/>
  <c r="Q150" i="2"/>
  <c r="N150" i="2" s="1"/>
  <c r="P150" i="2" s="1"/>
  <c r="Q151" i="2"/>
  <c r="N151" i="2" s="1"/>
  <c r="Q152" i="2"/>
  <c r="N152" i="2" s="1"/>
  <c r="P152" i="2" s="1"/>
  <c r="Q153" i="2"/>
  <c r="N153" i="2" s="1"/>
  <c r="P153" i="2" s="1"/>
  <c r="Q154" i="2"/>
  <c r="N154" i="2" s="1"/>
  <c r="P154" i="2" s="1"/>
  <c r="Q155" i="2"/>
  <c r="N155" i="2" s="1"/>
  <c r="P155" i="2" s="1"/>
  <c r="Q156" i="2"/>
  <c r="N156" i="2" s="1"/>
  <c r="P156" i="2" s="1"/>
  <c r="Q157" i="2"/>
  <c r="N157" i="2" s="1"/>
  <c r="Q158" i="2"/>
  <c r="N158" i="2" s="1"/>
  <c r="P158" i="2" s="1"/>
  <c r="Q159" i="2"/>
  <c r="N159" i="2" s="1"/>
  <c r="Q160" i="2"/>
  <c r="N160" i="2" s="1"/>
  <c r="P160" i="2" s="1"/>
  <c r="Q161" i="2"/>
  <c r="N161" i="2" s="1"/>
  <c r="P161" i="2" s="1"/>
  <c r="Q162" i="2"/>
  <c r="N162" i="2" s="1"/>
  <c r="P162" i="2" s="1"/>
  <c r="Q163" i="2"/>
  <c r="N163" i="2" s="1"/>
  <c r="P163" i="2" s="1"/>
  <c r="Q164" i="2"/>
  <c r="N164" i="2" s="1"/>
  <c r="P164" i="2" s="1"/>
  <c r="Q165" i="2"/>
  <c r="N165" i="2" s="1"/>
  <c r="Q166" i="2"/>
  <c r="N166" i="2" s="1"/>
  <c r="P166" i="2" s="1"/>
  <c r="Q167" i="2"/>
  <c r="N167" i="2" s="1"/>
  <c r="Q168" i="2"/>
  <c r="N168" i="2" s="1"/>
  <c r="P168" i="2" s="1"/>
  <c r="Q169" i="2"/>
  <c r="N169" i="2" s="1"/>
  <c r="P169" i="2" s="1"/>
  <c r="Q170" i="2"/>
  <c r="N170" i="2" s="1"/>
  <c r="P170" i="2" s="1"/>
  <c r="Q171" i="2"/>
  <c r="N171" i="2" s="1"/>
  <c r="P171" i="2" s="1"/>
  <c r="Q172" i="2"/>
  <c r="N172" i="2" s="1"/>
  <c r="P172" i="2" s="1"/>
  <c r="Q173" i="2"/>
  <c r="N173" i="2" s="1"/>
  <c r="Q174" i="2"/>
  <c r="N174" i="2" s="1"/>
  <c r="P174" i="2" s="1"/>
  <c r="Q175" i="2"/>
  <c r="N175" i="2" s="1"/>
  <c r="Q176" i="2"/>
  <c r="N176" i="2" s="1"/>
  <c r="P176" i="2" s="1"/>
  <c r="Q177" i="2"/>
  <c r="N177" i="2" s="1"/>
  <c r="P177" i="2" s="1"/>
  <c r="Q178" i="2"/>
  <c r="N178" i="2" s="1"/>
  <c r="P178" i="2" s="1"/>
  <c r="Q179" i="2"/>
  <c r="N179" i="2" s="1"/>
  <c r="P179" i="2" s="1"/>
  <c r="Q180" i="2"/>
  <c r="N180" i="2" s="1"/>
  <c r="P180" i="2" s="1"/>
  <c r="Q181" i="2"/>
  <c r="N181" i="2" s="1"/>
  <c r="Q182" i="2"/>
  <c r="N182" i="2" s="1"/>
  <c r="P182" i="2" s="1"/>
  <c r="Q183" i="2"/>
  <c r="N183" i="2" s="1"/>
  <c r="Q184" i="2"/>
  <c r="N184" i="2" s="1"/>
  <c r="P184" i="2" s="1"/>
  <c r="Q185" i="2"/>
  <c r="N185" i="2" s="1"/>
  <c r="P185" i="2" s="1"/>
  <c r="Q186" i="2"/>
  <c r="N186" i="2" s="1"/>
  <c r="P186" i="2" s="1"/>
  <c r="Q187" i="2"/>
  <c r="N187" i="2" s="1"/>
  <c r="P187" i="2" s="1"/>
  <c r="Q188" i="2"/>
  <c r="N188" i="2" s="1"/>
  <c r="P188" i="2" s="1"/>
  <c r="Q189" i="2"/>
  <c r="N189" i="2" s="1"/>
  <c r="Q190" i="2"/>
  <c r="N190" i="2" s="1"/>
  <c r="P190" i="2" s="1"/>
  <c r="Q191" i="2"/>
  <c r="N191" i="2" s="1"/>
  <c r="Q192" i="2"/>
  <c r="N192" i="2" s="1"/>
  <c r="P192" i="2" s="1"/>
  <c r="Q193" i="2"/>
  <c r="N193" i="2" s="1"/>
  <c r="P193" i="2" s="1"/>
  <c r="Q194" i="2"/>
  <c r="N194" i="2" s="1"/>
  <c r="P194" i="2" s="1"/>
  <c r="Q195" i="2"/>
  <c r="N195" i="2" s="1"/>
  <c r="P195" i="2" s="1"/>
  <c r="Q196" i="2"/>
  <c r="N196" i="2" s="1"/>
  <c r="P196" i="2" s="1"/>
  <c r="Q197" i="2"/>
  <c r="N197" i="2" s="1"/>
  <c r="Q198" i="2"/>
  <c r="N198" i="2" s="1"/>
  <c r="P198" i="2" s="1"/>
  <c r="Q199" i="2"/>
  <c r="N199" i="2" s="1"/>
  <c r="Q200" i="2"/>
  <c r="N200" i="2" s="1"/>
  <c r="P200" i="2" s="1"/>
  <c r="Q201" i="2"/>
  <c r="N201" i="2" s="1"/>
  <c r="P201" i="2" s="1"/>
  <c r="Q202" i="2"/>
  <c r="N202" i="2" s="1"/>
  <c r="P202" i="2" s="1"/>
  <c r="Q203" i="2"/>
  <c r="N203" i="2" s="1"/>
  <c r="P203" i="2" s="1"/>
  <c r="Q204" i="2"/>
  <c r="N204" i="2" s="1"/>
  <c r="P204" i="2" s="1"/>
  <c r="Q205" i="2"/>
  <c r="N205" i="2" s="1"/>
  <c r="Q206" i="2"/>
  <c r="N206" i="2" s="1"/>
  <c r="P206" i="2" s="1"/>
  <c r="Q207" i="2"/>
  <c r="N207" i="2" s="1"/>
  <c r="Q208" i="2"/>
  <c r="N208" i="2" s="1"/>
  <c r="P208" i="2" s="1"/>
  <c r="Q209" i="2"/>
  <c r="N209" i="2" s="1"/>
  <c r="P209" i="2" s="1"/>
  <c r="Q210" i="2"/>
  <c r="N210" i="2" s="1"/>
  <c r="P210" i="2" s="1"/>
  <c r="Q211" i="2"/>
  <c r="N211" i="2" s="1"/>
  <c r="P211" i="2" s="1"/>
  <c r="Q212" i="2"/>
  <c r="N212" i="2" s="1"/>
  <c r="P212" i="2" s="1"/>
  <c r="Q213" i="2"/>
  <c r="N213" i="2" s="1"/>
  <c r="Q214" i="2"/>
  <c r="N214" i="2" s="1"/>
  <c r="P214" i="2" s="1"/>
  <c r="Q215" i="2"/>
  <c r="N215" i="2" s="1"/>
  <c r="Q216" i="2"/>
  <c r="N216" i="2" s="1"/>
  <c r="P216" i="2" s="1"/>
  <c r="Q217" i="2"/>
  <c r="N217" i="2" s="1"/>
  <c r="P217" i="2" s="1"/>
  <c r="Q218" i="2"/>
  <c r="N218" i="2" s="1"/>
  <c r="P218" i="2" s="1"/>
  <c r="Q219" i="2"/>
  <c r="N219" i="2" s="1"/>
  <c r="P219" i="2" s="1"/>
  <c r="Q220" i="2"/>
  <c r="N220" i="2" s="1"/>
  <c r="P220" i="2" s="1"/>
  <c r="Q221" i="2"/>
  <c r="N221" i="2" s="1"/>
  <c r="Q222" i="2"/>
  <c r="N222" i="2" s="1"/>
  <c r="P222" i="2" s="1"/>
  <c r="Q223" i="2"/>
  <c r="N223" i="2" s="1"/>
  <c r="Q224" i="2"/>
  <c r="N224" i="2" s="1"/>
  <c r="P224" i="2" s="1"/>
  <c r="Q225" i="2"/>
  <c r="N225" i="2" s="1"/>
  <c r="P225" i="2" s="1"/>
  <c r="Q226" i="2"/>
  <c r="N226" i="2" s="1"/>
  <c r="P226" i="2" s="1"/>
  <c r="Q227" i="2"/>
  <c r="N227" i="2" s="1"/>
  <c r="P227" i="2" s="1"/>
  <c r="Q228" i="2"/>
  <c r="N228" i="2" s="1"/>
  <c r="P228" i="2" s="1"/>
  <c r="Q229" i="2"/>
  <c r="N229" i="2" s="1"/>
  <c r="Q230" i="2"/>
  <c r="N230" i="2" s="1"/>
  <c r="P230" i="2" s="1"/>
  <c r="Q231" i="2"/>
  <c r="N231" i="2" s="1"/>
  <c r="Q232" i="2"/>
  <c r="N232" i="2" s="1"/>
  <c r="P232" i="2" s="1"/>
  <c r="Q233" i="2"/>
  <c r="N233" i="2" s="1"/>
  <c r="P233" i="2" s="1"/>
  <c r="Q234" i="2"/>
  <c r="N234" i="2" s="1"/>
  <c r="P234" i="2" s="1"/>
  <c r="Q235" i="2"/>
  <c r="N235" i="2" s="1"/>
  <c r="P235" i="2" s="1"/>
  <c r="Q236" i="2"/>
  <c r="N236" i="2" s="1"/>
  <c r="P236" i="2" s="1"/>
  <c r="Q237" i="2"/>
  <c r="N237" i="2" s="1"/>
  <c r="Q238" i="2"/>
  <c r="N238" i="2" s="1"/>
  <c r="P238" i="2" s="1"/>
  <c r="Q239" i="2"/>
  <c r="N239" i="2" s="1"/>
  <c r="Q240" i="2"/>
  <c r="N240" i="2" s="1"/>
  <c r="P240" i="2" s="1"/>
  <c r="Q241" i="2"/>
  <c r="N241" i="2" s="1"/>
  <c r="P241" i="2" s="1"/>
  <c r="Q242" i="2"/>
  <c r="N242" i="2" s="1"/>
  <c r="P242" i="2" s="1"/>
  <c r="Q243" i="2"/>
  <c r="N243" i="2" s="1"/>
  <c r="P243" i="2" s="1"/>
  <c r="Q244" i="2"/>
  <c r="N244" i="2" s="1"/>
  <c r="P244" i="2" s="1"/>
  <c r="Q245" i="2"/>
  <c r="N245" i="2" s="1"/>
  <c r="Q246" i="2"/>
  <c r="N246" i="2" s="1"/>
  <c r="P246" i="2" s="1"/>
  <c r="Q247" i="2"/>
  <c r="N247" i="2" s="1"/>
  <c r="Q248" i="2"/>
  <c r="N248" i="2" s="1"/>
  <c r="P248" i="2" s="1"/>
  <c r="Q249" i="2"/>
  <c r="N249" i="2" s="1"/>
  <c r="P249" i="2" s="1"/>
  <c r="Q250" i="2"/>
  <c r="N250" i="2" s="1"/>
  <c r="P250" i="2" s="1"/>
  <c r="Q251" i="2"/>
  <c r="N251" i="2" s="1"/>
  <c r="P251" i="2" s="1"/>
  <c r="Q252" i="2"/>
  <c r="N252" i="2" s="1"/>
  <c r="P252" i="2" s="1"/>
  <c r="Q253" i="2"/>
  <c r="N253" i="2" s="1"/>
  <c r="Q254" i="2"/>
  <c r="N254" i="2" s="1"/>
  <c r="P254" i="2" s="1"/>
  <c r="Q255" i="2"/>
  <c r="N255" i="2" s="1"/>
  <c r="Q256" i="2"/>
  <c r="N256" i="2" s="1"/>
  <c r="P256" i="2" s="1"/>
  <c r="Q257" i="2"/>
  <c r="N257" i="2" s="1"/>
  <c r="P257" i="2" s="1"/>
  <c r="Q258" i="2"/>
  <c r="N258" i="2" s="1"/>
  <c r="P258" i="2" s="1"/>
  <c r="Q259" i="2"/>
  <c r="N259" i="2" s="1"/>
  <c r="P259" i="2" s="1"/>
  <c r="Q260" i="2"/>
  <c r="N260" i="2" s="1"/>
  <c r="P260" i="2" s="1"/>
  <c r="Q261" i="2"/>
  <c r="N261" i="2" s="1"/>
  <c r="Q262" i="2"/>
  <c r="N262" i="2" s="1"/>
  <c r="P262" i="2" s="1"/>
  <c r="Q263" i="2"/>
  <c r="N263" i="2" s="1"/>
  <c r="Q264" i="2"/>
  <c r="N264" i="2" s="1"/>
  <c r="P264" i="2" s="1"/>
  <c r="Q265" i="2"/>
  <c r="N265" i="2" s="1"/>
  <c r="P265" i="2" s="1"/>
  <c r="Q266" i="2"/>
  <c r="N266" i="2" s="1"/>
  <c r="P266" i="2" s="1"/>
  <c r="Q267" i="2"/>
  <c r="N267" i="2" s="1"/>
  <c r="P267" i="2" s="1"/>
  <c r="Q268" i="2"/>
  <c r="N268" i="2" s="1"/>
  <c r="P268" i="2" s="1"/>
  <c r="Q269" i="2"/>
  <c r="N269" i="2" s="1"/>
  <c r="Q270" i="2"/>
  <c r="N270" i="2" s="1"/>
  <c r="P270" i="2" s="1"/>
  <c r="Q271" i="2"/>
  <c r="N271" i="2" s="1"/>
  <c r="Q272" i="2"/>
  <c r="N272" i="2" s="1"/>
  <c r="P272" i="2" s="1"/>
  <c r="Q273" i="2"/>
  <c r="N273" i="2" s="1"/>
  <c r="P273" i="2" s="1"/>
  <c r="Q274" i="2"/>
  <c r="N274" i="2" s="1"/>
  <c r="P274" i="2" s="1"/>
  <c r="Q275" i="2"/>
  <c r="N275" i="2" s="1"/>
  <c r="P275" i="2" s="1"/>
  <c r="Q276" i="2"/>
  <c r="N276" i="2" s="1"/>
  <c r="P276" i="2" s="1"/>
  <c r="Q277" i="2"/>
  <c r="N277" i="2" s="1"/>
  <c r="P277" i="2" s="1"/>
  <c r="Q278" i="2"/>
  <c r="N278" i="2" s="1"/>
  <c r="P278" i="2" s="1"/>
  <c r="Q279" i="2"/>
  <c r="N279" i="2" s="1"/>
  <c r="P279" i="2" s="1"/>
  <c r="Q280" i="2"/>
  <c r="N280" i="2" s="1"/>
  <c r="P280" i="2" s="1"/>
  <c r="Q281" i="2"/>
  <c r="N281" i="2" s="1"/>
  <c r="P281" i="2" s="1"/>
  <c r="Q282" i="2"/>
  <c r="N282" i="2" s="1"/>
  <c r="P282" i="2" s="1"/>
  <c r="Q283" i="2"/>
  <c r="N283" i="2" s="1"/>
  <c r="P283" i="2" s="1"/>
  <c r="Q284" i="2"/>
  <c r="N284" i="2" s="1"/>
  <c r="P284" i="2" s="1"/>
  <c r="Q285" i="2"/>
  <c r="N285" i="2" s="1"/>
  <c r="P285" i="2" s="1"/>
  <c r="Q286" i="2"/>
  <c r="N286" i="2" s="1"/>
  <c r="P286" i="2" s="1"/>
  <c r="Q287" i="2"/>
  <c r="N287" i="2" s="1"/>
  <c r="P287" i="2" s="1"/>
  <c r="Q288" i="2"/>
  <c r="N288" i="2" s="1"/>
  <c r="P288" i="2" s="1"/>
  <c r="Q289" i="2"/>
  <c r="N289" i="2" s="1"/>
  <c r="P289" i="2" s="1"/>
  <c r="Q290" i="2"/>
  <c r="N290" i="2" s="1"/>
  <c r="P290" i="2" s="1"/>
  <c r="Q291" i="2"/>
  <c r="N291" i="2" s="1"/>
  <c r="P291" i="2" s="1"/>
  <c r="Q292" i="2"/>
  <c r="N292" i="2" s="1"/>
  <c r="P292" i="2" s="1"/>
  <c r="Q293" i="2"/>
  <c r="N293" i="2" s="1"/>
  <c r="Q294" i="2"/>
  <c r="N294" i="2" s="1"/>
  <c r="P294" i="2" s="1"/>
  <c r="Q295" i="2"/>
  <c r="N295" i="2" s="1"/>
  <c r="P295" i="2" s="1"/>
  <c r="Q296" i="2"/>
  <c r="N296" i="2" s="1"/>
  <c r="P296" i="2" s="1"/>
  <c r="Q297" i="2"/>
  <c r="N297" i="2" s="1"/>
  <c r="P297" i="2" s="1"/>
  <c r="Q298" i="2"/>
  <c r="N298" i="2" s="1"/>
  <c r="P298" i="2" s="1"/>
  <c r="Q299" i="2"/>
  <c r="N299" i="2" s="1"/>
  <c r="P299" i="2" s="1"/>
  <c r="Q300" i="2"/>
  <c r="N300" i="2" s="1"/>
  <c r="P300" i="2" s="1"/>
  <c r="Q301" i="2"/>
  <c r="N301" i="2" s="1"/>
  <c r="P301" i="2" s="1"/>
  <c r="Q302" i="2"/>
  <c r="N302" i="2" s="1"/>
  <c r="P302" i="2" s="1"/>
  <c r="Q303" i="2"/>
  <c r="N303" i="2" s="1"/>
  <c r="P303" i="2" s="1"/>
  <c r="Q304" i="2"/>
  <c r="N304" i="2" s="1"/>
  <c r="P304" i="2" s="1"/>
  <c r="Q305" i="2"/>
  <c r="N305" i="2" s="1"/>
  <c r="P305" i="2" s="1"/>
  <c r="Q306" i="2"/>
  <c r="N306" i="2" s="1"/>
  <c r="P306" i="2" s="1"/>
  <c r="Q307" i="2"/>
  <c r="N307" i="2" s="1"/>
  <c r="P307" i="2" s="1"/>
  <c r="Q308" i="2"/>
  <c r="N308" i="2" s="1"/>
  <c r="P308" i="2" s="1"/>
  <c r="Q309" i="2"/>
  <c r="N309" i="2" s="1"/>
  <c r="Q310" i="2"/>
  <c r="N310" i="2" s="1"/>
  <c r="P310" i="2" s="1"/>
  <c r="Q311" i="2"/>
  <c r="N311" i="2" s="1"/>
  <c r="P311" i="2" s="1"/>
  <c r="Q312" i="2"/>
  <c r="N312" i="2" s="1"/>
  <c r="Q313" i="2"/>
  <c r="N313" i="2" s="1"/>
  <c r="P313" i="2" s="1"/>
  <c r="Q314" i="2"/>
  <c r="N314" i="2" s="1"/>
  <c r="P314" i="2" s="1"/>
  <c r="Q315" i="2"/>
  <c r="N315" i="2" s="1"/>
  <c r="P315" i="2" s="1"/>
  <c r="Q316" i="2"/>
  <c r="N316" i="2" s="1"/>
  <c r="P316" i="2" s="1"/>
  <c r="Q317" i="2"/>
  <c r="N317" i="2" s="1"/>
  <c r="P317" i="2" s="1"/>
  <c r="Q318" i="2"/>
  <c r="N318" i="2" s="1"/>
  <c r="P318" i="2" s="1"/>
  <c r="Q319" i="2"/>
  <c r="N319" i="2" s="1"/>
  <c r="P319" i="2" s="1"/>
  <c r="Q320" i="2"/>
  <c r="N320" i="2" s="1"/>
  <c r="P320" i="2" s="1"/>
  <c r="Q321" i="2"/>
  <c r="N321" i="2" s="1"/>
  <c r="P321" i="2" s="1"/>
  <c r="Q322" i="2"/>
  <c r="N322" i="2" s="1"/>
  <c r="P322" i="2" s="1"/>
  <c r="Q323" i="2"/>
  <c r="N323" i="2" s="1"/>
  <c r="P323" i="2" s="1"/>
  <c r="Q324" i="2"/>
  <c r="N324" i="2" s="1"/>
  <c r="P324" i="2" s="1"/>
  <c r="Q325" i="2"/>
  <c r="N325" i="2" s="1"/>
  <c r="P325" i="2" s="1"/>
  <c r="Q326" i="2"/>
  <c r="N326" i="2" s="1"/>
  <c r="P326" i="2" s="1"/>
  <c r="Q327" i="2"/>
  <c r="N327" i="2" s="1"/>
  <c r="P327" i="2" s="1"/>
  <c r="Q328" i="2"/>
  <c r="N328" i="2" s="1"/>
  <c r="Q329" i="2"/>
  <c r="N329" i="2" s="1"/>
  <c r="P329" i="2" s="1"/>
  <c r="Q330" i="2"/>
  <c r="N330" i="2" s="1"/>
  <c r="P330" i="2" s="1"/>
  <c r="Q331" i="2"/>
  <c r="N331" i="2" s="1"/>
  <c r="P331" i="2" s="1"/>
  <c r="Q332" i="2"/>
  <c r="N332" i="2" s="1"/>
  <c r="P332" i="2" s="1"/>
  <c r="Q333" i="2"/>
  <c r="N333" i="2" s="1"/>
  <c r="P333" i="2" s="1"/>
  <c r="Q334" i="2"/>
  <c r="N334" i="2" s="1"/>
  <c r="P334" i="2" s="1"/>
  <c r="Q335" i="2"/>
  <c r="N335" i="2" s="1"/>
  <c r="P335" i="2" s="1"/>
  <c r="Q336" i="2"/>
  <c r="N336" i="2" s="1"/>
  <c r="P336" i="2" s="1"/>
  <c r="Q337" i="2"/>
  <c r="N337" i="2" s="1"/>
  <c r="P337" i="2" s="1"/>
  <c r="Q338" i="2"/>
  <c r="N338" i="2" s="1"/>
  <c r="P338" i="2" s="1"/>
  <c r="Q339" i="2"/>
  <c r="N339" i="2" s="1"/>
  <c r="P339" i="2" s="1"/>
  <c r="Q340" i="2"/>
  <c r="N340" i="2" s="1"/>
  <c r="P340" i="2" s="1"/>
  <c r="Q341" i="2"/>
  <c r="N341" i="2" s="1"/>
  <c r="P341" i="2" s="1"/>
  <c r="Q342" i="2"/>
  <c r="N342" i="2" s="1"/>
  <c r="P342" i="2" s="1"/>
  <c r="Q343" i="2"/>
  <c r="N343" i="2" s="1"/>
  <c r="P343" i="2" s="1"/>
  <c r="Q344" i="2"/>
  <c r="N344" i="2" s="1"/>
  <c r="P344" i="2" s="1"/>
  <c r="Q345" i="2"/>
  <c r="N345" i="2" s="1"/>
  <c r="P345" i="2" s="1"/>
  <c r="Q346" i="2"/>
  <c r="N346" i="2" s="1"/>
  <c r="P346" i="2" s="1"/>
  <c r="Q347" i="2"/>
  <c r="N347" i="2" s="1"/>
  <c r="P347" i="2" s="1"/>
  <c r="Q348" i="2"/>
  <c r="N348" i="2" s="1"/>
  <c r="P348" i="2" s="1"/>
  <c r="Q349" i="2"/>
  <c r="N349" i="2" s="1"/>
  <c r="P349" i="2" s="1"/>
  <c r="Q350" i="2"/>
  <c r="N350" i="2" s="1"/>
  <c r="P350" i="2" s="1"/>
  <c r="Q351" i="2"/>
  <c r="N351" i="2" s="1"/>
  <c r="P351" i="2" s="1"/>
  <c r="Q352" i="2"/>
  <c r="N352" i="2" s="1"/>
  <c r="P352" i="2" s="1"/>
  <c r="Q353" i="2"/>
  <c r="N353" i="2" s="1"/>
  <c r="P353" i="2" s="1"/>
  <c r="Q354" i="2"/>
  <c r="N354" i="2" s="1"/>
  <c r="P354" i="2" s="1"/>
  <c r="Q355" i="2"/>
  <c r="N355" i="2" s="1"/>
  <c r="P355" i="2" s="1"/>
  <c r="Q356" i="2"/>
  <c r="N356" i="2" s="1"/>
  <c r="P356" i="2" s="1"/>
  <c r="Q357" i="2"/>
  <c r="N357" i="2" s="1"/>
  <c r="Q358" i="2"/>
  <c r="N358" i="2" s="1"/>
  <c r="P358" i="2" s="1"/>
  <c r="Q359" i="2"/>
  <c r="N359" i="2" s="1"/>
  <c r="P359" i="2" s="1"/>
  <c r="Q360" i="2"/>
  <c r="N360" i="2" s="1"/>
  <c r="P360" i="2" s="1"/>
  <c r="Q361" i="2"/>
  <c r="N361" i="2" s="1"/>
  <c r="P361" i="2" s="1"/>
  <c r="Q362" i="2"/>
  <c r="N362" i="2" s="1"/>
  <c r="P362" i="2" s="1"/>
  <c r="Q363" i="2"/>
  <c r="N363" i="2" s="1"/>
  <c r="P363" i="2" s="1"/>
  <c r="Q364" i="2"/>
  <c r="N364" i="2" s="1"/>
  <c r="P364" i="2" s="1"/>
  <c r="Q365" i="2"/>
  <c r="N365" i="2" s="1"/>
  <c r="P365" i="2" s="1"/>
  <c r="Q366" i="2"/>
  <c r="N366" i="2" s="1"/>
  <c r="P366" i="2" s="1"/>
  <c r="Q367" i="2"/>
  <c r="N367" i="2" s="1"/>
  <c r="P367" i="2" s="1"/>
  <c r="Q368" i="2"/>
  <c r="N368" i="2" s="1"/>
  <c r="P368" i="2" s="1"/>
  <c r="Q369" i="2"/>
  <c r="N369" i="2" s="1"/>
  <c r="P369" i="2" s="1"/>
  <c r="Q370" i="2"/>
  <c r="N370" i="2" s="1"/>
  <c r="P370" i="2" s="1"/>
  <c r="Q371" i="2"/>
  <c r="N371" i="2" s="1"/>
  <c r="P371" i="2" s="1"/>
  <c r="Q372" i="2"/>
  <c r="N372" i="2" s="1"/>
  <c r="P372" i="2" s="1"/>
  <c r="Q373" i="2"/>
  <c r="N373" i="2" s="1"/>
  <c r="Q374" i="2"/>
  <c r="N374" i="2" s="1"/>
  <c r="P374" i="2" s="1"/>
  <c r="Q375" i="2"/>
  <c r="N375" i="2" s="1"/>
  <c r="P375" i="2" s="1"/>
  <c r="Q376" i="2"/>
  <c r="N376" i="2" s="1"/>
  <c r="Q377" i="2"/>
  <c r="N377" i="2" s="1"/>
  <c r="P377" i="2" s="1"/>
  <c r="Q378" i="2"/>
  <c r="N378" i="2" s="1"/>
  <c r="P378" i="2" s="1"/>
  <c r="Q379" i="2"/>
  <c r="N379" i="2" s="1"/>
  <c r="P379" i="2" s="1"/>
  <c r="Q380" i="2"/>
  <c r="N380" i="2" s="1"/>
  <c r="P380" i="2" s="1"/>
  <c r="Q381" i="2"/>
  <c r="N381" i="2" s="1"/>
  <c r="P381" i="2" s="1"/>
  <c r="Q382" i="2"/>
  <c r="N382" i="2" s="1"/>
  <c r="P382" i="2" s="1"/>
  <c r="Q383" i="2"/>
  <c r="N383" i="2" s="1"/>
  <c r="P383" i="2" s="1"/>
  <c r="Q384" i="2"/>
  <c r="N384" i="2" s="1"/>
  <c r="P384" i="2" s="1"/>
  <c r="Q385" i="2"/>
  <c r="N385" i="2" s="1"/>
  <c r="P385" i="2" s="1"/>
  <c r="Q386" i="2"/>
  <c r="N386" i="2" s="1"/>
  <c r="P386" i="2" s="1"/>
  <c r="Q387" i="2"/>
  <c r="N387" i="2" s="1"/>
  <c r="P387" i="2" s="1"/>
  <c r="Q388" i="2"/>
  <c r="N388" i="2" s="1"/>
  <c r="P388" i="2" s="1"/>
  <c r="Q389" i="2"/>
  <c r="N389" i="2" s="1"/>
  <c r="P389" i="2" s="1"/>
  <c r="Q390" i="2"/>
  <c r="N390" i="2" s="1"/>
  <c r="P390" i="2" s="1"/>
  <c r="Q391" i="2"/>
  <c r="N391" i="2" s="1"/>
  <c r="P391" i="2" s="1"/>
  <c r="Q392" i="2"/>
  <c r="N392" i="2" s="1"/>
  <c r="Q393" i="2"/>
  <c r="N393" i="2" s="1"/>
  <c r="P393" i="2" s="1"/>
  <c r="Q394" i="2"/>
  <c r="N394" i="2" s="1"/>
  <c r="P394" i="2" s="1"/>
  <c r="Q395" i="2"/>
  <c r="N395" i="2" s="1"/>
  <c r="P395" i="2" s="1"/>
  <c r="Q396" i="2"/>
  <c r="N396" i="2" s="1"/>
  <c r="P396" i="2" s="1"/>
  <c r="Q397" i="2"/>
  <c r="N397" i="2" s="1"/>
  <c r="P397" i="2" s="1"/>
  <c r="Q398" i="2"/>
  <c r="N398" i="2" s="1"/>
  <c r="P398" i="2" s="1"/>
  <c r="Q399" i="2"/>
  <c r="N399" i="2" s="1"/>
  <c r="P399" i="2" s="1"/>
  <c r="Q400" i="2"/>
  <c r="N400" i="2" s="1"/>
  <c r="P400" i="2" s="1"/>
  <c r="Q401" i="2"/>
  <c r="N401" i="2" s="1"/>
  <c r="P401" i="2" s="1"/>
  <c r="Q402" i="2"/>
  <c r="N402" i="2" s="1"/>
  <c r="P402" i="2" s="1"/>
  <c r="Q403" i="2"/>
  <c r="N403" i="2" s="1"/>
  <c r="P403" i="2" s="1"/>
  <c r="Q404" i="2"/>
  <c r="N404" i="2" s="1"/>
  <c r="P404" i="2" s="1"/>
  <c r="Q405" i="2"/>
  <c r="N405" i="2" s="1"/>
  <c r="P405" i="2" s="1"/>
  <c r="Q406" i="2"/>
  <c r="N406" i="2" s="1"/>
  <c r="P406" i="2" s="1"/>
  <c r="Q407" i="2"/>
  <c r="N407" i="2" s="1"/>
  <c r="P407" i="2" s="1"/>
  <c r="Q408" i="2"/>
  <c r="N408" i="2" s="1"/>
  <c r="P408" i="2" s="1"/>
  <c r="Q409" i="2"/>
  <c r="N409" i="2" s="1"/>
  <c r="P409" i="2" s="1"/>
  <c r="Q410" i="2"/>
  <c r="N410" i="2" s="1"/>
  <c r="P410" i="2" s="1"/>
  <c r="Q411" i="2"/>
  <c r="N411" i="2" s="1"/>
  <c r="P411" i="2" s="1"/>
  <c r="Q412" i="2"/>
  <c r="N412" i="2" s="1"/>
  <c r="P412" i="2" s="1"/>
  <c r="Q413" i="2"/>
  <c r="N413" i="2" s="1"/>
  <c r="P413" i="2" s="1"/>
  <c r="Q414" i="2"/>
  <c r="N414" i="2" s="1"/>
  <c r="P414" i="2" s="1"/>
  <c r="Q415" i="2"/>
  <c r="N415" i="2" s="1"/>
  <c r="P415" i="2" s="1"/>
  <c r="Q416" i="2"/>
  <c r="N416" i="2" s="1"/>
  <c r="P416" i="2" s="1"/>
  <c r="Q417" i="2"/>
  <c r="N417" i="2" s="1"/>
  <c r="P417" i="2" s="1"/>
  <c r="Q418" i="2"/>
  <c r="N418" i="2" s="1"/>
  <c r="P418" i="2" s="1"/>
  <c r="Q419" i="2"/>
  <c r="N419" i="2" s="1"/>
  <c r="P419" i="2" s="1"/>
  <c r="Q420" i="2"/>
  <c r="N420" i="2" s="1"/>
  <c r="P420" i="2" s="1"/>
  <c r="Q421" i="2"/>
  <c r="N421" i="2" s="1"/>
  <c r="Q422" i="2"/>
  <c r="N422" i="2" s="1"/>
  <c r="P422" i="2" s="1"/>
  <c r="Q423" i="2"/>
  <c r="N423" i="2" s="1"/>
  <c r="P423" i="2" s="1"/>
  <c r="Q424" i="2"/>
  <c r="N424" i="2" s="1"/>
  <c r="P424" i="2" s="1"/>
  <c r="Q425" i="2"/>
  <c r="N425" i="2" s="1"/>
  <c r="P425" i="2" s="1"/>
  <c r="Q426" i="2"/>
  <c r="N426" i="2" s="1"/>
  <c r="P426" i="2" s="1"/>
  <c r="Q427" i="2"/>
  <c r="N427" i="2" s="1"/>
  <c r="P427" i="2" s="1"/>
  <c r="Q428" i="2"/>
  <c r="N428" i="2" s="1"/>
  <c r="P428" i="2" s="1"/>
  <c r="Q429" i="2"/>
  <c r="N429" i="2" s="1"/>
  <c r="P429" i="2" s="1"/>
  <c r="Q430" i="2"/>
  <c r="N430" i="2" s="1"/>
  <c r="P430" i="2" s="1"/>
  <c r="Q431" i="2"/>
  <c r="N431" i="2" s="1"/>
  <c r="P431" i="2" s="1"/>
  <c r="Q432" i="2"/>
  <c r="N432" i="2" s="1"/>
  <c r="P432" i="2" s="1"/>
  <c r="Q433" i="2"/>
  <c r="N433" i="2" s="1"/>
  <c r="P433" i="2" s="1"/>
  <c r="Q434" i="2"/>
  <c r="N434" i="2" s="1"/>
  <c r="P434" i="2" s="1"/>
  <c r="Q435" i="2"/>
  <c r="N435" i="2" s="1"/>
  <c r="P435" i="2" s="1"/>
  <c r="Q436" i="2"/>
  <c r="N436" i="2" s="1"/>
  <c r="P436" i="2" s="1"/>
  <c r="Q437" i="2"/>
  <c r="N437" i="2" s="1"/>
  <c r="Q438" i="2"/>
  <c r="N438" i="2" s="1"/>
  <c r="P438" i="2" s="1"/>
  <c r="Q439" i="2"/>
  <c r="N439" i="2" s="1"/>
  <c r="P439" i="2" s="1"/>
  <c r="Q440" i="2"/>
  <c r="N440" i="2" s="1"/>
  <c r="Q441" i="2"/>
  <c r="N441" i="2" s="1"/>
  <c r="P441" i="2" s="1"/>
  <c r="Q442" i="2"/>
  <c r="N442" i="2" s="1"/>
  <c r="P442" i="2" s="1"/>
  <c r="Q443" i="2"/>
  <c r="N443" i="2" s="1"/>
  <c r="P443" i="2" s="1"/>
  <c r="Q444" i="2"/>
  <c r="N444" i="2" s="1"/>
  <c r="P444" i="2" s="1"/>
  <c r="Q445" i="2"/>
  <c r="N445" i="2" s="1"/>
  <c r="P445" i="2" s="1"/>
  <c r="Q446" i="2"/>
  <c r="N446" i="2" s="1"/>
  <c r="P446" i="2" s="1"/>
  <c r="Q447" i="2"/>
  <c r="N447" i="2" s="1"/>
  <c r="P447" i="2" s="1"/>
  <c r="Q448" i="2"/>
  <c r="N448" i="2" s="1"/>
  <c r="P448" i="2" s="1"/>
  <c r="Q449" i="2"/>
  <c r="N449" i="2" s="1"/>
  <c r="P449" i="2" s="1"/>
  <c r="Q450" i="2"/>
  <c r="N450" i="2" s="1"/>
  <c r="P450" i="2" s="1"/>
  <c r="Q451" i="2"/>
  <c r="N451" i="2" s="1"/>
  <c r="P451" i="2" s="1"/>
  <c r="Q452" i="2"/>
  <c r="N452" i="2" s="1"/>
  <c r="P452" i="2" s="1"/>
  <c r="Q453" i="2"/>
  <c r="N453" i="2" s="1"/>
  <c r="P453" i="2" s="1"/>
  <c r="Q454" i="2"/>
  <c r="N454" i="2" s="1"/>
  <c r="P454" i="2" s="1"/>
  <c r="Q455" i="2"/>
  <c r="N455" i="2" s="1"/>
  <c r="P455" i="2" s="1"/>
  <c r="Q456" i="2"/>
  <c r="N456" i="2" s="1"/>
  <c r="Q457" i="2"/>
  <c r="N457" i="2" s="1"/>
  <c r="P457" i="2" s="1"/>
  <c r="Q458" i="2"/>
  <c r="N458" i="2" s="1"/>
  <c r="P458" i="2" s="1"/>
  <c r="Q459" i="2"/>
  <c r="N459" i="2" s="1"/>
  <c r="P459" i="2" s="1"/>
  <c r="Q460" i="2"/>
  <c r="N460" i="2" s="1"/>
  <c r="P460" i="2" s="1"/>
  <c r="Q461" i="2"/>
  <c r="N461" i="2" s="1"/>
  <c r="P461" i="2" s="1"/>
  <c r="Q462" i="2"/>
  <c r="N462" i="2" s="1"/>
  <c r="P462" i="2" s="1"/>
  <c r="Q463" i="2"/>
  <c r="N463" i="2" s="1"/>
  <c r="P463" i="2" s="1"/>
  <c r="Q464" i="2"/>
  <c r="N464" i="2" s="1"/>
  <c r="P464" i="2" s="1"/>
  <c r="Q465" i="2"/>
  <c r="N465" i="2" s="1"/>
  <c r="P465" i="2" s="1"/>
  <c r="Q466" i="2"/>
  <c r="N466" i="2" s="1"/>
  <c r="P466" i="2" s="1"/>
  <c r="Q467" i="2"/>
  <c r="N467" i="2" s="1"/>
  <c r="P467" i="2" s="1"/>
  <c r="Q468" i="2"/>
  <c r="N468" i="2" s="1"/>
  <c r="P468" i="2" s="1"/>
  <c r="Q469" i="2"/>
  <c r="N469" i="2" s="1"/>
  <c r="P469" i="2" s="1"/>
  <c r="Q470" i="2"/>
  <c r="N470" i="2" s="1"/>
  <c r="P470" i="2" s="1"/>
  <c r="Q471" i="2"/>
  <c r="N471" i="2" s="1"/>
  <c r="P471" i="2" s="1"/>
  <c r="Q472" i="2"/>
  <c r="N472" i="2" s="1"/>
  <c r="P472" i="2" s="1"/>
  <c r="Q473" i="2"/>
  <c r="N473" i="2" s="1"/>
  <c r="P473" i="2" s="1"/>
  <c r="Q474" i="2"/>
  <c r="N474" i="2" s="1"/>
  <c r="P474" i="2" s="1"/>
  <c r="Q475" i="2"/>
  <c r="N475" i="2" s="1"/>
  <c r="P475" i="2" s="1"/>
  <c r="Q476" i="2"/>
  <c r="N476" i="2" s="1"/>
  <c r="P476" i="2" s="1"/>
  <c r="Q477" i="2"/>
  <c r="N477" i="2" s="1"/>
  <c r="P477" i="2" s="1"/>
  <c r="Q478" i="2"/>
  <c r="N478" i="2" s="1"/>
  <c r="P478" i="2" s="1"/>
  <c r="Q479" i="2"/>
  <c r="N479" i="2" s="1"/>
  <c r="P479" i="2" s="1"/>
  <c r="Q480" i="2"/>
  <c r="N480" i="2" s="1"/>
  <c r="P480" i="2" s="1"/>
  <c r="Q481" i="2"/>
  <c r="N481" i="2" s="1"/>
  <c r="P481" i="2" s="1"/>
  <c r="Q482" i="2"/>
  <c r="N482" i="2" s="1"/>
  <c r="P482" i="2" s="1"/>
  <c r="Q483" i="2"/>
  <c r="N483" i="2" s="1"/>
  <c r="P483" i="2" s="1"/>
  <c r="Q484" i="2"/>
  <c r="N484" i="2" s="1"/>
  <c r="P484" i="2" s="1"/>
  <c r="Q485" i="2"/>
  <c r="N485" i="2" s="1"/>
  <c r="Q486" i="2"/>
  <c r="N486" i="2" s="1"/>
  <c r="P486" i="2" s="1"/>
  <c r="Q487" i="2"/>
  <c r="N487" i="2" s="1"/>
  <c r="P487" i="2" s="1"/>
  <c r="Q488" i="2"/>
  <c r="N488" i="2" s="1"/>
  <c r="P488" i="2" s="1"/>
  <c r="Q489" i="2"/>
  <c r="N489" i="2" s="1"/>
  <c r="P489" i="2" s="1"/>
  <c r="Q490" i="2"/>
  <c r="N490" i="2" s="1"/>
  <c r="P490" i="2" s="1"/>
  <c r="Q491" i="2"/>
  <c r="N491" i="2" s="1"/>
  <c r="P491" i="2" s="1"/>
  <c r="Q492" i="2"/>
  <c r="N492" i="2" s="1"/>
  <c r="P492" i="2" s="1"/>
  <c r="Q493" i="2"/>
  <c r="N493" i="2" s="1"/>
  <c r="P493" i="2" s="1"/>
  <c r="Q494" i="2"/>
  <c r="N494" i="2" s="1"/>
  <c r="P494" i="2" s="1"/>
  <c r="Q495" i="2"/>
  <c r="N495" i="2" s="1"/>
  <c r="P495" i="2" s="1"/>
  <c r="Q496" i="2"/>
  <c r="N496" i="2" s="1"/>
  <c r="P496" i="2" s="1"/>
  <c r="Q497" i="2"/>
  <c r="N497" i="2" s="1"/>
  <c r="P497" i="2" s="1"/>
  <c r="Q498" i="2"/>
  <c r="N498" i="2" s="1"/>
  <c r="P498" i="2" s="1"/>
  <c r="Q499" i="2"/>
  <c r="N499" i="2" s="1"/>
  <c r="P499" i="2" s="1"/>
  <c r="Q500" i="2"/>
  <c r="N500" i="2" s="1"/>
  <c r="P500" i="2" s="1"/>
  <c r="Q501" i="2"/>
  <c r="N501" i="2" s="1"/>
  <c r="Q502" i="2"/>
  <c r="N502" i="2" s="1"/>
  <c r="P502" i="2" s="1"/>
  <c r="Q503" i="2"/>
  <c r="N503" i="2" s="1"/>
  <c r="P503" i="2" s="1"/>
  <c r="Q504" i="2"/>
  <c r="N504" i="2" s="1"/>
  <c r="Q505" i="2"/>
  <c r="N505" i="2" s="1"/>
  <c r="P505" i="2" s="1"/>
  <c r="Q506" i="2"/>
  <c r="N506" i="2" s="1"/>
  <c r="P506" i="2" s="1"/>
  <c r="Q507" i="2"/>
  <c r="N507" i="2" s="1"/>
  <c r="P507" i="2" s="1"/>
  <c r="Q508" i="2"/>
  <c r="N508" i="2" s="1"/>
  <c r="P508" i="2" s="1"/>
  <c r="Q509" i="2"/>
  <c r="N509" i="2" s="1"/>
  <c r="P509" i="2" s="1"/>
  <c r="Q510" i="2"/>
  <c r="N510" i="2" s="1"/>
  <c r="P510" i="2" s="1"/>
  <c r="Q511" i="2"/>
  <c r="N511" i="2" s="1"/>
  <c r="P511" i="2" s="1"/>
  <c r="Q512" i="2"/>
  <c r="N512" i="2" s="1"/>
  <c r="P512" i="2" s="1"/>
  <c r="Q513" i="2"/>
  <c r="N513" i="2" s="1"/>
  <c r="P513" i="2" s="1"/>
  <c r="Q514" i="2"/>
  <c r="N514" i="2" s="1"/>
  <c r="P514" i="2" s="1"/>
  <c r="Q515" i="2"/>
  <c r="N515" i="2" s="1"/>
  <c r="P515" i="2" s="1"/>
  <c r="Q516" i="2"/>
  <c r="N516" i="2" s="1"/>
  <c r="P516" i="2" s="1"/>
  <c r="Q517" i="2"/>
  <c r="N517" i="2" s="1"/>
  <c r="P517" i="2" s="1"/>
  <c r="Q518" i="2"/>
  <c r="N518" i="2" s="1"/>
  <c r="P518" i="2" s="1"/>
  <c r="Q519" i="2"/>
  <c r="N519" i="2" s="1"/>
  <c r="P519" i="2" s="1"/>
  <c r="Q520" i="2"/>
  <c r="N520" i="2" s="1"/>
  <c r="Q521" i="2"/>
  <c r="N521" i="2" s="1"/>
  <c r="P521" i="2" s="1"/>
  <c r="Q522" i="2"/>
  <c r="N522" i="2" s="1"/>
  <c r="P522" i="2" s="1"/>
  <c r="Q523" i="2"/>
  <c r="N523" i="2" s="1"/>
  <c r="P523" i="2" s="1"/>
  <c r="Q524" i="2"/>
  <c r="N524" i="2" s="1"/>
  <c r="P524" i="2" s="1"/>
  <c r="Q525" i="2"/>
  <c r="N525" i="2" s="1"/>
  <c r="P525" i="2" s="1"/>
  <c r="Q526" i="2"/>
  <c r="N526" i="2" s="1"/>
  <c r="P526" i="2" s="1"/>
  <c r="Q527" i="2"/>
  <c r="N527" i="2" s="1"/>
  <c r="P527" i="2" s="1"/>
  <c r="Q528" i="2"/>
  <c r="N528" i="2" s="1"/>
  <c r="P528" i="2" s="1"/>
  <c r="Q529" i="2"/>
  <c r="N529" i="2" s="1"/>
  <c r="P529" i="2" s="1"/>
  <c r="Q530" i="2"/>
  <c r="N530" i="2" s="1"/>
  <c r="P530" i="2" s="1"/>
  <c r="Q531" i="2"/>
  <c r="N531" i="2" s="1"/>
  <c r="P531" i="2" s="1"/>
  <c r="Q532" i="2"/>
  <c r="N532" i="2" s="1"/>
  <c r="P532" i="2" s="1"/>
  <c r="Q533" i="2"/>
  <c r="N533" i="2" s="1"/>
  <c r="P533" i="2" s="1"/>
  <c r="Q534" i="2"/>
  <c r="N534" i="2" s="1"/>
  <c r="P534" i="2" s="1"/>
  <c r="Q535" i="2"/>
  <c r="N535" i="2" s="1"/>
  <c r="P535" i="2" s="1"/>
  <c r="Q536" i="2"/>
  <c r="N536" i="2" s="1"/>
  <c r="P536" i="2" s="1"/>
  <c r="Q537" i="2"/>
  <c r="N537" i="2" s="1"/>
  <c r="P537" i="2" s="1"/>
  <c r="Q538" i="2"/>
  <c r="N538" i="2" s="1"/>
  <c r="P538" i="2" s="1"/>
  <c r="Q539" i="2"/>
  <c r="N539" i="2" s="1"/>
  <c r="P539" i="2" s="1"/>
  <c r="Q540" i="2"/>
  <c r="N540" i="2" s="1"/>
  <c r="P540" i="2" s="1"/>
  <c r="Q541" i="2"/>
  <c r="N541" i="2" s="1"/>
  <c r="P541" i="2" s="1"/>
  <c r="Q542" i="2"/>
  <c r="N542" i="2" s="1"/>
  <c r="P542" i="2" s="1"/>
  <c r="Q543" i="2"/>
  <c r="N543" i="2" s="1"/>
  <c r="P543" i="2" s="1"/>
  <c r="Q544" i="2"/>
  <c r="N544" i="2" s="1"/>
  <c r="P544" i="2" s="1"/>
  <c r="Q545" i="2"/>
  <c r="N545" i="2" s="1"/>
  <c r="P545" i="2" s="1"/>
  <c r="Q546" i="2"/>
  <c r="N546" i="2" s="1"/>
  <c r="P546" i="2" s="1"/>
  <c r="Q547" i="2"/>
  <c r="N547" i="2" s="1"/>
  <c r="P547" i="2" s="1"/>
  <c r="Q548" i="2"/>
  <c r="N548" i="2" s="1"/>
  <c r="P548" i="2" s="1"/>
  <c r="Q549" i="2"/>
  <c r="N549" i="2" s="1"/>
  <c r="Q550" i="2"/>
  <c r="N550" i="2" s="1"/>
  <c r="P550" i="2" s="1"/>
  <c r="Q551" i="2"/>
  <c r="N551" i="2" s="1"/>
  <c r="P551" i="2" s="1"/>
  <c r="Q552" i="2"/>
  <c r="N552" i="2" s="1"/>
  <c r="P552" i="2" s="1"/>
  <c r="Q553" i="2"/>
  <c r="N553" i="2" s="1"/>
  <c r="P553" i="2" s="1"/>
  <c r="Q554" i="2"/>
  <c r="N554" i="2" s="1"/>
  <c r="P554" i="2" s="1"/>
  <c r="Q555" i="2"/>
  <c r="N555" i="2" s="1"/>
  <c r="P555" i="2" s="1"/>
  <c r="Q556" i="2"/>
  <c r="N556" i="2" s="1"/>
  <c r="P556" i="2" s="1"/>
  <c r="Q557" i="2"/>
  <c r="N557" i="2" s="1"/>
  <c r="P557" i="2" s="1"/>
  <c r="Q558" i="2"/>
  <c r="N558" i="2" s="1"/>
  <c r="P558" i="2" s="1"/>
  <c r="Q559" i="2"/>
  <c r="N559" i="2" s="1"/>
  <c r="P559" i="2" s="1"/>
  <c r="Q560" i="2"/>
  <c r="N560" i="2" s="1"/>
  <c r="P560" i="2" s="1"/>
  <c r="Q561" i="2"/>
  <c r="N561" i="2" s="1"/>
  <c r="P561" i="2" s="1"/>
  <c r="Q562" i="2"/>
  <c r="N562" i="2" s="1"/>
  <c r="P562" i="2" s="1"/>
  <c r="Q563" i="2"/>
  <c r="N563" i="2" s="1"/>
  <c r="P563" i="2" s="1"/>
  <c r="Q564" i="2"/>
  <c r="N564" i="2" s="1"/>
  <c r="P564" i="2" s="1"/>
  <c r="Q565" i="2"/>
  <c r="N565" i="2" s="1"/>
  <c r="Q566" i="2"/>
  <c r="N566" i="2" s="1"/>
  <c r="P566" i="2" s="1"/>
  <c r="Q567" i="2"/>
  <c r="N567" i="2" s="1"/>
  <c r="P567" i="2" s="1"/>
  <c r="Q568" i="2"/>
  <c r="N568" i="2" s="1"/>
  <c r="Q569" i="2"/>
  <c r="N569" i="2" s="1"/>
  <c r="P569" i="2" s="1"/>
  <c r="Q570" i="2"/>
  <c r="N570" i="2" s="1"/>
  <c r="P570" i="2" s="1"/>
  <c r="Q571" i="2"/>
  <c r="N571" i="2" s="1"/>
  <c r="P571" i="2" s="1"/>
  <c r="Q572" i="2"/>
  <c r="N572" i="2" s="1"/>
  <c r="P572" i="2" s="1"/>
  <c r="Q573" i="2"/>
  <c r="N573" i="2" s="1"/>
  <c r="P573" i="2" s="1"/>
  <c r="Q574" i="2"/>
  <c r="N574" i="2" s="1"/>
  <c r="P574" i="2" s="1"/>
  <c r="Q575" i="2"/>
  <c r="N575" i="2" s="1"/>
  <c r="P575" i="2" s="1"/>
  <c r="Q576" i="2"/>
  <c r="N576" i="2" s="1"/>
  <c r="P576" i="2" s="1"/>
  <c r="Q577" i="2"/>
  <c r="N577" i="2" s="1"/>
  <c r="P577" i="2" s="1"/>
  <c r="Q578" i="2"/>
  <c r="N578" i="2" s="1"/>
  <c r="P578" i="2" s="1"/>
  <c r="Q579" i="2"/>
  <c r="N579" i="2" s="1"/>
  <c r="P579" i="2" s="1"/>
  <c r="Q580" i="2"/>
  <c r="N580" i="2" s="1"/>
  <c r="P580" i="2" s="1"/>
  <c r="Q581" i="2"/>
  <c r="N581" i="2" s="1"/>
  <c r="P581" i="2" s="1"/>
  <c r="Q582" i="2"/>
  <c r="N582" i="2" s="1"/>
  <c r="P582" i="2" s="1"/>
  <c r="Q583" i="2"/>
  <c r="N583" i="2" s="1"/>
  <c r="P583" i="2" s="1"/>
  <c r="Q584" i="2"/>
  <c r="N584" i="2" s="1"/>
  <c r="Q585" i="2"/>
  <c r="N585" i="2" s="1"/>
  <c r="P585" i="2" s="1"/>
  <c r="Q586" i="2"/>
  <c r="N586" i="2" s="1"/>
  <c r="P586" i="2" s="1"/>
  <c r="Q587" i="2"/>
  <c r="N587" i="2" s="1"/>
  <c r="P587" i="2" s="1"/>
  <c r="Q588" i="2"/>
  <c r="N588" i="2" s="1"/>
  <c r="P588" i="2" s="1"/>
  <c r="Q589" i="2"/>
  <c r="N589" i="2" s="1"/>
  <c r="P589" i="2" s="1"/>
  <c r="Q590" i="2"/>
  <c r="N590" i="2" s="1"/>
  <c r="P590" i="2" s="1"/>
  <c r="Q591" i="2"/>
  <c r="N591" i="2" s="1"/>
  <c r="P591" i="2" s="1"/>
  <c r="Q592" i="2"/>
  <c r="N592" i="2" s="1"/>
  <c r="P592" i="2" s="1"/>
  <c r="Q593" i="2"/>
  <c r="N593" i="2" s="1"/>
  <c r="P593" i="2" s="1"/>
  <c r="Q594" i="2"/>
  <c r="N594" i="2" s="1"/>
  <c r="P594" i="2" s="1"/>
  <c r="Q595" i="2"/>
  <c r="N595" i="2" s="1"/>
  <c r="P595" i="2" s="1"/>
  <c r="Q596" i="2"/>
  <c r="N596" i="2" s="1"/>
  <c r="P596" i="2" s="1"/>
  <c r="Q597" i="2"/>
  <c r="N597" i="2" s="1"/>
  <c r="P597" i="2" s="1"/>
  <c r="Q598" i="2"/>
  <c r="N598" i="2" s="1"/>
  <c r="P598" i="2" s="1"/>
  <c r="Q599" i="2"/>
  <c r="N599" i="2" s="1"/>
  <c r="P599" i="2" s="1"/>
  <c r="Q600" i="2"/>
  <c r="N600" i="2" s="1"/>
  <c r="P600" i="2" s="1"/>
  <c r="Q601" i="2"/>
  <c r="N601" i="2" s="1"/>
  <c r="P601" i="2" s="1"/>
  <c r="Q602" i="2"/>
  <c r="N602" i="2" s="1"/>
  <c r="P602" i="2" s="1"/>
  <c r="Q603" i="2"/>
  <c r="N603" i="2" s="1"/>
  <c r="P603" i="2" s="1"/>
  <c r="Q604" i="2"/>
  <c r="N604" i="2" s="1"/>
  <c r="P604" i="2" s="1"/>
  <c r="Q605" i="2"/>
  <c r="N605" i="2" s="1"/>
  <c r="P605" i="2" s="1"/>
  <c r="Q606" i="2"/>
  <c r="N606" i="2" s="1"/>
  <c r="P606" i="2" s="1"/>
  <c r="Q607" i="2"/>
  <c r="N607" i="2" s="1"/>
  <c r="P607" i="2" s="1"/>
  <c r="Q608" i="2"/>
  <c r="N608" i="2" s="1"/>
  <c r="P608" i="2" s="1"/>
  <c r="Q609" i="2"/>
  <c r="N609" i="2" s="1"/>
  <c r="P609" i="2" s="1"/>
  <c r="Q610" i="2"/>
  <c r="N610" i="2" s="1"/>
  <c r="P610" i="2" s="1"/>
  <c r="Q611" i="2"/>
  <c r="N611" i="2" s="1"/>
  <c r="P611" i="2" s="1"/>
  <c r="Q612" i="2"/>
  <c r="N612" i="2" s="1"/>
  <c r="P612" i="2" s="1"/>
  <c r="Q613" i="2"/>
  <c r="N613" i="2" s="1"/>
  <c r="Q614" i="2"/>
  <c r="N614" i="2" s="1"/>
  <c r="P614" i="2" s="1"/>
  <c r="Q615" i="2"/>
  <c r="N615" i="2" s="1"/>
  <c r="P615" i="2" s="1"/>
  <c r="Q616" i="2"/>
  <c r="N616" i="2" s="1"/>
  <c r="P616" i="2" s="1"/>
  <c r="Q617" i="2"/>
  <c r="N617" i="2" s="1"/>
  <c r="P617" i="2" s="1"/>
  <c r="Q618" i="2"/>
  <c r="N618" i="2" s="1"/>
  <c r="P618" i="2" s="1"/>
  <c r="Q619" i="2"/>
  <c r="N619" i="2" s="1"/>
  <c r="P619" i="2" s="1"/>
  <c r="Q620" i="2"/>
  <c r="N620" i="2" s="1"/>
  <c r="P620" i="2" s="1"/>
  <c r="Q621" i="2"/>
  <c r="N621" i="2" s="1"/>
  <c r="P621" i="2" s="1"/>
  <c r="Q622" i="2"/>
  <c r="N622" i="2" s="1"/>
  <c r="P622" i="2" s="1"/>
  <c r="Q623" i="2"/>
  <c r="N623" i="2" s="1"/>
  <c r="P623" i="2" s="1"/>
  <c r="Q624" i="2"/>
  <c r="N624" i="2" s="1"/>
  <c r="P624" i="2" s="1"/>
  <c r="Q625" i="2"/>
  <c r="N625" i="2" s="1"/>
  <c r="P625" i="2" s="1"/>
  <c r="Q626" i="2"/>
  <c r="N626" i="2" s="1"/>
  <c r="P626" i="2" s="1"/>
  <c r="Q627" i="2"/>
  <c r="N627" i="2" s="1"/>
  <c r="P627" i="2" s="1"/>
  <c r="Q628" i="2"/>
  <c r="N628" i="2" s="1"/>
  <c r="P628" i="2" s="1"/>
  <c r="Q629" i="2"/>
  <c r="N629" i="2" s="1"/>
  <c r="Q630" i="2"/>
  <c r="N630" i="2" s="1"/>
  <c r="P630" i="2" s="1"/>
  <c r="Q631" i="2"/>
  <c r="N631" i="2" s="1"/>
  <c r="P631" i="2" s="1"/>
  <c r="Q632" i="2"/>
  <c r="N632" i="2" s="1"/>
  <c r="Q633" i="2"/>
  <c r="N633" i="2" s="1"/>
  <c r="P633" i="2" s="1"/>
  <c r="Q634" i="2"/>
  <c r="N634" i="2" s="1"/>
  <c r="P634" i="2" s="1"/>
  <c r="Q635" i="2"/>
  <c r="N635" i="2" s="1"/>
  <c r="P635" i="2" s="1"/>
  <c r="Q636" i="2"/>
  <c r="N636" i="2" s="1"/>
  <c r="P636" i="2" s="1"/>
  <c r="Q637" i="2"/>
  <c r="N637" i="2" s="1"/>
  <c r="P637" i="2" s="1"/>
  <c r="Q638" i="2"/>
  <c r="N638" i="2" s="1"/>
  <c r="P638" i="2" s="1"/>
  <c r="Q639" i="2"/>
  <c r="N639" i="2" s="1"/>
  <c r="P639" i="2" s="1"/>
  <c r="Q640" i="2"/>
  <c r="N640" i="2" s="1"/>
  <c r="P640" i="2" s="1"/>
  <c r="Q641" i="2"/>
  <c r="N641" i="2" s="1"/>
  <c r="P641" i="2" s="1"/>
  <c r="Q642" i="2"/>
  <c r="N642" i="2" s="1"/>
  <c r="P642" i="2" s="1"/>
  <c r="Q643" i="2"/>
  <c r="N643" i="2" s="1"/>
  <c r="P643" i="2" s="1"/>
  <c r="Q644" i="2"/>
  <c r="N644" i="2" s="1"/>
  <c r="P644" i="2" s="1"/>
  <c r="Q645" i="2"/>
  <c r="N645" i="2" s="1"/>
  <c r="P645" i="2" s="1"/>
  <c r="Q646" i="2"/>
  <c r="N646" i="2" s="1"/>
  <c r="P646" i="2" s="1"/>
  <c r="Q647" i="2"/>
  <c r="N647" i="2" s="1"/>
  <c r="P647" i="2" s="1"/>
  <c r="Q648" i="2"/>
  <c r="N648" i="2" s="1"/>
  <c r="Q649" i="2"/>
  <c r="N649" i="2" s="1"/>
  <c r="P649" i="2" s="1"/>
  <c r="Q650" i="2"/>
  <c r="N650" i="2" s="1"/>
  <c r="P650" i="2" s="1"/>
  <c r="Q651" i="2"/>
  <c r="N651" i="2" s="1"/>
  <c r="P651" i="2" s="1"/>
  <c r="Q652" i="2"/>
  <c r="N652" i="2" s="1"/>
  <c r="P652" i="2" s="1"/>
  <c r="Q653" i="2"/>
  <c r="N653" i="2" s="1"/>
  <c r="P653" i="2" s="1"/>
  <c r="Q654" i="2"/>
  <c r="N654" i="2" s="1"/>
  <c r="P654" i="2" s="1"/>
  <c r="Q655" i="2"/>
  <c r="N655" i="2" s="1"/>
  <c r="P655" i="2" s="1"/>
  <c r="Q656" i="2"/>
  <c r="N656" i="2" s="1"/>
  <c r="P656" i="2" s="1"/>
  <c r="Q657" i="2"/>
  <c r="N657" i="2" s="1"/>
  <c r="P657" i="2" s="1"/>
  <c r="Q658" i="2"/>
  <c r="N658" i="2" s="1"/>
  <c r="P658" i="2" s="1"/>
  <c r="Q659" i="2"/>
  <c r="N659" i="2" s="1"/>
  <c r="P659" i="2" s="1"/>
  <c r="Q660" i="2"/>
  <c r="N660" i="2" s="1"/>
  <c r="P660" i="2" s="1"/>
  <c r="Q661" i="2"/>
  <c r="N661" i="2" s="1"/>
  <c r="P661" i="2" s="1"/>
  <c r="Q662" i="2"/>
  <c r="N662" i="2" s="1"/>
  <c r="P662" i="2" s="1"/>
  <c r="Q663" i="2"/>
  <c r="N663" i="2" s="1"/>
  <c r="P663" i="2" s="1"/>
  <c r="Q664" i="2"/>
  <c r="N664" i="2" s="1"/>
  <c r="P664" i="2" s="1"/>
  <c r="Q665" i="2"/>
  <c r="N665" i="2" s="1"/>
  <c r="P665" i="2" s="1"/>
  <c r="Q666" i="2"/>
  <c r="N666" i="2" s="1"/>
  <c r="P666" i="2" s="1"/>
  <c r="Q667" i="2"/>
  <c r="N667" i="2" s="1"/>
  <c r="P667" i="2" s="1"/>
  <c r="Q668" i="2"/>
  <c r="N668" i="2" s="1"/>
  <c r="P668" i="2" s="1"/>
  <c r="Q669" i="2"/>
  <c r="N669" i="2" s="1"/>
  <c r="P669" i="2" s="1"/>
  <c r="Q670" i="2"/>
  <c r="N670" i="2" s="1"/>
  <c r="P670" i="2" s="1"/>
  <c r="Q671" i="2"/>
  <c r="N671" i="2" s="1"/>
  <c r="P671" i="2" s="1"/>
  <c r="Q672" i="2"/>
  <c r="N672" i="2" s="1"/>
  <c r="P672" i="2" s="1"/>
  <c r="Q673" i="2"/>
  <c r="N673" i="2" s="1"/>
  <c r="P673" i="2" s="1"/>
  <c r="Q674" i="2"/>
  <c r="N674" i="2" s="1"/>
  <c r="P674" i="2" s="1"/>
  <c r="Q675" i="2"/>
  <c r="N675" i="2" s="1"/>
  <c r="P675" i="2" s="1"/>
  <c r="Q676" i="2"/>
  <c r="N676" i="2" s="1"/>
  <c r="P676" i="2" s="1"/>
  <c r="Q677" i="2"/>
  <c r="N677" i="2" s="1"/>
  <c r="Q678" i="2"/>
  <c r="N678" i="2" s="1"/>
  <c r="P678" i="2" s="1"/>
  <c r="Q679" i="2"/>
  <c r="N679" i="2" s="1"/>
  <c r="P679" i="2" s="1"/>
  <c r="Q680" i="2"/>
  <c r="N680" i="2" s="1"/>
  <c r="P680" i="2" s="1"/>
  <c r="Q681" i="2"/>
  <c r="N681" i="2" s="1"/>
  <c r="P681" i="2" s="1"/>
  <c r="Q682" i="2"/>
  <c r="N682" i="2" s="1"/>
  <c r="P682" i="2" s="1"/>
  <c r="Q683" i="2"/>
  <c r="N683" i="2" s="1"/>
  <c r="P683" i="2" s="1"/>
  <c r="Q684" i="2"/>
  <c r="N684" i="2" s="1"/>
  <c r="P684" i="2" s="1"/>
  <c r="Q685" i="2"/>
  <c r="N685" i="2" s="1"/>
  <c r="P685" i="2" s="1"/>
  <c r="Q686" i="2"/>
  <c r="N686" i="2" s="1"/>
  <c r="P686" i="2" s="1"/>
  <c r="Q687" i="2"/>
  <c r="N687" i="2" s="1"/>
  <c r="P687" i="2" s="1"/>
  <c r="Q688" i="2"/>
  <c r="N688" i="2" s="1"/>
  <c r="P688" i="2" s="1"/>
  <c r="Q689" i="2"/>
  <c r="N689" i="2" s="1"/>
  <c r="P689" i="2" s="1"/>
  <c r="Q690" i="2"/>
  <c r="N690" i="2" s="1"/>
  <c r="P690" i="2" s="1"/>
  <c r="Q691" i="2"/>
  <c r="N691" i="2" s="1"/>
  <c r="P691" i="2" s="1"/>
  <c r="Q692" i="2"/>
  <c r="N692" i="2" s="1"/>
  <c r="P692" i="2" s="1"/>
  <c r="Q693" i="2"/>
  <c r="N693" i="2" s="1"/>
  <c r="Q694" i="2"/>
  <c r="N694" i="2" s="1"/>
  <c r="P694" i="2" s="1"/>
  <c r="Q695" i="2"/>
  <c r="N695" i="2" s="1"/>
  <c r="P695" i="2" s="1"/>
  <c r="Q696" i="2"/>
  <c r="N696" i="2" s="1"/>
  <c r="Q697" i="2"/>
  <c r="N697" i="2" s="1"/>
  <c r="P697" i="2" s="1"/>
  <c r="Q698" i="2"/>
  <c r="N698" i="2" s="1"/>
  <c r="P698" i="2" s="1"/>
  <c r="Q699" i="2"/>
  <c r="N699" i="2" s="1"/>
  <c r="P699" i="2" s="1"/>
  <c r="Q700" i="2"/>
  <c r="N700" i="2" s="1"/>
  <c r="P700" i="2" s="1"/>
  <c r="Q701" i="2"/>
  <c r="N701" i="2" s="1"/>
  <c r="P701" i="2" s="1"/>
  <c r="Q702" i="2"/>
  <c r="N702" i="2" s="1"/>
  <c r="P702" i="2" s="1"/>
  <c r="Q703" i="2"/>
  <c r="N703" i="2" s="1"/>
  <c r="P703" i="2" s="1"/>
  <c r="Q704" i="2"/>
  <c r="N704" i="2" s="1"/>
  <c r="P704" i="2" s="1"/>
  <c r="Q705" i="2"/>
  <c r="N705" i="2" s="1"/>
  <c r="P705" i="2" s="1"/>
  <c r="Q706" i="2"/>
  <c r="N706" i="2" s="1"/>
  <c r="P706" i="2" s="1"/>
  <c r="Q707" i="2"/>
  <c r="N707" i="2" s="1"/>
  <c r="P707" i="2" s="1"/>
  <c r="Q708" i="2"/>
  <c r="N708" i="2" s="1"/>
  <c r="P708" i="2" s="1"/>
  <c r="Q709" i="2"/>
  <c r="N709" i="2" s="1"/>
  <c r="P709" i="2" s="1"/>
  <c r="Q710" i="2"/>
  <c r="N710" i="2" s="1"/>
  <c r="P710" i="2" s="1"/>
  <c r="Q711" i="2"/>
  <c r="N711" i="2" s="1"/>
  <c r="P711" i="2" s="1"/>
  <c r="Q712" i="2"/>
  <c r="N712" i="2" s="1"/>
  <c r="Q713" i="2"/>
  <c r="N713" i="2" s="1"/>
  <c r="P713" i="2" s="1"/>
  <c r="Q714" i="2"/>
  <c r="N714" i="2" s="1"/>
  <c r="P714" i="2" s="1"/>
  <c r="Q715" i="2"/>
  <c r="N715" i="2" s="1"/>
  <c r="P715" i="2" s="1"/>
  <c r="Q716" i="2"/>
  <c r="N716" i="2" s="1"/>
  <c r="P716" i="2" s="1"/>
  <c r="Q717" i="2"/>
  <c r="N717" i="2" s="1"/>
  <c r="P717" i="2" s="1"/>
  <c r="Q718" i="2"/>
  <c r="N718" i="2" s="1"/>
  <c r="P718" i="2" s="1"/>
  <c r="Q719" i="2"/>
  <c r="N719" i="2" s="1"/>
  <c r="P719" i="2" s="1"/>
  <c r="Q720" i="2"/>
  <c r="N720" i="2" s="1"/>
  <c r="P720" i="2" s="1"/>
  <c r="Q721" i="2"/>
  <c r="N721" i="2" s="1"/>
  <c r="P721" i="2" s="1"/>
  <c r="Q722" i="2"/>
  <c r="N722" i="2" s="1"/>
  <c r="P722" i="2" s="1"/>
  <c r="Q723" i="2"/>
  <c r="N723" i="2" s="1"/>
  <c r="P723" i="2" s="1"/>
  <c r="Q724" i="2"/>
  <c r="N724" i="2" s="1"/>
  <c r="P724" i="2" s="1"/>
  <c r="Q725" i="2"/>
  <c r="N725" i="2" s="1"/>
  <c r="P725" i="2" s="1"/>
  <c r="Q726" i="2"/>
  <c r="N726" i="2" s="1"/>
  <c r="P726" i="2" s="1"/>
  <c r="Q727" i="2"/>
  <c r="N727" i="2" s="1"/>
  <c r="P727" i="2" s="1"/>
  <c r="Q728" i="2"/>
  <c r="N728" i="2" s="1"/>
  <c r="P728" i="2" s="1"/>
  <c r="Q729" i="2"/>
  <c r="N729" i="2" s="1"/>
  <c r="P729" i="2" s="1"/>
  <c r="Q730" i="2"/>
  <c r="N730" i="2" s="1"/>
  <c r="P730" i="2" s="1"/>
  <c r="Q731" i="2"/>
  <c r="N731" i="2" s="1"/>
  <c r="P731" i="2" s="1"/>
  <c r="Q732" i="2"/>
  <c r="N732" i="2" s="1"/>
  <c r="P732" i="2" s="1"/>
  <c r="Q733" i="2"/>
  <c r="N733" i="2" s="1"/>
  <c r="P733" i="2" s="1"/>
  <c r="Q734" i="2"/>
  <c r="N734" i="2" s="1"/>
  <c r="P734" i="2" s="1"/>
  <c r="Q735" i="2"/>
  <c r="N735" i="2" s="1"/>
  <c r="P735" i="2" s="1"/>
  <c r="Q736" i="2"/>
  <c r="N736" i="2" s="1"/>
  <c r="P736" i="2" s="1"/>
  <c r="Q737" i="2"/>
  <c r="N737" i="2" s="1"/>
  <c r="P737" i="2" s="1"/>
  <c r="Q738" i="2"/>
  <c r="N738" i="2" s="1"/>
  <c r="P738" i="2" s="1"/>
  <c r="Q739" i="2"/>
  <c r="N739" i="2" s="1"/>
  <c r="P739" i="2" s="1"/>
  <c r="Q740" i="2"/>
  <c r="N740" i="2" s="1"/>
  <c r="P740" i="2" s="1"/>
  <c r="Q741" i="2"/>
  <c r="N741" i="2" s="1"/>
  <c r="Q742" i="2"/>
  <c r="N742" i="2" s="1"/>
  <c r="P742" i="2" s="1"/>
  <c r="Q743" i="2"/>
  <c r="N743" i="2" s="1"/>
  <c r="P743" i="2" s="1"/>
  <c r="Q744" i="2"/>
  <c r="N744" i="2" s="1"/>
  <c r="P744" i="2" s="1"/>
  <c r="Q745" i="2"/>
  <c r="N745" i="2" s="1"/>
  <c r="P745" i="2" s="1"/>
  <c r="Q746" i="2"/>
  <c r="N746" i="2" s="1"/>
  <c r="P746" i="2" s="1"/>
  <c r="Q747" i="2"/>
  <c r="N747" i="2" s="1"/>
  <c r="P747" i="2" s="1"/>
  <c r="Q748" i="2"/>
  <c r="N748" i="2" s="1"/>
  <c r="P748" i="2" s="1"/>
  <c r="Q749" i="2"/>
  <c r="N749" i="2" s="1"/>
  <c r="P749" i="2" s="1"/>
  <c r="Q750" i="2"/>
  <c r="N750" i="2" s="1"/>
  <c r="P750" i="2" s="1"/>
  <c r="Q751" i="2"/>
  <c r="N751" i="2" s="1"/>
  <c r="P751" i="2" s="1"/>
  <c r="Q752" i="2"/>
  <c r="N752" i="2" s="1"/>
  <c r="P752" i="2" s="1"/>
  <c r="Q753" i="2"/>
  <c r="N753" i="2" s="1"/>
  <c r="P753" i="2" s="1"/>
  <c r="Q754" i="2"/>
  <c r="N754" i="2" s="1"/>
  <c r="P754" i="2" s="1"/>
  <c r="Q755" i="2"/>
  <c r="N755" i="2" s="1"/>
  <c r="P755" i="2" s="1"/>
  <c r="Q756" i="2"/>
  <c r="N756" i="2" s="1"/>
  <c r="P756" i="2" s="1"/>
  <c r="Q757" i="2"/>
  <c r="N757" i="2" s="1"/>
  <c r="Q758" i="2"/>
  <c r="N758" i="2" s="1"/>
  <c r="P758" i="2" s="1"/>
  <c r="Q759" i="2"/>
  <c r="N759" i="2" s="1"/>
  <c r="P759" i="2" s="1"/>
  <c r="Q760" i="2"/>
  <c r="N760" i="2" s="1"/>
  <c r="Q761" i="2"/>
  <c r="N761" i="2" s="1"/>
  <c r="P761" i="2" s="1"/>
  <c r="Q762" i="2"/>
  <c r="N762" i="2" s="1"/>
  <c r="P762" i="2" s="1"/>
  <c r="Q763" i="2"/>
  <c r="N763" i="2" s="1"/>
  <c r="P763" i="2" s="1"/>
  <c r="Q764" i="2"/>
  <c r="N764" i="2" s="1"/>
  <c r="P764" i="2" s="1"/>
  <c r="Q765" i="2"/>
  <c r="N765" i="2" s="1"/>
  <c r="P765" i="2" s="1"/>
  <c r="Q766" i="2"/>
  <c r="N766" i="2" s="1"/>
  <c r="P766" i="2" s="1"/>
  <c r="Q767" i="2"/>
  <c r="N767" i="2" s="1"/>
  <c r="P767" i="2" s="1"/>
  <c r="Q768" i="2"/>
  <c r="N768" i="2" s="1"/>
  <c r="P768" i="2" s="1"/>
  <c r="Q769" i="2"/>
  <c r="N769" i="2" s="1"/>
  <c r="P769" i="2" s="1"/>
  <c r="Q770" i="2"/>
  <c r="N770" i="2" s="1"/>
  <c r="P770" i="2" s="1"/>
  <c r="Q771" i="2"/>
  <c r="N771" i="2" s="1"/>
  <c r="P771" i="2" s="1"/>
  <c r="Q772" i="2"/>
  <c r="N772" i="2" s="1"/>
  <c r="P772" i="2" s="1"/>
  <c r="Q773" i="2"/>
  <c r="N773" i="2" s="1"/>
  <c r="P773" i="2" s="1"/>
  <c r="Q774" i="2"/>
  <c r="N774" i="2" s="1"/>
  <c r="P774" i="2" s="1"/>
  <c r="Q775" i="2"/>
  <c r="N775" i="2" s="1"/>
  <c r="P775" i="2" s="1"/>
  <c r="Q776" i="2"/>
  <c r="N776" i="2" s="1"/>
  <c r="Q777" i="2"/>
  <c r="N777" i="2" s="1"/>
  <c r="P777" i="2" s="1"/>
  <c r="Q778" i="2"/>
  <c r="N778" i="2" s="1"/>
  <c r="P778" i="2" s="1"/>
  <c r="Q779" i="2"/>
  <c r="N779" i="2" s="1"/>
  <c r="P779" i="2" s="1"/>
  <c r="Q780" i="2"/>
  <c r="N780" i="2" s="1"/>
  <c r="P780" i="2" s="1"/>
  <c r="Q781" i="2"/>
  <c r="N781" i="2" s="1"/>
  <c r="P781" i="2" s="1"/>
  <c r="Q782" i="2"/>
  <c r="N782" i="2" s="1"/>
  <c r="P782" i="2" s="1"/>
  <c r="Q783" i="2"/>
  <c r="N783" i="2" s="1"/>
  <c r="P783" i="2" s="1"/>
  <c r="Q784" i="2"/>
  <c r="N784" i="2" s="1"/>
  <c r="P784" i="2" s="1"/>
  <c r="Q785" i="2"/>
  <c r="N785" i="2" s="1"/>
  <c r="P785" i="2" s="1"/>
  <c r="Q786" i="2"/>
  <c r="N786" i="2" s="1"/>
  <c r="P786" i="2" s="1"/>
  <c r="Q787" i="2"/>
  <c r="N787" i="2" s="1"/>
  <c r="P787" i="2" s="1"/>
  <c r="Q788" i="2"/>
  <c r="N788" i="2" s="1"/>
  <c r="P788" i="2" s="1"/>
  <c r="Q789" i="2"/>
  <c r="N789" i="2" s="1"/>
  <c r="P789" i="2" s="1"/>
  <c r="Q790" i="2"/>
  <c r="N790" i="2" s="1"/>
  <c r="P790" i="2" s="1"/>
  <c r="Q791" i="2"/>
  <c r="N791" i="2" s="1"/>
  <c r="P791" i="2" s="1"/>
  <c r="Q792" i="2"/>
  <c r="N792" i="2" s="1"/>
  <c r="P792" i="2" s="1"/>
  <c r="Q793" i="2"/>
  <c r="N793" i="2" s="1"/>
  <c r="P793" i="2" s="1"/>
  <c r="Q794" i="2"/>
  <c r="N794" i="2" s="1"/>
  <c r="P794" i="2" s="1"/>
  <c r="Q795" i="2"/>
  <c r="N795" i="2" s="1"/>
  <c r="P795" i="2" s="1"/>
  <c r="Q796" i="2"/>
  <c r="N796" i="2" s="1"/>
  <c r="P796" i="2" s="1"/>
  <c r="Q797" i="2"/>
  <c r="N797" i="2" s="1"/>
  <c r="P797" i="2" s="1"/>
  <c r="Q798" i="2"/>
  <c r="N798" i="2" s="1"/>
  <c r="P798" i="2" s="1"/>
  <c r="Q799" i="2"/>
  <c r="N799" i="2" s="1"/>
  <c r="P799" i="2" s="1"/>
  <c r="Q800" i="2"/>
  <c r="N800" i="2" s="1"/>
  <c r="P800" i="2" s="1"/>
  <c r="Q801" i="2"/>
  <c r="N801" i="2" s="1"/>
  <c r="P801" i="2" s="1"/>
  <c r="Q802" i="2"/>
  <c r="N802" i="2" s="1"/>
  <c r="P802" i="2" s="1"/>
  <c r="Q803" i="2"/>
  <c r="N803" i="2" s="1"/>
  <c r="P803" i="2" s="1"/>
  <c r="Q804" i="2"/>
  <c r="N804" i="2" s="1"/>
  <c r="P804" i="2" s="1"/>
  <c r="Q805" i="2"/>
  <c r="N805" i="2" s="1"/>
  <c r="Q806" i="2"/>
  <c r="N806" i="2" s="1"/>
  <c r="P806" i="2" s="1"/>
  <c r="Q807" i="2"/>
  <c r="N807" i="2" s="1"/>
  <c r="P807" i="2" s="1"/>
  <c r="Q808" i="2"/>
  <c r="N808" i="2" s="1"/>
  <c r="P808" i="2" s="1"/>
  <c r="Q809" i="2"/>
  <c r="N809" i="2" s="1"/>
  <c r="P809" i="2" s="1"/>
  <c r="Q810" i="2"/>
  <c r="N810" i="2" s="1"/>
  <c r="P810" i="2" s="1"/>
  <c r="Q811" i="2"/>
  <c r="N811" i="2" s="1"/>
  <c r="P811" i="2" s="1"/>
  <c r="Q812" i="2"/>
  <c r="N812" i="2" s="1"/>
  <c r="P812" i="2" s="1"/>
  <c r="Q813" i="2"/>
  <c r="N813" i="2" s="1"/>
  <c r="P813" i="2" s="1"/>
  <c r="Q814" i="2"/>
  <c r="N814" i="2" s="1"/>
  <c r="P814" i="2" s="1"/>
  <c r="Q815" i="2"/>
  <c r="N815" i="2" s="1"/>
  <c r="P815" i="2" s="1"/>
  <c r="Q816" i="2"/>
  <c r="N816" i="2" s="1"/>
  <c r="P816" i="2" s="1"/>
  <c r="Q817" i="2"/>
  <c r="N817" i="2" s="1"/>
  <c r="P817" i="2" s="1"/>
  <c r="Q818" i="2"/>
  <c r="N818" i="2" s="1"/>
  <c r="P818" i="2" s="1"/>
  <c r="Q819" i="2"/>
  <c r="N819" i="2" s="1"/>
  <c r="P819" i="2" s="1"/>
  <c r="Q820" i="2"/>
  <c r="N820" i="2" s="1"/>
  <c r="P820" i="2" s="1"/>
  <c r="Q821" i="2"/>
  <c r="N821" i="2" s="1"/>
  <c r="Q822" i="2"/>
  <c r="N822" i="2" s="1"/>
  <c r="P822" i="2" s="1"/>
  <c r="Q823" i="2"/>
  <c r="N823" i="2" s="1"/>
  <c r="P823" i="2" s="1"/>
  <c r="Q824" i="2"/>
  <c r="N824" i="2" s="1"/>
  <c r="Q825" i="2"/>
  <c r="N825" i="2" s="1"/>
  <c r="P825" i="2" s="1"/>
  <c r="Q826" i="2"/>
  <c r="N826" i="2" s="1"/>
  <c r="P826" i="2" s="1"/>
  <c r="Q827" i="2"/>
  <c r="N827" i="2" s="1"/>
  <c r="P827" i="2" s="1"/>
  <c r="Q828" i="2"/>
  <c r="N828" i="2" s="1"/>
  <c r="P828" i="2" s="1"/>
  <c r="Q829" i="2"/>
  <c r="N829" i="2" s="1"/>
  <c r="P829" i="2" s="1"/>
  <c r="Q830" i="2"/>
  <c r="N830" i="2" s="1"/>
  <c r="P830" i="2" s="1"/>
  <c r="Q831" i="2"/>
  <c r="N831" i="2" s="1"/>
  <c r="P831" i="2" s="1"/>
  <c r="Q832" i="2"/>
  <c r="N832" i="2" s="1"/>
  <c r="P832" i="2" s="1"/>
  <c r="Q833" i="2"/>
  <c r="N833" i="2" s="1"/>
  <c r="P833" i="2" s="1"/>
  <c r="Q834" i="2"/>
  <c r="N834" i="2" s="1"/>
  <c r="P834" i="2" s="1"/>
  <c r="Q835" i="2"/>
  <c r="N835" i="2" s="1"/>
  <c r="P835" i="2" s="1"/>
  <c r="Q836" i="2"/>
  <c r="N836" i="2" s="1"/>
  <c r="P836" i="2" s="1"/>
  <c r="Q837" i="2"/>
  <c r="N837" i="2" s="1"/>
  <c r="P837" i="2" s="1"/>
  <c r="Q838" i="2"/>
  <c r="N838" i="2" s="1"/>
  <c r="P838" i="2" s="1"/>
  <c r="Q839" i="2"/>
  <c r="N839" i="2" s="1"/>
  <c r="P839" i="2" s="1"/>
  <c r="Q840" i="2"/>
  <c r="N840" i="2" s="1"/>
  <c r="Q841" i="2"/>
  <c r="N841" i="2" s="1"/>
  <c r="P841" i="2" s="1"/>
  <c r="Q842" i="2"/>
  <c r="N842" i="2" s="1"/>
  <c r="P842" i="2" s="1"/>
  <c r="Q843" i="2"/>
  <c r="N843" i="2" s="1"/>
  <c r="P843" i="2" s="1"/>
  <c r="Q844" i="2"/>
  <c r="N844" i="2" s="1"/>
  <c r="P844" i="2" s="1"/>
  <c r="Q845" i="2"/>
  <c r="N845" i="2" s="1"/>
  <c r="P845" i="2" s="1"/>
  <c r="Q846" i="2"/>
  <c r="N846" i="2" s="1"/>
  <c r="P846" i="2" s="1"/>
  <c r="Q847" i="2"/>
  <c r="N847" i="2" s="1"/>
  <c r="P847" i="2" s="1"/>
  <c r="Q848" i="2"/>
  <c r="N848" i="2" s="1"/>
  <c r="P848" i="2" s="1"/>
  <c r="Q849" i="2"/>
  <c r="N849" i="2" s="1"/>
  <c r="P849" i="2" s="1"/>
  <c r="Q850" i="2"/>
  <c r="N850" i="2" s="1"/>
  <c r="P850" i="2" s="1"/>
  <c r="Q851" i="2"/>
  <c r="N851" i="2" s="1"/>
  <c r="P851" i="2" s="1"/>
  <c r="Q852" i="2"/>
  <c r="N852" i="2" s="1"/>
  <c r="P852" i="2" s="1"/>
  <c r="Q853" i="2"/>
  <c r="N853" i="2" s="1"/>
  <c r="P853" i="2" s="1"/>
  <c r="Q854" i="2"/>
  <c r="N854" i="2" s="1"/>
  <c r="P854" i="2" s="1"/>
  <c r="Q855" i="2"/>
  <c r="N855" i="2" s="1"/>
  <c r="P855" i="2" s="1"/>
  <c r="Q856" i="2"/>
  <c r="N856" i="2" s="1"/>
  <c r="P856" i="2" s="1"/>
  <c r="Q857" i="2"/>
  <c r="N857" i="2" s="1"/>
  <c r="P857" i="2" s="1"/>
  <c r="Q858" i="2"/>
  <c r="N858" i="2" s="1"/>
  <c r="P858" i="2" s="1"/>
  <c r="Q859" i="2"/>
  <c r="N859" i="2" s="1"/>
  <c r="P859" i="2" s="1"/>
  <c r="Q860" i="2"/>
  <c r="N860" i="2" s="1"/>
  <c r="P860" i="2" s="1"/>
  <c r="Q861" i="2"/>
  <c r="N861" i="2" s="1"/>
  <c r="P861" i="2" s="1"/>
  <c r="Q862" i="2"/>
  <c r="N862" i="2" s="1"/>
  <c r="P862" i="2" s="1"/>
  <c r="Q863" i="2"/>
  <c r="N863" i="2" s="1"/>
  <c r="P863" i="2" s="1"/>
  <c r="Q864" i="2"/>
  <c r="N864" i="2" s="1"/>
  <c r="P864" i="2" s="1"/>
  <c r="Q865" i="2"/>
  <c r="N865" i="2" s="1"/>
  <c r="P865" i="2" s="1"/>
  <c r="Q866" i="2"/>
  <c r="N866" i="2" s="1"/>
  <c r="P866" i="2" s="1"/>
  <c r="Q867" i="2"/>
  <c r="N867" i="2" s="1"/>
  <c r="P867" i="2" s="1"/>
  <c r="Q868" i="2"/>
  <c r="N868" i="2" s="1"/>
  <c r="P868" i="2" s="1"/>
  <c r="Q869" i="2"/>
  <c r="N869" i="2" s="1"/>
  <c r="Q870" i="2"/>
  <c r="N870" i="2" s="1"/>
  <c r="P870" i="2" s="1"/>
  <c r="Q871" i="2"/>
  <c r="N871" i="2" s="1"/>
  <c r="P871" i="2" s="1"/>
  <c r="Q872" i="2"/>
  <c r="N872" i="2" s="1"/>
  <c r="P872" i="2" s="1"/>
  <c r="Q873" i="2"/>
  <c r="N873" i="2" s="1"/>
  <c r="P873" i="2" s="1"/>
  <c r="Q874" i="2"/>
  <c r="N874" i="2" s="1"/>
  <c r="P874" i="2" s="1"/>
  <c r="Q875" i="2"/>
  <c r="N875" i="2" s="1"/>
  <c r="P875" i="2" s="1"/>
  <c r="Q876" i="2"/>
  <c r="N876" i="2" s="1"/>
  <c r="P876" i="2" s="1"/>
  <c r="Q877" i="2"/>
  <c r="N877" i="2" s="1"/>
  <c r="P877" i="2" s="1"/>
  <c r="Q878" i="2"/>
  <c r="N878" i="2" s="1"/>
  <c r="P878" i="2" s="1"/>
  <c r="Q879" i="2"/>
  <c r="N879" i="2" s="1"/>
  <c r="P879" i="2" s="1"/>
  <c r="Q880" i="2"/>
  <c r="N880" i="2" s="1"/>
  <c r="P880" i="2" s="1"/>
  <c r="Q881" i="2"/>
  <c r="N881" i="2" s="1"/>
  <c r="P881" i="2" s="1"/>
  <c r="Q882" i="2"/>
  <c r="N882" i="2" s="1"/>
  <c r="P882" i="2" s="1"/>
  <c r="Q883" i="2"/>
  <c r="N883" i="2" s="1"/>
  <c r="P883" i="2" s="1"/>
  <c r="Q884" i="2"/>
  <c r="N884" i="2" s="1"/>
  <c r="P884" i="2" s="1"/>
  <c r="Q885" i="2"/>
  <c r="N885" i="2" s="1"/>
  <c r="P885" i="2" s="1"/>
  <c r="Q886" i="2"/>
  <c r="N886" i="2" s="1"/>
  <c r="P886" i="2" s="1"/>
  <c r="Q887" i="2"/>
  <c r="N887" i="2" s="1"/>
  <c r="P887" i="2" s="1"/>
  <c r="Q888" i="2"/>
  <c r="N888" i="2" s="1"/>
  <c r="Q889" i="2"/>
  <c r="N889" i="2" s="1"/>
  <c r="P889" i="2" s="1"/>
  <c r="Q890" i="2"/>
  <c r="N890" i="2" s="1"/>
  <c r="P890" i="2" s="1"/>
  <c r="Q891" i="2"/>
  <c r="N891" i="2" s="1"/>
  <c r="P891" i="2" s="1"/>
  <c r="Q892" i="2"/>
  <c r="N892" i="2" s="1"/>
  <c r="P892" i="2" s="1"/>
  <c r="Q893" i="2"/>
  <c r="N893" i="2" s="1"/>
  <c r="P893" i="2" s="1"/>
  <c r="Q894" i="2"/>
  <c r="N894" i="2" s="1"/>
  <c r="P894" i="2" s="1"/>
  <c r="Q895" i="2"/>
  <c r="N895" i="2" s="1"/>
  <c r="P895" i="2" s="1"/>
  <c r="Q896" i="2"/>
  <c r="N896" i="2" s="1"/>
  <c r="P896" i="2" s="1"/>
  <c r="Q897" i="2"/>
  <c r="N897" i="2" s="1"/>
  <c r="P897" i="2" s="1"/>
  <c r="Q898" i="2"/>
  <c r="N898" i="2" s="1"/>
  <c r="P898" i="2" s="1"/>
  <c r="Q899" i="2"/>
  <c r="N899" i="2" s="1"/>
  <c r="P899" i="2" s="1"/>
  <c r="Q900" i="2"/>
  <c r="N900" i="2" s="1"/>
  <c r="P900" i="2" s="1"/>
  <c r="Q901" i="2"/>
  <c r="N901" i="2" s="1"/>
  <c r="P901" i="2" s="1"/>
  <c r="Q902" i="2"/>
  <c r="N902" i="2" s="1"/>
  <c r="P902" i="2" s="1"/>
  <c r="Q903" i="2"/>
  <c r="N903" i="2" s="1"/>
  <c r="P903" i="2" s="1"/>
  <c r="Q904" i="2"/>
  <c r="N904" i="2" s="1"/>
  <c r="Q905" i="2"/>
  <c r="N905" i="2" s="1"/>
  <c r="P905" i="2" s="1"/>
  <c r="Q906" i="2"/>
  <c r="N906" i="2" s="1"/>
  <c r="P906" i="2" s="1"/>
  <c r="Q907" i="2"/>
  <c r="N907" i="2" s="1"/>
  <c r="P907" i="2" s="1"/>
  <c r="Q908" i="2"/>
  <c r="N908" i="2" s="1"/>
  <c r="P908" i="2" s="1"/>
  <c r="Q909" i="2"/>
  <c r="N909" i="2" s="1"/>
  <c r="P909" i="2" s="1"/>
  <c r="Q910" i="2"/>
  <c r="N910" i="2" s="1"/>
  <c r="P910" i="2" s="1"/>
  <c r="Q911" i="2"/>
  <c r="N911" i="2" s="1"/>
  <c r="P911" i="2" s="1"/>
  <c r="Q912" i="2"/>
  <c r="N912" i="2" s="1"/>
  <c r="P912" i="2" s="1"/>
  <c r="Q913" i="2"/>
  <c r="N913" i="2" s="1"/>
  <c r="P913" i="2" s="1"/>
  <c r="Q914" i="2"/>
  <c r="N914" i="2" s="1"/>
  <c r="P914" i="2" s="1"/>
  <c r="Q915" i="2"/>
  <c r="N915" i="2" s="1"/>
  <c r="P915" i="2" s="1"/>
  <c r="Q916" i="2"/>
  <c r="N916" i="2" s="1"/>
  <c r="P916" i="2" s="1"/>
  <c r="Q917" i="2"/>
  <c r="N917" i="2" s="1"/>
  <c r="P917" i="2" s="1"/>
  <c r="Q918" i="2"/>
  <c r="N918" i="2" s="1"/>
  <c r="P918" i="2" s="1"/>
  <c r="Q919" i="2"/>
  <c r="N919" i="2" s="1"/>
  <c r="P919" i="2" s="1"/>
  <c r="Q920" i="2"/>
  <c r="N920" i="2" s="1"/>
  <c r="P920" i="2" s="1"/>
  <c r="Q921" i="2"/>
  <c r="N921" i="2" s="1"/>
  <c r="P921" i="2" s="1"/>
  <c r="Q922" i="2"/>
  <c r="N922" i="2" s="1"/>
  <c r="P922" i="2" s="1"/>
  <c r="Q923" i="2"/>
  <c r="N923" i="2" s="1"/>
  <c r="P923" i="2" s="1"/>
  <c r="Q924" i="2"/>
  <c r="N924" i="2" s="1"/>
  <c r="P924" i="2" s="1"/>
  <c r="Q925" i="2"/>
  <c r="N925" i="2" s="1"/>
  <c r="P925" i="2" s="1"/>
  <c r="Q926" i="2"/>
  <c r="N926" i="2" s="1"/>
  <c r="P926" i="2" s="1"/>
  <c r="Q927" i="2"/>
  <c r="N927" i="2" s="1"/>
  <c r="P927" i="2" s="1"/>
  <c r="Q928" i="2"/>
  <c r="N928" i="2" s="1"/>
  <c r="P928" i="2" s="1"/>
  <c r="Q929" i="2"/>
  <c r="N929" i="2" s="1"/>
  <c r="P929" i="2" s="1"/>
  <c r="Q930" i="2"/>
  <c r="N930" i="2" s="1"/>
  <c r="P930" i="2" s="1"/>
  <c r="Q931" i="2"/>
  <c r="N931" i="2" s="1"/>
  <c r="P931" i="2" s="1"/>
  <c r="Q932" i="2"/>
  <c r="N932" i="2" s="1"/>
  <c r="P932" i="2" s="1"/>
  <c r="Q933" i="2"/>
  <c r="N933" i="2" s="1"/>
  <c r="P933" i="2" s="1"/>
  <c r="Q934" i="2"/>
  <c r="N934" i="2" s="1"/>
  <c r="P934" i="2" s="1"/>
  <c r="Q935" i="2"/>
  <c r="N935" i="2" s="1"/>
  <c r="P935" i="2" s="1"/>
  <c r="Q936" i="2"/>
  <c r="N936" i="2" s="1"/>
  <c r="P936" i="2" s="1"/>
  <c r="Q937" i="2"/>
  <c r="N937" i="2" s="1"/>
  <c r="P937" i="2" s="1"/>
  <c r="Q938" i="2"/>
  <c r="N938" i="2" s="1"/>
  <c r="P938" i="2" s="1"/>
  <c r="Q939" i="2"/>
  <c r="N939" i="2" s="1"/>
  <c r="P939" i="2" s="1"/>
  <c r="Q940" i="2"/>
  <c r="N940" i="2" s="1"/>
  <c r="P940" i="2" s="1"/>
  <c r="Q941" i="2"/>
  <c r="N941" i="2" s="1"/>
  <c r="P941" i="2" s="1"/>
  <c r="Q942" i="2"/>
  <c r="N942" i="2" s="1"/>
  <c r="P942" i="2" s="1"/>
  <c r="Q943" i="2"/>
  <c r="N943" i="2" s="1"/>
  <c r="P943" i="2" s="1"/>
  <c r="Q944" i="2"/>
  <c r="N944" i="2" s="1"/>
  <c r="P944" i="2" s="1"/>
  <c r="Q945" i="2"/>
  <c r="N945" i="2" s="1"/>
  <c r="P945" i="2" s="1"/>
  <c r="Q946" i="2"/>
  <c r="N946" i="2" s="1"/>
  <c r="P946" i="2" s="1"/>
  <c r="Q947" i="2"/>
  <c r="N947" i="2" s="1"/>
  <c r="P947" i="2" s="1"/>
  <c r="Q948" i="2"/>
  <c r="N948" i="2" s="1"/>
  <c r="P948" i="2" s="1"/>
  <c r="Q949" i="2"/>
  <c r="N949" i="2" s="1"/>
  <c r="P949" i="2" s="1"/>
  <c r="Q950" i="2"/>
  <c r="N950" i="2" s="1"/>
  <c r="P950" i="2" s="1"/>
  <c r="Q951" i="2"/>
  <c r="N951" i="2" s="1"/>
  <c r="P951" i="2" s="1"/>
  <c r="E14" i="3"/>
  <c r="I13" i="3"/>
  <c r="I3" i="3"/>
  <c r="I9" i="3"/>
  <c r="I12" i="3"/>
  <c r="I7" i="3"/>
  <c r="I4" i="3"/>
  <c r="I2" i="3"/>
  <c r="N128" i="2" l="1"/>
  <c r="P128" i="2" s="1"/>
  <c r="N120" i="2"/>
  <c r="P120" i="2" s="1"/>
  <c r="O938" i="2"/>
  <c r="O914" i="2"/>
  <c r="O890" i="2"/>
  <c r="O874" i="2"/>
  <c r="O850" i="2"/>
  <c r="O834" i="2"/>
  <c r="O818" i="2"/>
  <c r="O802" i="2"/>
  <c r="O786" i="2"/>
  <c r="O770" i="2"/>
  <c r="O754" i="2"/>
  <c r="O738" i="2"/>
  <c r="O722" i="2"/>
  <c r="O698" i="2"/>
  <c r="O929" i="2"/>
  <c r="O913" i="2"/>
  <c r="O897" i="2"/>
  <c r="O873" i="2"/>
  <c r="O857" i="2"/>
  <c r="O849" i="2"/>
  <c r="O841" i="2"/>
  <c r="O833" i="2"/>
  <c r="O825" i="2"/>
  <c r="O817" i="2"/>
  <c r="O809" i="2"/>
  <c r="O801" i="2"/>
  <c r="O793" i="2"/>
  <c r="O785" i="2"/>
  <c r="O777" i="2"/>
  <c r="O769" i="2"/>
  <c r="O761" i="2"/>
  <c r="O753" i="2"/>
  <c r="O745" i="2"/>
  <c r="O737" i="2"/>
  <c r="O729" i="2"/>
  <c r="O721" i="2"/>
  <c r="O713" i="2"/>
  <c r="O705" i="2"/>
  <c r="O697" i="2"/>
  <c r="O689" i="2"/>
  <c r="O681" i="2"/>
  <c r="O673" i="2"/>
  <c r="O665" i="2"/>
  <c r="O657" i="2"/>
  <c r="O649" i="2"/>
  <c r="O641" i="2"/>
  <c r="O633" i="2"/>
  <c r="O625" i="2"/>
  <c r="O617" i="2"/>
  <c r="O609" i="2"/>
  <c r="O601" i="2"/>
  <c r="O593" i="2"/>
  <c r="O585" i="2"/>
  <c r="O577" i="2"/>
  <c r="O569" i="2"/>
  <c r="O561" i="2"/>
  <c r="O553" i="2"/>
  <c r="O545" i="2"/>
  <c r="O537" i="2"/>
  <c r="O529" i="2"/>
  <c r="O521" i="2"/>
  <c r="O513" i="2"/>
  <c r="O505" i="2"/>
  <c r="O497" i="2"/>
  <c r="O489" i="2"/>
  <c r="O481" i="2"/>
  <c r="O473" i="2"/>
  <c r="O465" i="2"/>
  <c r="O457" i="2"/>
  <c r="O449" i="2"/>
  <c r="O441" i="2"/>
  <c r="O433" i="2"/>
  <c r="O425" i="2"/>
  <c r="O417" i="2"/>
  <c r="O409" i="2"/>
  <c r="O401" i="2"/>
  <c r="O393" i="2"/>
  <c r="O385" i="2"/>
  <c r="O377" i="2"/>
  <c r="O369" i="2"/>
  <c r="O361" i="2"/>
  <c r="O353" i="2"/>
  <c r="O345" i="2"/>
  <c r="O337" i="2"/>
  <c r="O329" i="2"/>
  <c r="O321" i="2"/>
  <c r="O313" i="2"/>
  <c r="O305" i="2"/>
  <c r="O297" i="2"/>
  <c r="O289" i="2"/>
  <c r="O281" i="2"/>
  <c r="O273" i="2"/>
  <c r="O265" i="2"/>
  <c r="O257" i="2"/>
  <c r="O930" i="2"/>
  <c r="O906" i="2"/>
  <c r="O882" i="2"/>
  <c r="O866" i="2"/>
  <c r="O858" i="2"/>
  <c r="O842" i="2"/>
  <c r="O826" i="2"/>
  <c r="O810" i="2"/>
  <c r="O794" i="2"/>
  <c r="O778" i="2"/>
  <c r="O762" i="2"/>
  <c r="O746" i="2"/>
  <c r="O730" i="2"/>
  <c r="O714" i="2"/>
  <c r="O706" i="2"/>
  <c r="O690" i="2"/>
  <c r="O682" i="2"/>
  <c r="O674" i="2"/>
  <c r="O666" i="2"/>
  <c r="O658" i="2"/>
  <c r="O650" i="2"/>
  <c r="O642" i="2"/>
  <c r="O634" i="2"/>
  <c r="O626" i="2"/>
  <c r="O618" i="2"/>
  <c r="O610" i="2"/>
  <c r="O602" i="2"/>
  <c r="O594" i="2"/>
  <c r="O586" i="2"/>
  <c r="O578" i="2"/>
  <c r="O570" i="2"/>
  <c r="O945" i="2"/>
  <c r="O937" i="2"/>
  <c r="O921" i="2"/>
  <c r="O905" i="2"/>
  <c r="O889" i="2"/>
  <c r="O881" i="2"/>
  <c r="O865" i="2"/>
  <c r="O944" i="2"/>
  <c r="O936" i="2"/>
  <c r="O928" i="2"/>
  <c r="O920" i="2"/>
  <c r="O912" i="2"/>
  <c r="O904" i="2"/>
  <c r="O896" i="2"/>
  <c r="O888" i="2"/>
  <c r="O880" i="2"/>
  <c r="O872" i="2"/>
  <c r="O864" i="2"/>
  <c r="O856" i="2"/>
  <c r="O848" i="2"/>
  <c r="O840" i="2"/>
  <c r="O832" i="2"/>
  <c r="O824" i="2"/>
  <c r="O816" i="2"/>
  <c r="O808" i="2"/>
  <c r="O800" i="2"/>
  <c r="O792" i="2"/>
  <c r="O784" i="2"/>
  <c r="O776" i="2"/>
  <c r="O768" i="2"/>
  <c r="O760" i="2"/>
  <c r="O752" i="2"/>
  <c r="O744" i="2"/>
  <c r="O736" i="2"/>
  <c r="O728" i="2"/>
  <c r="O720" i="2"/>
  <c r="O712" i="2"/>
  <c r="O704" i="2"/>
  <c r="O696" i="2"/>
  <c r="O688" i="2"/>
  <c r="O680" i="2"/>
  <c r="O672" i="2"/>
  <c r="O664" i="2"/>
  <c r="O656" i="2"/>
  <c r="O648" i="2"/>
  <c r="O640" i="2"/>
  <c r="O632" i="2"/>
  <c r="O624" i="2"/>
  <c r="O616" i="2"/>
  <c r="O608" i="2"/>
  <c r="O600" i="2"/>
  <c r="O592" i="2"/>
  <c r="O584" i="2"/>
  <c r="O576" i="2"/>
  <c r="O568" i="2"/>
  <c r="O560" i="2"/>
  <c r="O552" i="2"/>
  <c r="O544" i="2"/>
  <c r="O536" i="2"/>
  <c r="O528" i="2"/>
  <c r="O520" i="2"/>
  <c r="O512" i="2"/>
  <c r="O504" i="2"/>
  <c r="O496" i="2"/>
  <c r="O488" i="2"/>
  <c r="O480" i="2"/>
  <c r="O472" i="2"/>
  <c r="O464" i="2"/>
  <c r="O456" i="2"/>
  <c r="O448" i="2"/>
  <c r="O440" i="2"/>
  <c r="O432" i="2"/>
  <c r="O424" i="2"/>
  <c r="O416" i="2"/>
  <c r="O408" i="2"/>
  <c r="O400" i="2"/>
  <c r="O392" i="2"/>
  <c r="O384" i="2"/>
  <c r="O376" i="2"/>
  <c r="O368" i="2"/>
  <c r="O360" i="2"/>
  <c r="O352" i="2"/>
  <c r="O344" i="2"/>
  <c r="O336" i="2"/>
  <c r="O328" i="2"/>
  <c r="O320" i="2"/>
  <c r="O312" i="2"/>
  <c r="O304" i="2"/>
  <c r="O296" i="2"/>
  <c r="O288" i="2"/>
  <c r="O280" i="2"/>
  <c r="O272" i="2"/>
  <c r="O264" i="2"/>
  <c r="O256" i="2"/>
  <c r="O248" i="2"/>
  <c r="O279" i="2"/>
  <c r="O271" i="2"/>
  <c r="O263" i="2"/>
  <c r="O255" i="2"/>
  <c r="O950" i="2"/>
  <c r="O942" i="2"/>
  <c r="O934" i="2"/>
  <c r="O926" i="2"/>
  <c r="O918" i="2"/>
  <c r="O910" i="2"/>
  <c r="O902" i="2"/>
  <c r="O894" i="2"/>
  <c r="O886" i="2"/>
  <c r="O878" i="2"/>
  <c r="O870" i="2"/>
  <c r="O862" i="2"/>
  <c r="O854" i="2"/>
  <c r="O846" i="2"/>
  <c r="O838" i="2"/>
  <c r="O830" i="2"/>
  <c r="O822" i="2"/>
  <c r="O814" i="2"/>
  <c r="O806" i="2"/>
  <c r="O798" i="2"/>
  <c r="O790" i="2"/>
  <c r="O782" i="2"/>
  <c r="O774" i="2"/>
  <c r="O766" i="2"/>
  <c r="O758" i="2"/>
  <c r="O750" i="2"/>
  <c r="O742" i="2"/>
  <c r="O734" i="2"/>
  <c r="O726" i="2"/>
  <c r="O718" i="2"/>
  <c r="O710" i="2"/>
  <c r="O702" i="2"/>
  <c r="O694" i="2"/>
  <c r="O686" i="2"/>
  <c r="O678" i="2"/>
  <c r="O670" i="2"/>
  <c r="O662" i="2"/>
  <c r="O654" i="2"/>
  <c r="O646" i="2"/>
  <c r="O638" i="2"/>
  <c r="O630" i="2"/>
  <c r="O622" i="2"/>
  <c r="O614" i="2"/>
  <c r="O606" i="2"/>
  <c r="O598" i="2"/>
  <c r="O590" i="2"/>
  <c r="O582" i="2"/>
  <c r="O574" i="2"/>
  <c r="O566" i="2"/>
  <c r="O558" i="2"/>
  <c r="O550" i="2"/>
  <c r="O542" i="2"/>
  <c r="O534" i="2"/>
  <c r="O526" i="2"/>
  <c r="O518" i="2"/>
  <c r="O510" i="2"/>
  <c r="O502" i="2"/>
  <c r="O494" i="2"/>
  <c r="O486" i="2"/>
  <c r="O478" i="2"/>
  <c r="O470" i="2"/>
  <c r="O462" i="2"/>
  <c r="O454" i="2"/>
  <c r="O446" i="2"/>
  <c r="O438" i="2"/>
  <c r="O430" i="2"/>
  <c r="O422" i="2"/>
  <c r="O414" i="2"/>
  <c r="O406" i="2"/>
  <c r="O949" i="2"/>
  <c r="O941" i="2"/>
  <c r="O933" i="2"/>
  <c r="O925" i="2"/>
  <c r="O917" i="2"/>
  <c r="O909" i="2"/>
  <c r="O901" i="2"/>
  <c r="O893" i="2"/>
  <c r="O885" i="2"/>
  <c r="O877" i="2"/>
  <c r="O869" i="2"/>
  <c r="O861" i="2"/>
  <c r="O853" i="2"/>
  <c r="O845" i="2"/>
  <c r="O837" i="2"/>
  <c r="O829" i="2"/>
  <c r="O821" i="2"/>
  <c r="O813" i="2"/>
  <c r="O805" i="2"/>
  <c r="O797" i="2"/>
  <c r="O789" i="2"/>
  <c r="O781" i="2"/>
  <c r="O773" i="2"/>
  <c r="O765" i="2"/>
  <c r="O757" i="2"/>
  <c r="O749" i="2"/>
  <c r="O741" i="2"/>
  <c r="O733" i="2"/>
  <c r="O725" i="2"/>
  <c r="O717" i="2"/>
  <c r="O709" i="2"/>
  <c r="O701" i="2"/>
  <c r="O693" i="2"/>
  <c r="O685" i="2"/>
  <c r="O677" i="2"/>
  <c r="O669" i="2"/>
  <c r="O661" i="2"/>
  <c r="O653" i="2"/>
  <c r="O645" i="2"/>
  <c r="O637" i="2"/>
  <c r="O629" i="2"/>
  <c r="O621" i="2"/>
  <c r="O613" i="2"/>
  <c r="O605" i="2"/>
  <c r="O597" i="2"/>
  <c r="O589" i="2"/>
  <c r="O581" i="2"/>
  <c r="O573" i="2"/>
  <c r="O565" i="2"/>
  <c r="O557" i="2"/>
  <c r="O549" i="2"/>
  <c r="O541" i="2"/>
  <c r="O533" i="2"/>
  <c r="O525" i="2"/>
  <c r="O517" i="2"/>
  <c r="O509" i="2"/>
  <c r="O501" i="2"/>
  <c r="O493" i="2"/>
  <c r="O485" i="2"/>
  <c r="O477" i="2"/>
  <c r="O469" i="2"/>
  <c r="O461" i="2"/>
  <c r="O453" i="2"/>
  <c r="O445" i="2"/>
  <c r="O437" i="2"/>
  <c r="O429" i="2"/>
  <c r="O421" i="2"/>
  <c r="O413" i="2"/>
  <c r="O405" i="2"/>
  <c r="O397" i="2"/>
  <c r="O389" i="2"/>
  <c r="O381" i="2"/>
  <c r="O373" i="2"/>
  <c r="O946" i="2"/>
  <c r="O922" i="2"/>
  <c r="O898" i="2"/>
  <c r="O951" i="2"/>
  <c r="O935" i="2"/>
  <c r="O919" i="2"/>
  <c r="O903" i="2"/>
  <c r="O879" i="2"/>
  <c r="O863" i="2"/>
  <c r="O847" i="2"/>
  <c r="O831" i="2"/>
  <c r="O815" i="2"/>
  <c r="O799" i="2"/>
  <c r="O783" i="2"/>
  <c r="O767" i="2"/>
  <c r="O751" i="2"/>
  <c r="O727" i="2"/>
  <c r="O711" i="2"/>
  <c r="O695" i="2"/>
  <c r="O663" i="2"/>
  <c r="O599" i="2"/>
  <c r="O575" i="2"/>
  <c r="O559" i="2"/>
  <c r="O543" i="2"/>
  <c r="O527" i="2"/>
  <c r="O503" i="2"/>
  <c r="O487" i="2"/>
  <c r="O471" i="2"/>
  <c r="O455" i="2"/>
  <c r="O431" i="2"/>
  <c r="O415" i="2"/>
  <c r="O399" i="2"/>
  <c r="O375" i="2"/>
  <c r="O335" i="2"/>
  <c r="O319" i="2"/>
  <c r="O311" i="2"/>
  <c r="O303" i="2"/>
  <c r="O295" i="2"/>
  <c r="O287" i="2"/>
  <c r="O940" i="2"/>
  <c r="O924" i="2"/>
  <c r="O908" i="2"/>
  <c r="O892" i="2"/>
  <c r="O868" i="2"/>
  <c r="O860" i="2"/>
  <c r="O852" i="2"/>
  <c r="O836" i="2"/>
  <c r="O828" i="2"/>
  <c r="O820" i="2"/>
  <c r="O812" i="2"/>
  <c r="O804" i="2"/>
  <c r="O796" i="2"/>
  <c r="O788" i="2"/>
  <c r="O780" i="2"/>
  <c r="O772" i="2"/>
  <c r="O764" i="2"/>
  <c r="O756" i="2"/>
  <c r="O748" i="2"/>
  <c r="O740" i="2"/>
  <c r="O732" i="2"/>
  <c r="O724" i="2"/>
  <c r="O716" i="2"/>
  <c r="O708" i="2"/>
  <c r="O700" i="2"/>
  <c r="O692" i="2"/>
  <c r="O684" i="2"/>
  <c r="O676" i="2"/>
  <c r="O668" i="2"/>
  <c r="O660" i="2"/>
  <c r="O652" i="2"/>
  <c r="O644" i="2"/>
  <c r="O636" i="2"/>
  <c r="O628" i="2"/>
  <c r="O620" i="2"/>
  <c r="O612" i="2"/>
  <c r="O604" i="2"/>
  <c r="O596" i="2"/>
  <c r="O588" i="2"/>
  <c r="O580" i="2"/>
  <c r="O572" i="2"/>
  <c r="O564" i="2"/>
  <c r="O556" i="2"/>
  <c r="O548" i="2"/>
  <c r="O540" i="2"/>
  <c r="O532" i="2"/>
  <c r="O524" i="2"/>
  <c r="O516" i="2"/>
  <c r="O508" i="2"/>
  <c r="O500" i="2"/>
  <c r="O492" i="2"/>
  <c r="O484" i="2"/>
  <c r="O476" i="2"/>
  <c r="O468" i="2"/>
  <c r="O460" i="2"/>
  <c r="O452" i="2"/>
  <c r="O444" i="2"/>
  <c r="O436" i="2"/>
  <c r="O428" i="2"/>
  <c r="O420" i="2"/>
  <c r="O412" i="2"/>
  <c r="O404" i="2"/>
  <c r="O396" i="2"/>
  <c r="O388" i="2"/>
  <c r="O380" i="2"/>
  <c r="O372" i="2"/>
  <c r="O364" i="2"/>
  <c r="O356" i="2"/>
  <c r="O348" i="2"/>
  <c r="O340" i="2"/>
  <c r="O332" i="2"/>
  <c r="O324" i="2"/>
  <c r="O316" i="2"/>
  <c r="O308" i="2"/>
  <c r="O300" i="2"/>
  <c r="O292" i="2"/>
  <c r="O284" i="2"/>
  <c r="O276" i="2"/>
  <c r="O268" i="2"/>
  <c r="O260" i="2"/>
  <c r="O252" i="2"/>
  <c r="O244" i="2"/>
  <c r="O236" i="2"/>
  <c r="O228" i="2"/>
  <c r="O220" i="2"/>
  <c r="O212" i="2"/>
  <c r="O204" i="2"/>
  <c r="O196" i="2"/>
  <c r="O188" i="2"/>
  <c r="O180" i="2"/>
  <c r="O172" i="2"/>
  <c r="O164" i="2"/>
  <c r="O156" i="2"/>
  <c r="O148" i="2"/>
  <c r="O140" i="2"/>
  <c r="O132" i="2"/>
  <c r="O124" i="2"/>
  <c r="O116" i="2"/>
  <c r="O108" i="2"/>
  <c r="O100" i="2"/>
  <c r="O92" i="2"/>
  <c r="O84" i="2"/>
  <c r="O943" i="2"/>
  <c r="O927" i="2"/>
  <c r="O911" i="2"/>
  <c r="O895" i="2"/>
  <c r="O887" i="2"/>
  <c r="O871" i="2"/>
  <c r="O855" i="2"/>
  <c r="O839" i="2"/>
  <c r="O823" i="2"/>
  <c r="O807" i="2"/>
  <c r="O791" i="2"/>
  <c r="O775" i="2"/>
  <c r="O759" i="2"/>
  <c r="O743" i="2"/>
  <c r="O735" i="2"/>
  <c r="O719" i="2"/>
  <c r="O703" i="2"/>
  <c r="O687" i="2"/>
  <c r="O679" i="2"/>
  <c r="O671" i="2"/>
  <c r="O655" i="2"/>
  <c r="O647" i="2"/>
  <c r="O639" i="2"/>
  <c r="O631" i="2"/>
  <c r="O623" i="2"/>
  <c r="O615" i="2"/>
  <c r="O607" i="2"/>
  <c r="O591" i="2"/>
  <c r="O583" i="2"/>
  <c r="O567" i="2"/>
  <c r="O551" i="2"/>
  <c r="O535" i="2"/>
  <c r="O519" i="2"/>
  <c r="O511" i="2"/>
  <c r="O495" i="2"/>
  <c r="O479" i="2"/>
  <c r="O463" i="2"/>
  <c r="O447" i="2"/>
  <c r="O439" i="2"/>
  <c r="O423" i="2"/>
  <c r="O407" i="2"/>
  <c r="O391" i="2"/>
  <c r="O383" i="2"/>
  <c r="O367" i="2"/>
  <c r="O359" i="2"/>
  <c r="O351" i="2"/>
  <c r="O343" i="2"/>
  <c r="O327" i="2"/>
  <c r="O948" i="2"/>
  <c r="O932" i="2"/>
  <c r="O916" i="2"/>
  <c r="O900" i="2"/>
  <c r="O884" i="2"/>
  <c r="O876" i="2"/>
  <c r="O844" i="2"/>
  <c r="O947" i="2"/>
  <c r="O939" i="2"/>
  <c r="O931" i="2"/>
  <c r="O923" i="2"/>
  <c r="O915" i="2"/>
  <c r="O907" i="2"/>
  <c r="O899" i="2"/>
  <c r="O891" i="2"/>
  <c r="O883" i="2"/>
  <c r="O875" i="2"/>
  <c r="O867" i="2"/>
  <c r="O859" i="2"/>
  <c r="O851" i="2"/>
  <c r="O843" i="2"/>
  <c r="O835" i="2"/>
  <c r="O827" i="2"/>
  <c r="O819" i="2"/>
  <c r="O811" i="2"/>
  <c r="O803" i="2"/>
  <c r="O795" i="2"/>
  <c r="O787" i="2"/>
  <c r="O779" i="2"/>
  <c r="O771" i="2"/>
  <c r="O763" i="2"/>
  <c r="O755" i="2"/>
  <c r="O747" i="2"/>
  <c r="O739" i="2"/>
  <c r="O731" i="2"/>
  <c r="O723" i="2"/>
  <c r="O715" i="2"/>
  <c r="O707" i="2"/>
  <c r="O699" i="2"/>
  <c r="O691" i="2"/>
  <c r="O683" i="2"/>
  <c r="O675" i="2"/>
  <c r="O667" i="2"/>
  <c r="O659" i="2"/>
  <c r="O651" i="2"/>
  <c r="O643" i="2"/>
  <c r="O635" i="2"/>
  <c r="O627" i="2"/>
  <c r="O619" i="2"/>
  <c r="O611" i="2"/>
  <c r="O603" i="2"/>
  <c r="O595" i="2"/>
  <c r="O587" i="2"/>
  <c r="O579" i="2"/>
  <c r="O571" i="2"/>
  <c r="O563" i="2"/>
  <c r="O555" i="2"/>
  <c r="O547" i="2"/>
  <c r="O539" i="2"/>
  <c r="O531" i="2"/>
  <c r="O523" i="2"/>
  <c r="O515" i="2"/>
  <c r="O507" i="2"/>
  <c r="O499" i="2"/>
  <c r="O491" i="2"/>
  <c r="O483" i="2"/>
  <c r="O475" i="2"/>
  <c r="O467" i="2"/>
  <c r="O459" i="2"/>
  <c r="O451" i="2"/>
  <c r="O443" i="2"/>
  <c r="O435" i="2"/>
  <c r="O427" i="2"/>
  <c r="O419" i="2"/>
  <c r="O411" i="2"/>
  <c r="O403" i="2"/>
  <c r="O395" i="2"/>
  <c r="O387" i="2"/>
  <c r="O379" i="2"/>
  <c r="O371" i="2"/>
  <c r="O363" i="2"/>
  <c r="O355" i="2"/>
  <c r="O347" i="2"/>
  <c r="O339" i="2"/>
  <c r="O331" i="2"/>
  <c r="O323" i="2"/>
  <c r="O315" i="2"/>
  <c r="O562" i="2"/>
  <c r="O554" i="2"/>
  <c r="O546" i="2"/>
  <c r="O538" i="2"/>
  <c r="O530" i="2"/>
  <c r="O522" i="2"/>
  <c r="O514" i="2"/>
  <c r="O506" i="2"/>
  <c r="O498" i="2"/>
  <c r="O490" i="2"/>
  <c r="O482" i="2"/>
  <c r="O474" i="2"/>
  <c r="O466" i="2"/>
  <c r="O458" i="2"/>
  <c r="O450" i="2"/>
  <c r="O442" i="2"/>
  <c r="O434" i="2"/>
  <c r="O426" i="2"/>
  <c r="O418" i="2"/>
  <c r="O60" i="2"/>
  <c r="O28" i="2"/>
  <c r="O283" i="2"/>
  <c r="O251" i="2"/>
  <c r="O219" i="2"/>
  <c r="O187" i="2"/>
  <c r="O155" i="2"/>
  <c r="O123" i="2"/>
  <c r="O91" i="2"/>
  <c r="O59" i="2"/>
  <c r="O27" i="2"/>
  <c r="O410" i="2"/>
  <c r="O402" i="2"/>
  <c r="O394" i="2"/>
  <c r="O386" i="2"/>
  <c r="O378" i="2"/>
  <c r="O370" i="2"/>
  <c r="O362" i="2"/>
  <c r="O354" i="2"/>
  <c r="O346" i="2"/>
  <c r="O338" i="2"/>
  <c r="O330" i="2"/>
  <c r="O322" i="2"/>
  <c r="O314" i="2"/>
  <c r="O306" i="2"/>
  <c r="O298" i="2"/>
  <c r="O290" i="2"/>
  <c r="O282" i="2"/>
  <c r="O274" i="2"/>
  <c r="O266" i="2"/>
  <c r="O258" i="2"/>
  <c r="O250" i="2"/>
  <c r="O242" i="2"/>
  <c r="O234" i="2"/>
  <c r="O226" i="2"/>
  <c r="O218" i="2"/>
  <c r="O210" i="2"/>
  <c r="O202" i="2"/>
  <c r="O194" i="2"/>
  <c r="O186" i="2"/>
  <c r="O178" i="2"/>
  <c r="O170" i="2"/>
  <c r="O162" i="2"/>
  <c r="O154" i="2"/>
  <c r="O146" i="2"/>
  <c r="O138" i="2"/>
  <c r="O130" i="2"/>
  <c r="O122" i="2"/>
  <c r="O114" i="2"/>
  <c r="O106" i="2"/>
  <c r="O98" i="2"/>
  <c r="O90" i="2"/>
  <c r="O82" i="2"/>
  <c r="O74" i="2"/>
  <c r="O66" i="2"/>
  <c r="O58" i="2"/>
  <c r="O50" i="2"/>
  <c r="O42" i="2"/>
  <c r="O34" i="2"/>
  <c r="O26" i="2"/>
  <c r="O18" i="2"/>
  <c r="O10" i="2"/>
  <c r="O52" i="2"/>
  <c r="O20" i="2"/>
  <c r="O249" i="2"/>
  <c r="O241" i="2"/>
  <c r="O233" i="2"/>
  <c r="O225" i="2"/>
  <c r="O217" i="2"/>
  <c r="O209" i="2"/>
  <c r="O201" i="2"/>
  <c r="O193" i="2"/>
  <c r="O185" i="2"/>
  <c r="O177" i="2"/>
  <c r="O169" i="2"/>
  <c r="O161" i="2"/>
  <c r="O153" i="2"/>
  <c r="O145" i="2"/>
  <c r="O137" i="2"/>
  <c r="O129" i="2"/>
  <c r="O121" i="2"/>
  <c r="O113" i="2"/>
  <c r="O105" i="2"/>
  <c r="O97" i="2"/>
  <c r="O89" i="2"/>
  <c r="O81" i="2"/>
  <c r="O73" i="2"/>
  <c r="O65" i="2"/>
  <c r="O57" i="2"/>
  <c r="O49" i="2"/>
  <c r="O41" i="2"/>
  <c r="O33" i="2"/>
  <c r="O25" i="2"/>
  <c r="O17" i="2"/>
  <c r="O9" i="2"/>
  <c r="O2" i="2"/>
  <c r="O307" i="2"/>
  <c r="O275" i="2"/>
  <c r="O243" i="2"/>
  <c r="O211" i="2"/>
  <c r="O179" i="2"/>
  <c r="O147" i="2"/>
  <c r="O115" i="2"/>
  <c r="O83" i="2"/>
  <c r="O51" i="2"/>
  <c r="O19" i="2"/>
  <c r="O240" i="2"/>
  <c r="O232" i="2"/>
  <c r="O224" i="2"/>
  <c r="O216" i="2"/>
  <c r="O208" i="2"/>
  <c r="O200" i="2"/>
  <c r="O192" i="2"/>
  <c r="O184" i="2"/>
  <c r="O176" i="2"/>
  <c r="O168" i="2"/>
  <c r="O160" i="2"/>
  <c r="O152" i="2"/>
  <c r="O144" i="2"/>
  <c r="O136" i="2"/>
  <c r="O112" i="2"/>
  <c r="O104" i="2"/>
  <c r="O96" i="2"/>
  <c r="O88" i="2"/>
  <c r="O80" i="2"/>
  <c r="O72" i="2"/>
  <c r="O64" i="2"/>
  <c r="O56" i="2"/>
  <c r="O48" i="2"/>
  <c r="O40" i="2"/>
  <c r="O32" i="2"/>
  <c r="O24" i="2"/>
  <c r="O16" i="2"/>
  <c r="O8" i="2"/>
  <c r="O76" i="2"/>
  <c r="O44" i="2"/>
  <c r="O12" i="2"/>
  <c r="O247" i="2"/>
  <c r="O239" i="2"/>
  <c r="O231" i="2"/>
  <c r="O223" i="2"/>
  <c r="O215" i="2"/>
  <c r="O207" i="2"/>
  <c r="O199" i="2"/>
  <c r="O191" i="2"/>
  <c r="O183" i="2"/>
  <c r="O175" i="2"/>
  <c r="O167" i="2"/>
  <c r="O159" i="2"/>
  <c r="O151" i="2"/>
  <c r="O143" i="2"/>
  <c r="O135" i="2"/>
  <c r="O127" i="2"/>
  <c r="O119" i="2"/>
  <c r="O111" i="2"/>
  <c r="O103" i="2"/>
  <c r="O95" i="2"/>
  <c r="O87" i="2"/>
  <c r="O79" i="2"/>
  <c r="O71" i="2"/>
  <c r="O63" i="2"/>
  <c r="O55" i="2"/>
  <c r="O47" i="2"/>
  <c r="O39" i="2"/>
  <c r="O31" i="2"/>
  <c r="O23" i="2"/>
  <c r="O15" i="2"/>
  <c r="O7" i="2"/>
  <c r="O299" i="2"/>
  <c r="O267" i="2"/>
  <c r="O235" i="2"/>
  <c r="O203" i="2"/>
  <c r="O171" i="2"/>
  <c r="O139" i="2"/>
  <c r="O107" i="2"/>
  <c r="O75" i="2"/>
  <c r="O43" i="2"/>
  <c r="O11" i="2"/>
  <c r="O398" i="2"/>
  <c r="O390" i="2"/>
  <c r="O382" i="2"/>
  <c r="O374" i="2"/>
  <c r="O366" i="2"/>
  <c r="O358" i="2"/>
  <c r="O350" i="2"/>
  <c r="O342" i="2"/>
  <c r="O334" i="2"/>
  <c r="O326" i="2"/>
  <c r="O318" i="2"/>
  <c r="O310" i="2"/>
  <c r="O302" i="2"/>
  <c r="O294" i="2"/>
  <c r="O286" i="2"/>
  <c r="O278" i="2"/>
  <c r="O270" i="2"/>
  <c r="O262" i="2"/>
  <c r="O254" i="2"/>
  <c r="O246" i="2"/>
  <c r="O238" i="2"/>
  <c r="O230" i="2"/>
  <c r="O222" i="2"/>
  <c r="O214" i="2"/>
  <c r="O206" i="2"/>
  <c r="O198" i="2"/>
  <c r="O190" i="2"/>
  <c r="O182" i="2"/>
  <c r="O174" i="2"/>
  <c r="O166" i="2"/>
  <c r="O158" i="2"/>
  <c r="O150" i="2"/>
  <c r="O142" i="2"/>
  <c r="O134" i="2"/>
  <c r="O126" i="2"/>
  <c r="O118" i="2"/>
  <c r="O110" i="2"/>
  <c r="O102" i="2"/>
  <c r="O94" i="2"/>
  <c r="O86" i="2"/>
  <c r="O78" i="2"/>
  <c r="O70" i="2"/>
  <c r="O62" i="2"/>
  <c r="O54" i="2"/>
  <c r="O46" i="2"/>
  <c r="O38" i="2"/>
  <c r="O30" i="2"/>
  <c r="O22" i="2"/>
  <c r="O14" i="2"/>
  <c r="O6" i="2"/>
  <c r="O68" i="2"/>
  <c r="O36" i="2"/>
  <c r="O4" i="2"/>
  <c r="O365" i="2"/>
  <c r="O357" i="2"/>
  <c r="O349" i="2"/>
  <c r="O341" i="2"/>
  <c r="O333" i="2"/>
  <c r="O325" i="2"/>
  <c r="O317" i="2"/>
  <c r="O309" i="2"/>
  <c r="O301" i="2"/>
  <c r="O293" i="2"/>
  <c r="O285" i="2"/>
  <c r="O277" i="2"/>
  <c r="O269" i="2"/>
  <c r="O261" i="2"/>
  <c r="O253" i="2"/>
  <c r="O245" i="2"/>
  <c r="O237" i="2"/>
  <c r="O229" i="2"/>
  <c r="O221" i="2"/>
  <c r="O213" i="2"/>
  <c r="O205" i="2"/>
  <c r="O197" i="2"/>
  <c r="O189" i="2"/>
  <c r="O181" i="2"/>
  <c r="O173" i="2"/>
  <c r="O165" i="2"/>
  <c r="O157" i="2"/>
  <c r="O149" i="2"/>
  <c r="O141" i="2"/>
  <c r="O133" i="2"/>
  <c r="O125" i="2"/>
  <c r="O117" i="2"/>
  <c r="O109" i="2"/>
  <c r="O101" i="2"/>
  <c r="O93" i="2"/>
  <c r="O85" i="2"/>
  <c r="O77" i="2"/>
  <c r="O69" i="2"/>
  <c r="O61" i="2"/>
  <c r="O53" i="2"/>
  <c r="O45" i="2"/>
  <c r="O37" i="2"/>
  <c r="O29" i="2"/>
  <c r="O21" i="2"/>
  <c r="O13" i="2"/>
  <c r="O5" i="2"/>
  <c r="O291" i="2"/>
  <c r="O259" i="2"/>
  <c r="O227" i="2"/>
  <c r="O195" i="2"/>
  <c r="O163" i="2"/>
  <c r="O131" i="2"/>
  <c r="O99" i="2"/>
  <c r="O67" i="2"/>
  <c r="O35" i="2"/>
  <c r="O3" i="2"/>
  <c r="I10" i="3"/>
  <c r="I8" i="3"/>
  <c r="I14" i="3" l="1"/>
</calcChain>
</file>

<file path=xl/sharedStrings.xml><?xml version="1.0" encoding="utf-8"?>
<sst xmlns="http://schemas.openxmlformats.org/spreadsheetml/2006/main" count="31394" uniqueCount="3765">
  <si>
    <t>Vendor_ID</t>
  </si>
  <si>
    <t>Vendor_Name</t>
  </si>
  <si>
    <t>Category</t>
  </si>
  <si>
    <t>Country</t>
  </si>
  <si>
    <t>Region</t>
  </si>
  <si>
    <t>Status</t>
  </si>
  <si>
    <t>Onboarding_Date</t>
  </si>
  <si>
    <t>Last_Updated</t>
  </si>
  <si>
    <t>Contact_Email</t>
  </si>
  <si>
    <t>Account_Code</t>
  </si>
  <si>
    <t>Data_Source</t>
  </si>
  <si>
    <t>Verified_By</t>
  </si>
  <si>
    <t>Record_Status</t>
  </si>
  <si>
    <t>VND-0789</t>
  </si>
  <si>
    <t>Vendor Zeta 901</t>
  </si>
  <si>
    <t>Marketing</t>
  </si>
  <si>
    <t>Canada</t>
  </si>
  <si>
    <t>AMER</t>
  </si>
  <si>
    <t>Active</t>
  </si>
  <si>
    <t>vendor.zeta.901@gmail.com</t>
  </si>
  <si>
    <t>ACC-9055</t>
  </si>
  <si>
    <t>Legacy System</t>
  </si>
  <si>
    <t>Clean</t>
  </si>
  <si>
    <t>VND-0441</t>
  </si>
  <si>
    <t>Vendor Epsilon 150</t>
  </si>
  <si>
    <t>India</t>
  </si>
  <si>
    <t>APAC</t>
  </si>
  <si>
    <t>vendor.epsilon.150@corp.net</t>
  </si>
  <si>
    <t>ACC-1529</t>
  </si>
  <si>
    <t>Manual Entry</t>
  </si>
  <si>
    <t>James T.</t>
  </si>
  <si>
    <t>VND-0140</t>
  </si>
  <si>
    <t>Vendor Omega 114</t>
  </si>
  <si>
    <t>Finance</t>
  </si>
  <si>
    <t>Singapore</t>
  </si>
  <si>
    <t>vendor.omega.114@outlook.com</t>
  </si>
  <si>
    <t>ACC-1744</t>
  </si>
  <si>
    <t>Oracle</t>
  </si>
  <si>
    <t>VND-0696</t>
  </si>
  <si>
    <t>Vendor Prime 56</t>
  </si>
  <si>
    <t>HR</t>
  </si>
  <si>
    <t>USA</t>
  </si>
  <si>
    <t>vendor.prime.56@vendor.com</t>
  </si>
  <si>
    <t>ACC-7119</t>
  </si>
  <si>
    <t>VND-0067</t>
  </si>
  <si>
    <t>Vendor Zeta 71</t>
  </si>
  <si>
    <t>Operations</t>
  </si>
  <si>
    <t>vendor.zeta.71@gmail.com</t>
  </si>
  <si>
    <t>ACC-8102</t>
  </si>
  <si>
    <t>VND-0853</t>
  </si>
  <si>
    <t>Vendor Beta 524</t>
  </si>
  <si>
    <t>UK</t>
  </si>
  <si>
    <t>EMEA</t>
  </si>
  <si>
    <t>vendor.beta.524@gmail.com</t>
  </si>
  <si>
    <t>ACC-9846</t>
  </si>
  <si>
    <t>Ravi K.</t>
  </si>
  <si>
    <t>VND-0406</t>
  </si>
  <si>
    <t>Vendor Services 899</t>
  </si>
  <si>
    <t>vendor.services.899@corp.net</t>
  </si>
  <si>
    <t>ACC-6015</t>
  </si>
  <si>
    <t>Priya S.</t>
  </si>
  <si>
    <t>VND-0737</t>
  </si>
  <si>
    <t>Vendor Omega 652</t>
  </si>
  <si>
    <t>vendor.omega.652@gmail.com</t>
  </si>
  <si>
    <t>ACC-9419</t>
  </si>
  <si>
    <t>VND-0458</t>
  </si>
  <si>
    <t>Vendor Corp 75</t>
  </si>
  <si>
    <t>Australia</t>
  </si>
  <si>
    <t>vendor.corp.75@gmail.com</t>
  </si>
  <si>
    <t>ACC-5612</t>
  </si>
  <si>
    <t>VND-0308</t>
  </si>
  <si>
    <t>Vendor Ltd 699</t>
  </si>
  <si>
    <t>vendor.ltd.699@gmail.com</t>
  </si>
  <si>
    <t>ACC-3588</t>
  </si>
  <si>
    <t>VND-0440</t>
  </si>
  <si>
    <t>Vendor Global 110</t>
  </si>
  <si>
    <t>IT</t>
  </si>
  <si>
    <t>Germany</t>
  </si>
  <si>
    <t>vendor.global.110@outlook.com</t>
  </si>
  <si>
    <t>ACC-3636</t>
  </si>
  <si>
    <t>VND-0068</t>
  </si>
  <si>
    <t>Vendor Ltd 849</t>
  </si>
  <si>
    <t>it</t>
  </si>
  <si>
    <t>vendor.ltd.849@outlook.com</t>
  </si>
  <si>
    <t>ACC-9817</t>
  </si>
  <si>
    <t>VND-0651</t>
  </si>
  <si>
    <t>Vendor Tech 494</t>
  </si>
  <si>
    <t>Legal</t>
  </si>
  <si>
    <t>vendor.tech.494@vendor.com</t>
  </si>
  <si>
    <t>ACC-9469</t>
  </si>
  <si>
    <t>SAP</t>
  </si>
  <si>
    <t>Sarah L.</t>
  </si>
  <si>
    <t>VND-0874</t>
  </si>
  <si>
    <t>Vendor Corp 541</t>
  </si>
  <si>
    <t>vendor.corp.541@corp.net</t>
  </si>
  <si>
    <t>ACC-3755</t>
  </si>
  <si>
    <t>VND-0491</t>
  </si>
  <si>
    <t>Vendor Gamma 437</t>
  </si>
  <si>
    <t>vendor.gamma.437@outlook.com</t>
  </si>
  <si>
    <t>ACC-5514</t>
  </si>
  <si>
    <t>VND-0943</t>
  </si>
  <si>
    <t>Vendor Alpha 246</t>
  </si>
  <si>
    <t>vendor.alpha.246@gmail.com</t>
  </si>
  <si>
    <t>ACC-4559</t>
  </si>
  <si>
    <t>VND-0077</t>
  </si>
  <si>
    <t>Vendor Epsilon 15</t>
  </si>
  <si>
    <t>vendor.epsilon.15@corp.net</t>
  </si>
  <si>
    <t>ACC-5786</t>
  </si>
  <si>
    <t>VND-0434</t>
  </si>
  <si>
    <t>Vendor Alpha 544</t>
  </si>
  <si>
    <t>vendor.alpha.544@vendor.com</t>
  </si>
  <si>
    <t>ACC-9328</t>
  </si>
  <si>
    <t>VND-0533</t>
  </si>
  <si>
    <t>Vendor Zeta 194</t>
  </si>
  <si>
    <t>vendor.zeta.194@vendor.com</t>
  </si>
  <si>
    <t>ACC-7199</t>
  </si>
  <si>
    <t>Anita M.</t>
  </si>
  <si>
    <t>VND-0875</t>
  </si>
  <si>
    <t>Vendor Gamma 262</t>
  </si>
  <si>
    <t>vendor.gamma.262@yahoo.com</t>
  </si>
  <si>
    <t>ACC-1965</t>
  </si>
  <si>
    <t>VND-0724</t>
  </si>
  <si>
    <t>Vendor Solutions 565</t>
  </si>
  <si>
    <t>vendor.solutions.565@outlook.com</t>
  </si>
  <si>
    <t>ACC-2515</t>
  </si>
  <si>
    <t>VND-0667</t>
  </si>
  <si>
    <t>Vendor Solutions 125</t>
  </si>
  <si>
    <t>vendor.solutions.125@corp.net</t>
  </si>
  <si>
    <t>ACC-4027</t>
  </si>
  <si>
    <t>VND-0602</t>
  </si>
  <si>
    <t>Vendor Group 730</t>
  </si>
  <si>
    <t>vendor.group.730@yahoo.com</t>
  </si>
  <si>
    <t>ACC-2926</t>
  </si>
  <si>
    <t>VND-0704</t>
  </si>
  <si>
    <t>Vendor Solutions 93</t>
  </si>
  <si>
    <t>vendor.solutions.93@vendor.com</t>
  </si>
  <si>
    <t>ACC-1399</t>
  </si>
  <si>
    <t>VND-0866</t>
  </si>
  <si>
    <t>Vendor Corp 758</t>
  </si>
  <si>
    <t>vendor.corp.758@gmail.com</t>
  </si>
  <si>
    <t>ACC-7841</t>
  </si>
  <si>
    <t>VND-0912</t>
  </si>
  <si>
    <t>Vendor Tech 935</t>
  </si>
  <si>
    <t>vendor.tech.935@yahoo.com</t>
  </si>
  <si>
    <t>ACC-5654</t>
  </si>
  <si>
    <t>VND-0360</t>
  </si>
  <si>
    <t>Vendor Solutions 604</t>
  </si>
  <si>
    <t>vendor.solutions.604@yahoo.com</t>
  </si>
  <si>
    <t>ACC-1029</t>
  </si>
  <si>
    <t>VND-0315</t>
  </si>
  <si>
    <t>Vendor Delta 644</t>
  </si>
  <si>
    <t>Under Review</t>
  </si>
  <si>
    <t>vendor.delta.644@gmail.com</t>
  </si>
  <si>
    <t>ACC-2646</t>
  </si>
  <si>
    <t>VND-0763</t>
  </si>
  <si>
    <t>Vendor Omega 138</t>
  </si>
  <si>
    <t>vendor.omega.138@vendor.com</t>
  </si>
  <si>
    <t>ACC-9837</t>
  </si>
  <si>
    <t>VND-0862</t>
  </si>
  <si>
    <t>Vendor Prime 133</t>
  </si>
  <si>
    <t>Inactive</t>
  </si>
  <si>
    <t>vendor.prime.133@yahoo.com</t>
  </si>
  <si>
    <t>ACC-8461</t>
  </si>
  <si>
    <t>VND-0024</t>
  </si>
  <si>
    <t>Vendor Ltd 772</t>
  </si>
  <si>
    <t>vendor.ltd.772@yahoo.com</t>
  </si>
  <si>
    <t>ACC-7570</t>
  </si>
  <si>
    <t>VND-0031</t>
  </si>
  <si>
    <t>Vendor Delta 519</t>
  </si>
  <si>
    <t>vendor.delta.519@outlook.com</t>
  </si>
  <si>
    <t>ACC-5669</t>
  </si>
  <si>
    <t>VND-0539</t>
  </si>
  <si>
    <t>Vendor Alpha 273</t>
  </si>
  <si>
    <t>vendor.alpha.273@yahoo.com</t>
  </si>
  <si>
    <t>ACC-5097</t>
  </si>
  <si>
    <t>VND-0534</t>
  </si>
  <si>
    <t>Vendor Beta 433</t>
  </si>
  <si>
    <t>noatsign.com</t>
  </si>
  <si>
    <t>ACC-5404</t>
  </si>
  <si>
    <t>VND-0219</t>
  </si>
  <si>
    <t>Vendor Solutions 790</t>
  </si>
  <si>
    <t>Logistics</t>
  </si>
  <si>
    <t>ACC-8822</t>
  </si>
  <si>
    <t>VND-0443</t>
  </si>
  <si>
    <t>Vendor Group 816</t>
  </si>
  <si>
    <t>vendor.group.816@vendor.com</t>
  </si>
  <si>
    <t>ACC-7825</t>
  </si>
  <si>
    <t>VND-0089</t>
  </si>
  <si>
    <t>Vendor Tech 447</t>
  </si>
  <si>
    <t>vendor.tech.447@outlook.com</t>
  </si>
  <si>
    <t>ACC-7690</t>
  </si>
  <si>
    <t>VND-0319</t>
  </si>
  <si>
    <t>Vendor Solutions 609</t>
  </si>
  <si>
    <t>vendor.solutions.609@outlook.com</t>
  </si>
  <si>
    <t>ACC-3162</t>
  </si>
  <si>
    <t>VND-0540</t>
  </si>
  <si>
    <t>Vendor Beta 998</t>
  </si>
  <si>
    <t>vendor.beta.998@gmail.com</t>
  </si>
  <si>
    <t>ACC-4263</t>
  </si>
  <si>
    <t>VND-0709</t>
  </si>
  <si>
    <t>Vendor Zeta 245</t>
  </si>
  <si>
    <t>vendor.zeta.245@outlook.com</t>
  </si>
  <si>
    <t>ACC-6778</t>
  </si>
  <si>
    <t>VND-0589</t>
  </si>
  <si>
    <t>Vendor Prime 764</t>
  </si>
  <si>
    <t>vendor.prime.764@yahoo.com</t>
  </si>
  <si>
    <t>ACC-2749</t>
  </si>
  <si>
    <t>VND-0842</t>
  </si>
  <si>
    <t>Vendor Corp 774</t>
  </si>
  <si>
    <t>vendor.corp.774@gmail.com</t>
  </si>
  <si>
    <t>ACC-9311</t>
  </si>
  <si>
    <t>VND-0545</t>
  </si>
  <si>
    <t>Vendor Delta 162</t>
  </si>
  <si>
    <t>vendor.delta.162@gmail.com</t>
  </si>
  <si>
    <t>ACC-1979</t>
  </si>
  <si>
    <t>VND-0216</t>
  </si>
  <si>
    <t>Vendor Group 824</t>
  </si>
  <si>
    <t>vendor.group.824@vendor.com</t>
  </si>
  <si>
    <t>ACC-5201</t>
  </si>
  <si>
    <t>VND-0108</t>
  </si>
  <si>
    <t>Vendor Omega 707</t>
  </si>
  <si>
    <t>vendor.omega.707@vendor.com</t>
  </si>
  <si>
    <t>ACC-2747</t>
  </si>
  <si>
    <t>VND-0775</t>
  </si>
  <si>
    <t>Vendor Solutions 721</t>
  </si>
  <si>
    <t>vendor.solutions.721@vendor.com</t>
  </si>
  <si>
    <t>ACC-5389</t>
  </si>
  <si>
    <t>VND-0446</t>
  </si>
  <si>
    <t>Vendor Alpha 439</t>
  </si>
  <si>
    <t>vendor.alpha.439@outlook.com</t>
  </si>
  <si>
    <t>ACC-1092</t>
  </si>
  <si>
    <t>VND-0281</t>
  </si>
  <si>
    <t>Vendor Solutions 681</t>
  </si>
  <si>
    <t>vendor.solutions.681@vendor.com</t>
  </si>
  <si>
    <t>ACC-6432</t>
  </si>
  <si>
    <t>VND-0372</t>
  </si>
  <si>
    <t>Vendor Global 397</t>
  </si>
  <si>
    <t>vendor.global.397@vendor.com</t>
  </si>
  <si>
    <t>ACC-1731</t>
  </si>
  <si>
    <t>VND-0328</t>
  </si>
  <si>
    <t>Vendor Global 369</t>
  </si>
  <si>
    <t>vendor.global.369@yahoo.com</t>
  </si>
  <si>
    <t>ACC-5179</t>
  </si>
  <si>
    <t>VND-0232</t>
  </si>
  <si>
    <t>Vendor Prime 829</t>
  </si>
  <si>
    <t>vendor.prime.829@corp.net</t>
  </si>
  <si>
    <t>ACC-1945</t>
  </si>
  <si>
    <t>VND-0693</t>
  </si>
  <si>
    <t>Vendor Alpha 948</t>
  </si>
  <si>
    <t>vendor.alpha.948@corp.net</t>
  </si>
  <si>
    <t>ACC-2901</t>
  </si>
  <si>
    <t>VND-0040</t>
  </si>
  <si>
    <t>Vendor Corp 482</t>
  </si>
  <si>
    <t>vendor.corp.482@outlook.com</t>
  </si>
  <si>
    <t>ACC-4728</t>
  </si>
  <si>
    <t>VND-0755</t>
  </si>
  <si>
    <t>Vendor Prime 536</t>
  </si>
  <si>
    <t>vendor.prime.536@vendor.com</t>
  </si>
  <si>
    <t>ACC-2666</t>
  </si>
  <si>
    <t>VND-0311</t>
  </si>
  <si>
    <t>Vendor Solutions 94</t>
  </si>
  <si>
    <t>vendor.solutions.94@yahoo.com</t>
  </si>
  <si>
    <t>ACC-4705</t>
  </si>
  <si>
    <t>VND-0262</t>
  </si>
  <si>
    <t>Vendor Ltd 44</t>
  </si>
  <si>
    <t>vendor.ltd.44@gmail.com</t>
  </si>
  <si>
    <t>ACC-2218</t>
  </si>
  <si>
    <t>VND-0592</t>
  </si>
  <si>
    <t>Vendor Prime 141</t>
  </si>
  <si>
    <t>vendor.prime.141@outlook.com</t>
  </si>
  <si>
    <t>ACC-7767</t>
  </si>
  <si>
    <t>VND-0060</t>
  </si>
  <si>
    <t>Vendor Tech 578</t>
  </si>
  <si>
    <t>vendor.tech.578@vendor.com</t>
  </si>
  <si>
    <t>ACC-3977</t>
  </si>
  <si>
    <t>VND-0568</t>
  </si>
  <si>
    <t>Vendor Epsilon 537</t>
  </si>
  <si>
    <t>vendor.epsilon.537@corp.net</t>
  </si>
  <si>
    <t>ACC-4617</t>
  </si>
  <si>
    <t>VND-0137</t>
  </si>
  <si>
    <t>Vendor Services 649</t>
  </si>
  <si>
    <t>vendor.services.649@vendor.com</t>
  </si>
  <si>
    <t>ACC-8432</t>
  </si>
  <si>
    <t>VND-0097</t>
  </si>
  <si>
    <t>Vendor Epsilon 841</t>
  </si>
  <si>
    <t>vendor.epsilon.841@vendor.com</t>
  </si>
  <si>
    <t>ACC-9824</t>
  </si>
  <si>
    <t>VND-0297</t>
  </si>
  <si>
    <t>Vendor Group 469</t>
  </si>
  <si>
    <t>vendor.group.469@corp.net</t>
  </si>
  <si>
    <t>ACC-2854</t>
  </si>
  <si>
    <t>VND-0920</t>
  </si>
  <si>
    <t>Vendor Prime 184</t>
  </si>
  <si>
    <t>vendor.prime.184@vendor.com</t>
  </si>
  <si>
    <t>ACC-5396</t>
  </si>
  <si>
    <t>VND-0433</t>
  </si>
  <si>
    <t>Vendor Corp 689</t>
  </si>
  <si>
    <t>vendor.corp.689@corp.net</t>
  </si>
  <si>
    <t>VND-0260</t>
  </si>
  <si>
    <t>Vendor Corp 869</t>
  </si>
  <si>
    <t>vendor.corp.869@vendor.com</t>
  </si>
  <si>
    <t>ACC-7213</t>
  </si>
  <si>
    <t>VND-0759</t>
  </si>
  <si>
    <t>Vendor Beta 756</t>
  </si>
  <si>
    <t>vendor.beta.756@vendor.com</t>
  </si>
  <si>
    <t>ACC-6356</t>
  </si>
  <si>
    <t>VND-0786</t>
  </si>
  <si>
    <t>Vendor Prime 733</t>
  </si>
  <si>
    <t>under review</t>
  </si>
  <si>
    <t>vendor.prime.733@gmail.com</t>
  </si>
  <si>
    <t>ACC-4926</t>
  </si>
  <si>
    <t>VND-0071</t>
  </si>
  <si>
    <t>Vendor Group 265</t>
  </si>
  <si>
    <t>vendor.group.265@gmail.com</t>
  </si>
  <si>
    <t>ACC-9464</t>
  </si>
  <si>
    <t>VND-0722</t>
  </si>
  <si>
    <t>Vendor Gamma 5</t>
  </si>
  <si>
    <t>2023.06.15</t>
  </si>
  <si>
    <t>vendor.gamma.5@outlook.com</t>
  </si>
  <si>
    <t>ACC-8764</t>
  </si>
  <si>
    <t>VND-0310</t>
  </si>
  <si>
    <t>Vendor Solutions 370</t>
  </si>
  <si>
    <t>vendor.solutions.370@vendor.com</t>
  </si>
  <si>
    <t>ACC-6005</t>
  </si>
  <si>
    <t>VND-0586</t>
  </si>
  <si>
    <t>Vendor Ltd 620</t>
  </si>
  <si>
    <t>vendor.ltd.620@yahoo.com</t>
  </si>
  <si>
    <t>ACC-9869</t>
  </si>
  <si>
    <t>VND-0278</t>
  </si>
  <si>
    <t>Vendor Delta 449</t>
  </si>
  <si>
    <t>vendor.delta.449@vendor.com</t>
  </si>
  <si>
    <t>ACC-3280</t>
  </si>
  <si>
    <t>VND-0685</t>
  </si>
  <si>
    <t>Vendor Beta 281</t>
  </si>
  <si>
    <t>vendor.beta.281@yahoo.com</t>
  </si>
  <si>
    <t>ACC-8187</t>
  </si>
  <si>
    <t>VND-0689</t>
  </si>
  <si>
    <t>Vendor Beta 643</t>
  </si>
  <si>
    <t>vendor.beta.643@corp.net</t>
  </si>
  <si>
    <t>ACC-4860</t>
  </si>
  <si>
    <t>VND-0169</t>
  </si>
  <si>
    <t>Vendor Alpha 263</t>
  </si>
  <si>
    <t>vendor.alpha.263@gmail.com</t>
  </si>
  <si>
    <t>ACC-5720</t>
  </si>
  <si>
    <t>VND-0064</t>
  </si>
  <si>
    <t>Vendor Epsilon 786</t>
  </si>
  <si>
    <t>vendor.epsilon.786@outlook.com</t>
  </si>
  <si>
    <t>ACC-2771</t>
  </si>
  <si>
    <t>VND-0810</t>
  </si>
  <si>
    <t>Vendor Zeta 96</t>
  </si>
  <si>
    <t>vendor.zeta.96@outlook.com</t>
  </si>
  <si>
    <t>ACC-4479</t>
  </si>
  <si>
    <t>VND-0175</t>
  </si>
  <si>
    <t>Vendor Gamma 851</t>
  </si>
  <si>
    <t>vendor.gamma.851@yahoo.com</t>
  </si>
  <si>
    <t>ACC-3209</t>
  </si>
  <si>
    <t>VND-0591</t>
  </si>
  <si>
    <t>Vendor Beta 705</t>
  </si>
  <si>
    <t>vendor.beta.705@outlook.com</t>
  </si>
  <si>
    <t>ACC-4014</t>
  </si>
  <si>
    <t>VND-0630</t>
  </si>
  <si>
    <t>Vendor Gamma 30</t>
  </si>
  <si>
    <t>vendor.gamma.30@gmail.com</t>
  </si>
  <si>
    <t>ACC-7987</t>
  </si>
  <si>
    <t>VND-0821</t>
  </si>
  <si>
    <t>Vendor Solutions 925</t>
  </si>
  <si>
    <t>vendor.solutions.925@corp.net</t>
  </si>
  <si>
    <t>ACC-1781</t>
  </si>
  <si>
    <t>VND-0760</t>
  </si>
  <si>
    <t>Vendor Tech 639</t>
  </si>
  <si>
    <t>vendor.tech.639@vendor.com</t>
  </si>
  <si>
    <t>ACC-4308</t>
  </si>
  <si>
    <t>VND-0801</t>
  </si>
  <si>
    <t>Vendor Solutions 663</t>
  </si>
  <si>
    <t>vendor.solutions.663@vendor.com</t>
  </si>
  <si>
    <t>VND-0804</t>
  </si>
  <si>
    <t>Vendor Omega 688</t>
  </si>
  <si>
    <t>vendor.omega.688@yahoo.com</t>
  </si>
  <si>
    <t>ACC-5264</t>
  </si>
  <si>
    <t>VND-0661</t>
  </si>
  <si>
    <t>Vendor Group 945</t>
  </si>
  <si>
    <t>vendor.group.945@outlook.com</t>
  </si>
  <si>
    <t>ACC-3378</t>
  </si>
  <si>
    <t>VND-0849</t>
  </si>
  <si>
    <t>Vendor Omega 63</t>
  </si>
  <si>
    <t>vendor.omega.63@gmail.com</t>
  </si>
  <si>
    <t>ACC-9516</t>
  </si>
  <si>
    <t>VND-0678</t>
  </si>
  <si>
    <t>Vendor Prime 753</t>
  </si>
  <si>
    <t>vendor.prime.753@yahoo.com</t>
  </si>
  <si>
    <t>ACC-9015</t>
  </si>
  <si>
    <t>VND-0015</t>
  </si>
  <si>
    <t>Vendor Zeta 501</t>
  </si>
  <si>
    <t>vendor.zeta.501@gmail.com</t>
  </si>
  <si>
    <t>ACC-4946</t>
  </si>
  <si>
    <t>VND-0313</t>
  </si>
  <si>
    <t>Vendor Omega 92</t>
  </si>
  <si>
    <t>vendor.omega.92@outlook.com</t>
  </si>
  <si>
    <t>ACC-3246</t>
  </si>
  <si>
    <t>VND-0087</t>
  </si>
  <si>
    <t>Vendor Tech 41</t>
  </si>
  <si>
    <t>vendor.tech.41@gmail.com</t>
  </si>
  <si>
    <t>ACC-4750</t>
  </si>
  <si>
    <t>VND-0276</t>
  </si>
  <si>
    <t>Vendor Epsilon 753</t>
  </si>
  <si>
    <t>vendor.epsilon.753@vendor.com</t>
  </si>
  <si>
    <t>ACC-5592</t>
  </si>
  <si>
    <t>VND-0598</t>
  </si>
  <si>
    <t>Vendor Prime 93</t>
  </si>
  <si>
    <t>vendor.prime.93@vendor.com</t>
  </si>
  <si>
    <t>ACC-6299</t>
  </si>
  <si>
    <t>VND-0293</t>
  </si>
  <si>
    <t>Vendor Omega 434</t>
  </si>
  <si>
    <t>vendor.omega.434@yahoo.com</t>
  </si>
  <si>
    <t>ACC-9022</t>
  </si>
  <si>
    <t>VND-0211</t>
  </si>
  <si>
    <t>Vendor Alpha 452</t>
  </si>
  <si>
    <t>@gmail.com</t>
  </si>
  <si>
    <t>ACC-8726</t>
  </si>
  <si>
    <t>VND-0752</t>
  </si>
  <si>
    <t>Vendor Group 370</t>
  </si>
  <si>
    <t>vendor.group.370@outlook.com</t>
  </si>
  <si>
    <t>ACC-9088</t>
  </si>
  <si>
    <t>VND-0487</t>
  </si>
  <si>
    <t>Vendor Solutions 442</t>
  </si>
  <si>
    <t>vendor.solutions.442@corp.net</t>
  </si>
  <si>
    <t>ACC-8028</t>
  </si>
  <si>
    <t>VND-0363</t>
  </si>
  <si>
    <t>Vendor Epsilon 215</t>
  </si>
  <si>
    <t>vendor.epsilon.215@gmail.com</t>
  </si>
  <si>
    <t>ACC-1788</t>
  </si>
  <si>
    <t>VND-0352</t>
  </si>
  <si>
    <t>Vendor Alpha 829</t>
  </si>
  <si>
    <t>vendor.alpha.829@gmail.com</t>
  </si>
  <si>
    <t>ACC-5060</t>
  </si>
  <si>
    <t>VND-0502</t>
  </si>
  <si>
    <t xml:space="preserve">  Vendor Beta 516  </t>
  </si>
  <si>
    <t>vendor.beta.516@corp.net</t>
  </si>
  <si>
    <t>ACC-5098</t>
  </si>
  <si>
    <t>VND-0900</t>
  </si>
  <si>
    <t>Vendor Ltd 822</t>
  </si>
  <si>
    <t>vendor.ltd.822@gmail.com</t>
  </si>
  <si>
    <t>ACC-1914</t>
  </si>
  <si>
    <t>VND-0424</t>
  </si>
  <si>
    <t>Vendor Solutions 657</t>
  </si>
  <si>
    <t>vendor.solutions.657@yahoo.com</t>
  </si>
  <si>
    <t>ACC-9283</t>
  </si>
  <si>
    <t>VND-0715</t>
  </si>
  <si>
    <t>Vendor Alpha 893</t>
  </si>
  <si>
    <t>vendor.alpha.893@outlook.com</t>
  </si>
  <si>
    <t>ACC-7745</t>
  </si>
  <si>
    <t>VND-0639</t>
  </si>
  <si>
    <t>Vendor Ltd 729</t>
  </si>
  <si>
    <t>logistic</t>
  </si>
  <si>
    <t>vendor.ltd.729@corp.net</t>
  </si>
  <si>
    <t>ACC-2599</t>
  </si>
  <si>
    <t>VND-0712</t>
  </si>
  <si>
    <t>Vendor Ltd 906</t>
  </si>
  <si>
    <t>vendor.ltd.906@gmail.com</t>
  </si>
  <si>
    <t>ACC-2791</t>
  </si>
  <si>
    <t>VND-0833</t>
  </si>
  <si>
    <t>Vendor Tech 743</t>
  </si>
  <si>
    <t>ACC-9655</t>
  </si>
  <si>
    <t>VND-0930</t>
  </si>
  <si>
    <t>Vendor Corp 473</t>
  </si>
  <si>
    <t>vendor.corp.473@vendor.com</t>
  </si>
  <si>
    <t>ACC-4433</t>
  </si>
  <si>
    <t>VND-0817</t>
  </si>
  <si>
    <t>Vendor Group 443</t>
  </si>
  <si>
    <t>vendor.group.443@gmail.com</t>
  </si>
  <si>
    <t>ACC-7020</t>
  </si>
  <si>
    <t>VND-0520</t>
  </si>
  <si>
    <t>Vendor Corp 696</t>
  </si>
  <si>
    <t>Inactve</t>
  </si>
  <si>
    <t>vendor.corp.696@outlook.com</t>
  </si>
  <si>
    <t>ACC-6326</t>
  </si>
  <si>
    <t>VND-0056</t>
  </si>
  <si>
    <t>Vendor Gamma 724</t>
  </si>
  <si>
    <t>ACC-7812</t>
  </si>
  <si>
    <t>VND-0537</t>
  </si>
  <si>
    <t>Vendor Services 449</t>
  </si>
  <si>
    <t>vendor.services.449@vendor.com</t>
  </si>
  <si>
    <t>ACC-4558</t>
  </si>
  <si>
    <t>VND-0686</t>
  </si>
  <si>
    <t>Vendor Alpha 137</t>
  </si>
  <si>
    <t>vendor.alpha.137@gmail.com</t>
  </si>
  <si>
    <t>ACC-8978</t>
  </si>
  <si>
    <t>VND-0245</t>
  </si>
  <si>
    <t>Vendor Omega 992</t>
  </si>
  <si>
    <t>vendor.omega.992@outlook.com</t>
  </si>
  <si>
    <t>ACC-4331</t>
  </si>
  <si>
    <t>VND-0073</t>
  </si>
  <si>
    <t>Vendor Beta 302</t>
  </si>
  <si>
    <t>vendor.beta.302@corp.net</t>
  </si>
  <si>
    <t>ACC-7046</t>
  </si>
  <si>
    <t>VND-0267</t>
  </si>
  <si>
    <t>Vendor Delta 365</t>
  </si>
  <si>
    <t>vendor.delta.365@corp.net</t>
  </si>
  <si>
    <t>ACC-5839</t>
  </si>
  <si>
    <t>VND-0045</t>
  </si>
  <si>
    <t>Vendor Solutions 943</t>
  </si>
  <si>
    <t>legal</t>
  </si>
  <si>
    <t>vendor.solutions.943@corp.net</t>
  </si>
  <si>
    <t>ACC-6067</t>
  </si>
  <si>
    <t>VND-0121</t>
  </si>
  <si>
    <t>Vendor Solutions 218</t>
  </si>
  <si>
    <t>vendor.solutions.218@outlook.com</t>
  </si>
  <si>
    <t>ACC-4990</t>
  </si>
  <si>
    <t>VND-0306</t>
  </si>
  <si>
    <t>Vendor Beta 749</t>
  </si>
  <si>
    <t>vendor.beta.749@corp.net</t>
  </si>
  <si>
    <t>ACC-7516</t>
  </si>
  <si>
    <t>VND-0616</t>
  </si>
  <si>
    <t>Vendor Zeta 854</t>
  </si>
  <si>
    <t>vendor.zeta.854@yahoo.com</t>
  </si>
  <si>
    <t>ACC-8888</t>
  </si>
  <si>
    <t>VND-0657</t>
  </si>
  <si>
    <t>Vendor Gamma 932</t>
  </si>
  <si>
    <t>vendor.gamma.932@yahoo.com</t>
  </si>
  <si>
    <t>ACC-5280</t>
  </si>
  <si>
    <t>VND-0266</t>
  </si>
  <si>
    <t>Vendor Zeta 620</t>
  </si>
  <si>
    <t>vendor.zeta.620@gmail.com</t>
  </si>
  <si>
    <t>ACC-5478</t>
  </si>
  <si>
    <t>VND-0585</t>
  </si>
  <si>
    <t>Vendor Gamma 90</t>
  </si>
  <si>
    <t>vendor.gamma.90@yahoo.com</t>
  </si>
  <si>
    <t>ACC-3502</t>
  </si>
  <si>
    <t>VND-0531</t>
  </si>
  <si>
    <t>Vendor Alpha 536</t>
  </si>
  <si>
    <t>vendor.alpha.536@vendor.com</t>
  </si>
  <si>
    <t>ACC-9767</t>
  </si>
  <si>
    <t>VND-0364</t>
  </si>
  <si>
    <t>Vendor Services 430</t>
  </si>
  <si>
    <t>vendor.services.430@corp.net</t>
  </si>
  <si>
    <t>ACC-7149</t>
  </si>
  <si>
    <t>VND-0666</t>
  </si>
  <si>
    <t>Vendor Delta 743</t>
  </si>
  <si>
    <t>Opreations</t>
  </si>
  <si>
    <t>vendor.delta.743@gmail.com</t>
  </si>
  <si>
    <t>ACC-1931</t>
  </si>
  <si>
    <t>VND-0210</t>
  </si>
  <si>
    <t>Vendor Prime 175</t>
  </si>
  <si>
    <t>vendor.prime.175@yahoo.com</t>
  </si>
  <si>
    <t>ACC-1517</t>
  </si>
  <si>
    <t>VND-0335</t>
  </si>
  <si>
    <t>vendor.global.355@gmail.com</t>
  </si>
  <si>
    <t>ACC-7164</t>
  </si>
  <si>
    <t>VND-0850</t>
  </si>
  <si>
    <t>Vendor Omega 908</t>
  </si>
  <si>
    <t>vendor.omega.908@outlook.com</t>
  </si>
  <si>
    <t>ACC-1129</t>
  </si>
  <si>
    <t>VND-0815</t>
  </si>
  <si>
    <t>Vendor Services 73</t>
  </si>
  <si>
    <t>INACTIVE</t>
  </si>
  <si>
    <t>vendor.services.73@yahoo.com</t>
  </si>
  <si>
    <t>ACC-4933</t>
  </si>
  <si>
    <t>VND-0747</t>
  </si>
  <si>
    <t>Vendor Beta 150</t>
  </si>
  <si>
    <t>vendor.beta.150@yahoo.com</t>
  </si>
  <si>
    <t>ACC-9202</t>
  </si>
  <si>
    <t>VND-0200</t>
  </si>
  <si>
    <t>Vendor Alpha 298</t>
  </si>
  <si>
    <t>vendor.alpha.298@outlook.com</t>
  </si>
  <si>
    <t>ACC-6123</t>
  </si>
  <si>
    <t>VND-0495</t>
  </si>
  <si>
    <t>Vendor Solutions 6</t>
  </si>
  <si>
    <t>vendor.solutions.6@vendor.com</t>
  </si>
  <si>
    <t>ACC-2444</t>
  </si>
  <si>
    <t>VND-0923</t>
  </si>
  <si>
    <t>Vendor Epsilon 456</t>
  </si>
  <si>
    <t>vendor.epsilon.456@corp.net</t>
  </si>
  <si>
    <t>ACC-6511</t>
  </si>
  <si>
    <t>VND-0457</t>
  </si>
  <si>
    <t>Vendor Omega 444</t>
  </si>
  <si>
    <t>vendor.omega.444@gmail.com</t>
  </si>
  <si>
    <t>ACC-2036</t>
  </si>
  <si>
    <t>VND-0282</t>
  </si>
  <si>
    <t>Vendor Alpha 101</t>
  </si>
  <si>
    <t>vendor.alpha.101@corp.net</t>
  </si>
  <si>
    <t>ACC-4621</t>
  </si>
  <si>
    <t>VND-0061</t>
  </si>
  <si>
    <t>Vendor Omega 336</t>
  </si>
  <si>
    <t>vendor.omega.336@vendor.com</t>
  </si>
  <si>
    <t>ACC-5133</t>
  </si>
  <si>
    <t>VND-0449</t>
  </si>
  <si>
    <t>Vendor Gamma 426</t>
  </si>
  <si>
    <t>vendor.gamma.426@yahoo.com</t>
  </si>
  <si>
    <t>ACC-6437</t>
  </si>
  <si>
    <t>VND-0423</t>
  </si>
  <si>
    <t>Vendor Corp 347</t>
  </si>
  <si>
    <t>vendor.corp.347@yahoo.com</t>
  </si>
  <si>
    <t>ACC-8895</t>
  </si>
  <si>
    <t>VND-0381</t>
  </si>
  <si>
    <t>Vendor Epsilon 413</t>
  </si>
  <si>
    <t>vendor.epsilon.413@vendor.com</t>
  </si>
  <si>
    <t>ACC-6431</t>
  </si>
  <si>
    <t>VND-0324</t>
  </si>
  <si>
    <t>Vendor Corp 245</t>
  </si>
  <si>
    <t>ACC-1901</t>
  </si>
  <si>
    <t>VND-0583</t>
  </si>
  <si>
    <t>Vendor Prime 403</t>
  </si>
  <si>
    <t>HR Dept</t>
  </si>
  <si>
    <t>vendor.prime.403@outlook.com</t>
  </si>
  <si>
    <t>ACC-4869</t>
  </si>
  <si>
    <t>VND-0159</t>
  </si>
  <si>
    <t>Vendor Zeta 317</t>
  </si>
  <si>
    <t>vendor.zeta.317@yahoo.com</t>
  </si>
  <si>
    <t>ACC-3253</t>
  </si>
  <si>
    <t>VND-0550</t>
  </si>
  <si>
    <t>Vendor Global 376</t>
  </si>
  <si>
    <t>vendor.global.376@yahoo.com</t>
  </si>
  <si>
    <t>ACC-1306</t>
  </si>
  <si>
    <t>VND-0607</t>
  </si>
  <si>
    <t>Vendor Gamma 166</t>
  </si>
  <si>
    <t>Actve</t>
  </si>
  <si>
    <t>vendor.gamma.166@corp.net</t>
  </si>
  <si>
    <t>ACC-6901</t>
  </si>
  <si>
    <t>VND-0199</t>
  </si>
  <si>
    <t>Vendor Global 576</t>
  </si>
  <si>
    <t>vendor.global.576@vendor.com</t>
  </si>
  <si>
    <t>ACC-5061</t>
  </si>
  <si>
    <t>VND-0757</t>
  </si>
  <si>
    <t>Vendor Group 731</t>
  </si>
  <si>
    <t>vendor.group.731@vendor.com</t>
  </si>
  <si>
    <t>ACC-7626</t>
  </si>
  <si>
    <t>VND-0111</t>
  </si>
  <si>
    <t>vendor.delta.636@gmail.com</t>
  </si>
  <si>
    <t>ACC-1645</t>
  </si>
  <si>
    <t>VND-0619</t>
  </si>
  <si>
    <t>Vendor Epsilon 861</t>
  </si>
  <si>
    <t>vendor.epsilon.861@corp.net</t>
  </si>
  <si>
    <t>ACC-7382</t>
  </si>
  <si>
    <t>VND-0904</t>
  </si>
  <si>
    <t>Vendor Omega 493</t>
  </si>
  <si>
    <t>vendor.omega.493@gmail.com</t>
  </si>
  <si>
    <t>VND-0889</t>
  </si>
  <si>
    <t>Vendor Delta 761</t>
  </si>
  <si>
    <t>vendor.delta.761@gmail.com</t>
  </si>
  <si>
    <t>ACC-5967</t>
  </si>
  <si>
    <t>VND-0300</t>
  </si>
  <si>
    <t>Vendor Corp 121</t>
  </si>
  <si>
    <t>vendor.corp.121@corp.net</t>
  </si>
  <si>
    <t>ACC-8015</t>
  </si>
  <si>
    <t>VND-0356</t>
  </si>
  <si>
    <t>Vendor Tech 225</t>
  </si>
  <si>
    <t>vendor.tech.225@yahoo.com</t>
  </si>
  <si>
    <t>ACC-3137</t>
  </si>
  <si>
    <t>VND-0548</t>
  </si>
  <si>
    <t>Vendor Epsilon 556</t>
  </si>
  <si>
    <t>vendor.epsilon.556@outlook.com</t>
  </si>
  <si>
    <t>ACC-6303</t>
  </si>
  <si>
    <t>VND-0383</t>
  </si>
  <si>
    <t xml:space="preserve">  Vendor Gamma 308  </t>
  </si>
  <si>
    <t>vendor.gamma.308@vendor.com</t>
  </si>
  <si>
    <t>ACC-2462</t>
  </si>
  <si>
    <t>VND-0405</t>
  </si>
  <si>
    <t>vendor.zeta.973@gmail.com</t>
  </si>
  <si>
    <t>ACC-1067</t>
  </si>
  <si>
    <t>VND-0614</t>
  </si>
  <si>
    <t>Vendor Group 653</t>
  </si>
  <si>
    <t>vendor.group.653@gmail.com</t>
  </si>
  <si>
    <t>ACC-6042</t>
  </si>
  <si>
    <t>VND-0358</t>
  </si>
  <si>
    <t>Vendor Corp 374</t>
  </si>
  <si>
    <t>vendor.corp.374@gmail.com</t>
  </si>
  <si>
    <t>ACC-6514</t>
  </si>
  <si>
    <t>VND-0185</t>
  </si>
  <si>
    <t>Vendor Beta 27</t>
  </si>
  <si>
    <t>vendor.beta.27@gmail.com</t>
  </si>
  <si>
    <t>ACC-5288</t>
  </si>
  <si>
    <t>VND-0138</t>
  </si>
  <si>
    <t>Vendor Zeta 320</t>
  </si>
  <si>
    <t>vendor.zeta.320@yahoo.com</t>
  </si>
  <si>
    <t>ACC-3579</t>
  </si>
  <si>
    <t>VND-0452</t>
  </si>
  <si>
    <t>Vendor Services 290</t>
  </si>
  <si>
    <t>vendor.services.290@corp.net</t>
  </si>
  <si>
    <t>VND-0543</t>
  </si>
  <si>
    <t>Vendor Corp 683</t>
  </si>
  <si>
    <t>vendor.corp.683@gmail.com</t>
  </si>
  <si>
    <t>ACC-3742</t>
  </si>
  <si>
    <t>VND-0569</t>
  </si>
  <si>
    <t>Vendor Solutions 750</t>
  </si>
  <si>
    <t>vendor.solutions.750@yahoo.com</t>
  </si>
  <si>
    <t>ACC-8076</t>
  </si>
  <si>
    <t>VND-0735</t>
  </si>
  <si>
    <t>Vendor Omega 890</t>
  </si>
  <si>
    <t>vendor.omega.890@corp.net</t>
  </si>
  <si>
    <t>ACC-1287</t>
  </si>
  <si>
    <t>VND-0429</t>
  </si>
  <si>
    <t>Vendor Zeta 846</t>
  </si>
  <si>
    <t>vendor.zeta.846@corp.net</t>
  </si>
  <si>
    <t>ACC-8751</t>
  </si>
  <si>
    <t>VND-0546</t>
  </si>
  <si>
    <t>Vendor Gamma 719</t>
  </si>
  <si>
    <t>vendor.gamma.719@outlook.com</t>
  </si>
  <si>
    <t>ACC-6690</t>
  </si>
  <si>
    <t>VND-0860</t>
  </si>
  <si>
    <t>Vendor Global 413</t>
  </si>
  <si>
    <t>vendor.global.413@corp.net</t>
  </si>
  <si>
    <t>ACC-9172</t>
  </si>
  <si>
    <t>VND-0351</t>
  </si>
  <si>
    <t>Vendor Ltd 580</t>
  </si>
  <si>
    <t>vendor@</t>
  </si>
  <si>
    <t>ACC-4588</t>
  </si>
  <si>
    <t>VND-0645</t>
  </si>
  <si>
    <t>Vendor Services 605</t>
  </si>
  <si>
    <t>vendor.services.605@vendor.com</t>
  </si>
  <si>
    <t>ACC-8130</t>
  </si>
  <si>
    <t>VND-0911</t>
  </si>
  <si>
    <t>Vendor Zeta 11</t>
  </si>
  <si>
    <t>vendor.zeta.11@outlook.com</t>
  </si>
  <si>
    <t>ACC-8215</t>
  </si>
  <si>
    <t>VND-0465</t>
  </si>
  <si>
    <t>Vendor Epsilon 635</t>
  </si>
  <si>
    <t>vendor.epsilon.635@corp.net</t>
  </si>
  <si>
    <t>ACC-6008</t>
  </si>
  <si>
    <t>VND-0079</t>
  </si>
  <si>
    <t>Vendor Alpha 259</t>
  </si>
  <si>
    <t>vendor.alpha.259@vendor.com</t>
  </si>
  <si>
    <t>ACC-2213</t>
  </si>
  <si>
    <t>VND-0030</t>
  </si>
  <si>
    <t>Vendor Gamma 688</t>
  </si>
  <si>
    <t>vendor.gamma.688@vendor.com</t>
  </si>
  <si>
    <t>ACC-2638</t>
  </si>
  <si>
    <t>VND-0683</t>
  </si>
  <si>
    <t>Vendor Beta 510</t>
  </si>
  <si>
    <t>vendor.beta.510@vendor.com</t>
  </si>
  <si>
    <t>ACC-6527</t>
  </si>
  <si>
    <t>VND-0236</t>
  </si>
  <si>
    <t>Vendor Beta 700</t>
  </si>
  <si>
    <t>vendor.beta.700@yahoo.com</t>
  </si>
  <si>
    <t>ACC-9802</t>
  </si>
  <si>
    <t>VND-0811</t>
  </si>
  <si>
    <t>Vendor Group 585</t>
  </si>
  <si>
    <t>plaintext</t>
  </si>
  <si>
    <t>ACC-6384</t>
  </si>
  <si>
    <t>VND-0632</t>
  </si>
  <si>
    <t>Vendor Services 777</t>
  </si>
  <si>
    <t>vendor.services.777@yahoo.com</t>
  </si>
  <si>
    <t>ACC-2522</t>
  </si>
  <si>
    <t>VND-0166</t>
  </si>
  <si>
    <t>Vendor Beta 970</t>
  </si>
  <si>
    <t>vendor.beta.970@vendor.com</t>
  </si>
  <si>
    <t>ACC-1872</t>
  </si>
  <si>
    <t>VND-0552</t>
  </si>
  <si>
    <t>Vendor Epsilon 331</t>
  </si>
  <si>
    <t>vendor.epsilon.331@gmail.com</t>
  </si>
  <si>
    <t>ACC-1717</t>
  </si>
  <si>
    <t>VND-0717</t>
  </si>
  <si>
    <t>Vendor Gamma 920</t>
  </si>
  <si>
    <t>vendor.gamma.920@vendor.com</t>
  </si>
  <si>
    <t>ACC-7093</t>
  </si>
  <si>
    <t>VND-0066</t>
  </si>
  <si>
    <t>Vendor Group 309</t>
  </si>
  <si>
    <t>vendor.group.309@gmail.com</t>
  </si>
  <si>
    <t>ACC-6688</t>
  </si>
  <si>
    <t>VND-0142</t>
  </si>
  <si>
    <t>Vendor Alpha 510</t>
  </si>
  <si>
    <t>vendor.alpha.510@yahoo.com</t>
  </si>
  <si>
    <t>ACC-9196</t>
  </si>
  <si>
    <t>VND-0214</t>
  </si>
  <si>
    <t>Vendor Global 306</t>
  </si>
  <si>
    <t>vendor.global.306@vendor.com</t>
  </si>
  <si>
    <t>ACC-6194</t>
  </si>
  <si>
    <t>VND-0378</t>
  </si>
  <si>
    <t>Vendor Omega 566</t>
  </si>
  <si>
    <t>vendor.omega.566@corp.net</t>
  </si>
  <si>
    <t>ACC-9561</t>
  </si>
  <si>
    <t>VND-0295</t>
  </si>
  <si>
    <t>Vendor Global 518</t>
  </si>
  <si>
    <t>vendor.global.518@vendor.com</t>
  </si>
  <si>
    <t>ACC-9006</t>
  </si>
  <si>
    <t>VND-0653</t>
  </si>
  <si>
    <t>Vendor Global 798</t>
  </si>
  <si>
    <t>vendor.global.798@outlook.com</t>
  </si>
  <si>
    <t>ACC-7897</t>
  </si>
  <si>
    <t>VND-0366</t>
  </si>
  <si>
    <t>Vendor Alpha 327</t>
  </si>
  <si>
    <t>ACC-2228</t>
  </si>
  <si>
    <t>VND-0437</t>
  </si>
  <si>
    <t>Vendor Omega 617</t>
  </si>
  <si>
    <t>vendor.omega.617@corp.net</t>
  </si>
  <si>
    <t>ACC-4560</t>
  </si>
  <si>
    <t>VND-0829</t>
  </si>
  <si>
    <t>Vendor Delta 447</t>
  </si>
  <si>
    <t>vendor.delta.447@outlook.com</t>
  </si>
  <si>
    <t>ACC-8592</t>
  </si>
  <si>
    <t>VND-0882</t>
  </si>
  <si>
    <t>Vendor Ltd 944</t>
  </si>
  <si>
    <t>vendor.ltd.944@yahoo.com</t>
  </si>
  <si>
    <t>ACC-9361</t>
  </si>
  <si>
    <t>VND-0287</t>
  </si>
  <si>
    <t>Vendor Global 437</t>
  </si>
  <si>
    <t>vendor.global.437@vendor.com</t>
  </si>
  <si>
    <t>ACC-7481</t>
  </si>
  <si>
    <t>VND-0050</t>
  </si>
  <si>
    <t>Vendor Prime 626</t>
  </si>
  <si>
    <t>vendor.prime.626@corp.net</t>
  </si>
  <si>
    <t>ACC-4185</t>
  </si>
  <si>
    <t>VND-0714</t>
  </si>
  <si>
    <t>Vendor Global 955</t>
  </si>
  <si>
    <t>vendor.global.955@gmail.com</t>
  </si>
  <si>
    <t>ACC-5776</t>
  </si>
  <si>
    <t>VND-0618</t>
  </si>
  <si>
    <t>Vendor Services 695</t>
  </si>
  <si>
    <t>vendor.services.695@outlook.com</t>
  </si>
  <si>
    <t>ACC-6793</t>
  </si>
  <si>
    <t>VND-0450</t>
  </si>
  <si>
    <t>Vendor Epsilon 224</t>
  </si>
  <si>
    <t>vendor.epsilon.224@outlook.com</t>
  </si>
  <si>
    <t>ACC-8301</t>
  </si>
  <si>
    <t>VND-0332</t>
  </si>
  <si>
    <t>Vendor Delta 824</t>
  </si>
  <si>
    <t>ACC-6090</t>
  </si>
  <si>
    <t>VND-0886</t>
  </si>
  <si>
    <t>Vendor Ltd 10</t>
  </si>
  <si>
    <t>vendor.ltd.10@corp.net</t>
  </si>
  <si>
    <t>ACC-2329</t>
  </si>
  <si>
    <t>VND-0527</t>
  </si>
  <si>
    <t>Vendor Services 291</t>
  </si>
  <si>
    <t>vendor.services.291@gmail.com</t>
  </si>
  <si>
    <t>ACC-1575</t>
  </si>
  <si>
    <t>VND-0482</t>
  </si>
  <si>
    <t>Vendor Services 678</t>
  </si>
  <si>
    <t>vendor.services.678@corp.net</t>
  </si>
  <si>
    <t>ACC-8723</t>
  </si>
  <si>
    <t>VND-0099</t>
  </si>
  <si>
    <t>Vendor Alpha 326</t>
  </si>
  <si>
    <t>vendor.alpha.326@yahoo.com</t>
  </si>
  <si>
    <t>ACC-9115</t>
  </si>
  <si>
    <t>VND-0668</t>
  </si>
  <si>
    <t>Vendor Gamma 260</t>
  </si>
  <si>
    <t>vendor.gamma.260@vendor.com</t>
  </si>
  <si>
    <t>ACC-5528</t>
  </si>
  <si>
    <t>VND-0590</t>
  </si>
  <si>
    <t>Vendor Alpha 781</t>
  </si>
  <si>
    <t>vendor.alpha.781@yahoo.com</t>
  </si>
  <si>
    <t>ACC-4783</t>
  </si>
  <si>
    <t>VND-0034</t>
  </si>
  <si>
    <t>Vendor Solutions 650</t>
  </si>
  <si>
    <t>vendor.solutions.650@gmail.com</t>
  </si>
  <si>
    <t>ACC-7939</t>
  </si>
  <si>
    <t>VND-0032</t>
  </si>
  <si>
    <t>Vendor Corp 557</t>
  </si>
  <si>
    <t>vendor.corp.557@corp.net</t>
  </si>
  <si>
    <t>ACC-5905</t>
  </si>
  <si>
    <t>VND-0733</t>
  </si>
  <si>
    <t>Vendor Alpha 811</t>
  </si>
  <si>
    <t>vendor.alpha.811@outlook.com</t>
  </si>
  <si>
    <t>ACC-7834</t>
  </si>
  <si>
    <t>VND-0193</t>
  </si>
  <si>
    <t>Vendor Ltd 727</t>
  </si>
  <si>
    <t>vendor.ltd.727@gmail.com</t>
  </si>
  <si>
    <t>ACC-5105</t>
  </si>
  <si>
    <t>VND-0917</t>
  </si>
  <si>
    <t>Vendor Delta 944</t>
  </si>
  <si>
    <t>vendor.delta.944@outlook.com</t>
  </si>
  <si>
    <t>ACC-3434</t>
  </si>
  <si>
    <t>VND-0207</t>
  </si>
  <si>
    <t>Vendor Ltd 628</t>
  </si>
  <si>
    <t>vendor.ltd.628@outlook.com</t>
  </si>
  <si>
    <t>VND-0238</t>
  </si>
  <si>
    <t>Vendor Omega 844</t>
  </si>
  <si>
    <t>ACC-2848</t>
  </si>
  <si>
    <t>VND-0307</t>
  </si>
  <si>
    <t>Vendor Corp 217</t>
  </si>
  <si>
    <t>vendor.corp.217@corp.net</t>
  </si>
  <si>
    <t>ACC-3139</t>
  </si>
  <si>
    <t>VND-0828</t>
  </si>
  <si>
    <t>Vendor Delta 115</t>
  </si>
  <si>
    <t>vendor.delta.115@yahoo.com</t>
  </si>
  <si>
    <t>ACC-8882</t>
  </si>
  <si>
    <t>VND-0291</t>
  </si>
  <si>
    <t>Vendor Zeta 866</t>
  </si>
  <si>
    <t>vendor.zeta.866@corp.net</t>
  </si>
  <si>
    <t>ACC-2388</t>
  </si>
  <si>
    <t>VND-0110</t>
  </si>
  <si>
    <t>Vendor Corp 703</t>
  </si>
  <si>
    <t>vendor.corp.703@yahoo.com</t>
  </si>
  <si>
    <t>ACC-6772</t>
  </si>
  <si>
    <t>VND-0884</t>
  </si>
  <si>
    <t>Vendor Delta 626</t>
  </si>
  <si>
    <t>vendor.delta.626@outlook.com</t>
  </si>
  <si>
    <t>VND-0078</t>
  </si>
  <si>
    <t>Vendor Corp 771</t>
  </si>
  <si>
    <t>vendor.corp.771@vendor.com</t>
  </si>
  <si>
    <t>ACC-8216</t>
  </si>
  <si>
    <t>VND-0784</t>
  </si>
  <si>
    <t>Vendor Delta 148</t>
  </si>
  <si>
    <t>vendor.delta.148@vendor.com</t>
  </si>
  <si>
    <t>ACC-5166</t>
  </si>
  <si>
    <t>VND-0881</t>
  </si>
  <si>
    <t>Vendor Omega 985</t>
  </si>
  <si>
    <t>vendor.omega.985@outlook.com</t>
  </si>
  <si>
    <t>VND-0083</t>
  </si>
  <si>
    <t>Vendor Omega 462</t>
  </si>
  <si>
    <t>vendor.omega.462@outlook.com</t>
  </si>
  <si>
    <t>ACC-5632</t>
  </si>
  <si>
    <t>VND-0517</t>
  </si>
  <si>
    <t>Vendor Global 547</t>
  </si>
  <si>
    <t>vendor.global.547@corp.net</t>
  </si>
  <si>
    <t>VND-0329</t>
  </si>
  <si>
    <t>Vendor Solutions 741</t>
  </si>
  <si>
    <t>vendor.solutions.741@gmail.com</t>
  </si>
  <si>
    <t>ACC-5006</t>
  </si>
  <si>
    <t>VND-0345</t>
  </si>
  <si>
    <t>Vendor Gamma 203</t>
  </si>
  <si>
    <t>vendor.gamma.203@corp.net</t>
  </si>
  <si>
    <t>ACC-5240</t>
  </si>
  <si>
    <t>VND-0787</t>
  </si>
  <si>
    <t>Vendor Omega 317</t>
  </si>
  <si>
    <t>vendor.omega.317@yahoo.com</t>
  </si>
  <si>
    <t>ACC-8248</t>
  </si>
  <si>
    <t>VND-0905</t>
  </si>
  <si>
    <t>vendor.tech.447@corp.net</t>
  </si>
  <si>
    <t>ACC-3385</t>
  </si>
  <si>
    <t>VND-0389</t>
  </si>
  <si>
    <t>Vendor Alpha 167</t>
  </si>
  <si>
    <t>vendor.alpha.167@yahoo.com</t>
  </si>
  <si>
    <t>ACC-4387</t>
  </si>
  <si>
    <t>VND-0003</t>
  </si>
  <si>
    <t>Vendor Prime 604</t>
  </si>
  <si>
    <t>vendor.prime.604@vendor.com</t>
  </si>
  <si>
    <t>ACC-6574</t>
  </si>
  <si>
    <t>VND-0102</t>
  </si>
  <si>
    <t>Vendor Beta 873</t>
  </si>
  <si>
    <t>vendor.beta.873@outlook.com</t>
  </si>
  <si>
    <t>ACC-8994</t>
  </si>
  <si>
    <t>VND-0665</t>
  </si>
  <si>
    <t>Vendor Alpha 689</t>
  </si>
  <si>
    <t>vendor.alpha.689@corp.net</t>
  </si>
  <si>
    <t>ACC-2702</t>
  </si>
  <si>
    <t>VND-0346</t>
  </si>
  <si>
    <t>Vendor Beta 203</t>
  </si>
  <si>
    <t>vendor.beta.203@gmail.com</t>
  </si>
  <si>
    <t>ACC-1699</t>
  </si>
  <si>
    <t>VND-0261</t>
  </si>
  <si>
    <t>Vendor Prime 58</t>
  </si>
  <si>
    <t>vendor.prime.58@vendor.com</t>
  </si>
  <si>
    <t>ACC-6427</t>
  </si>
  <si>
    <t>VND-0209</t>
  </si>
  <si>
    <t>Vendor Corp 705</t>
  </si>
  <si>
    <t>vendor.corp.705@corp.net</t>
  </si>
  <si>
    <t>VND-0697</t>
  </si>
  <si>
    <t>Vendor Services 199</t>
  </si>
  <si>
    <t>vendor.services.199@yahoo.com</t>
  </si>
  <si>
    <t>ACC-1525</t>
  </si>
  <si>
    <t>VND-0006</t>
  </si>
  <si>
    <t>Vendor Delta 722</t>
  </si>
  <si>
    <t>vendor.delta.722@yahoo.com</t>
  </si>
  <si>
    <t>ACC-2654</t>
  </si>
  <si>
    <t>VND-0055</t>
  </si>
  <si>
    <t>Vendor Services 293</t>
  </si>
  <si>
    <t>vendor.services.293@yahoo.com</t>
  </si>
  <si>
    <t>ACC-4788</t>
  </si>
  <si>
    <t>VND-0558</t>
  </si>
  <si>
    <t>Vendor Beta 785</t>
  </si>
  <si>
    <t>vendor.beta.785@vendor.com</t>
  </si>
  <si>
    <t>ACC-2705</t>
  </si>
  <si>
    <t>VND-0854</t>
  </si>
  <si>
    <t>Vendor Corp 793</t>
  </si>
  <si>
    <t>vendor.corp.793@gmail.com</t>
  </si>
  <si>
    <t>ACC-7110</t>
  </si>
  <si>
    <t>VND-0382</t>
  </si>
  <si>
    <t>Vendor Services 487</t>
  </si>
  <si>
    <t>vendor.services.487@outlook.com</t>
  </si>
  <si>
    <t>ACC-9054</t>
  </si>
  <si>
    <t>VND-0835</t>
  </si>
  <si>
    <t>Vendor Services 447</t>
  </si>
  <si>
    <t>Fianance</t>
  </si>
  <si>
    <t>vendor.services.447@outlook.com</t>
  </si>
  <si>
    <t>ACC-8178</t>
  </si>
  <si>
    <t>VND-0098</t>
  </si>
  <si>
    <t>Vendor Zeta 566</t>
  </si>
  <si>
    <t>vendor.zeta.566@yahoo.com</t>
  </si>
  <si>
    <t>ACC-7274</t>
  </si>
  <si>
    <t>VND-0595</t>
  </si>
  <si>
    <t>Vendor Beta 463</t>
  </si>
  <si>
    <t>vendor.beta.463@corp.net</t>
  </si>
  <si>
    <t>VND-0205</t>
  </si>
  <si>
    <t>Vendor Beta 404</t>
  </si>
  <si>
    <t>vendor.beta.404@yahoo.com</t>
  </si>
  <si>
    <t>ACC-9341</t>
  </si>
  <si>
    <t>VND-0255</t>
  </si>
  <si>
    <t>Vendor Gamma 863</t>
  </si>
  <si>
    <t>vendor.gamma.863@yahoo.com</t>
  </si>
  <si>
    <t>ACC-9285</t>
  </si>
  <si>
    <t>VND-0626</t>
  </si>
  <si>
    <t>Vendor Group 675</t>
  </si>
  <si>
    <t>vendor.group.675@yahoo.com</t>
  </si>
  <si>
    <t>ACC-6257</t>
  </si>
  <si>
    <t>VND-0941</t>
  </si>
  <si>
    <t>vendor.tech.41@outlook.com</t>
  </si>
  <si>
    <t>ACC-7407</t>
  </si>
  <si>
    <t>VND-0387</t>
  </si>
  <si>
    <t>Vendor Global 407</t>
  </si>
  <si>
    <t>vendor.global.407@vendor.com</t>
  </si>
  <si>
    <t>ACC-8308</t>
  </si>
  <si>
    <t>VND-0855</t>
  </si>
  <si>
    <t>Vendor Global 363</t>
  </si>
  <si>
    <t>vendor.global.363@outlook.com</t>
  </si>
  <si>
    <t>ACC-1085</t>
  </si>
  <si>
    <t>VND-0851</t>
  </si>
  <si>
    <t>Vendor Tech 943</t>
  </si>
  <si>
    <t>vendor.tech.943@corp.net</t>
  </si>
  <si>
    <t>ACC-8244</t>
  </si>
  <si>
    <t>VND-0026</t>
  </si>
  <si>
    <t>Vendor Epsilon 223</t>
  </si>
  <si>
    <t>vendor.epsilon.223@gmail.com</t>
  </si>
  <si>
    <t>ACC-1821</t>
  </si>
  <si>
    <t>VND-0085</t>
  </si>
  <si>
    <t>Vendor Gamma 931</t>
  </si>
  <si>
    <t>vendor.gamma.931@outlook.com</t>
  </si>
  <si>
    <t>ACC-5728</t>
  </si>
  <si>
    <t>VND-0011</t>
  </si>
  <si>
    <t>Vendor Gamma 522</t>
  </si>
  <si>
    <t>vendor.gamma.522@yahoo.com</t>
  </si>
  <si>
    <t>ACC-7916</t>
  </si>
  <si>
    <t>VND-0644</t>
  </si>
  <si>
    <t>Vendor Ltd 563</t>
  </si>
  <si>
    <t>vendor.ltd.563@outlook.com</t>
  </si>
  <si>
    <t>ACC-1510</t>
  </si>
  <si>
    <t>VND-0448</t>
  </si>
  <si>
    <t>Vendor Global 367</t>
  </si>
  <si>
    <t>vendor.global.367@yahoo.com</t>
  </si>
  <si>
    <t>ACC-9529</t>
  </si>
  <si>
    <t>VND-0409</t>
  </si>
  <si>
    <t>Vendor Gamma 217</t>
  </si>
  <si>
    <t>vendor.gamma.217@outlook.com</t>
  </si>
  <si>
    <t>ACC-1612</t>
  </si>
  <si>
    <t>VND-0362</t>
  </si>
  <si>
    <t>Vendor Zeta 764</t>
  </si>
  <si>
    <t>vendor.zeta.764@gmail.com</t>
  </si>
  <si>
    <t>ACC-6500</t>
  </si>
  <si>
    <t>VND-0468</t>
  </si>
  <si>
    <t>Vendor Zeta 794</t>
  </si>
  <si>
    <t>vendor.zeta.794@corp.net</t>
  </si>
  <si>
    <t>ACC-2343</t>
  </si>
  <si>
    <t>VND-0535</t>
  </si>
  <si>
    <t>Vendor Corp 71</t>
  </si>
  <si>
    <t>vendor.corp.71@vendor.com</t>
  </si>
  <si>
    <t>ACC-5458</t>
  </si>
  <si>
    <t>VND-0486</t>
  </si>
  <si>
    <t>Vendor Tech 40</t>
  </si>
  <si>
    <t>vendor.tech.40@vendor.com</t>
  </si>
  <si>
    <t>ACC-3135</t>
  </si>
  <si>
    <t>VND-0248</t>
  </si>
  <si>
    <t>Vendor Delta 960</t>
  </si>
  <si>
    <t>vendor.delta.960@corp.net</t>
  </si>
  <si>
    <t>ACC-4350</t>
  </si>
  <si>
    <t>VND-0119</t>
  </si>
  <si>
    <t>Vendor Tech 418</t>
  </si>
  <si>
    <t>vendor.tech.418@vendor.com</t>
  </si>
  <si>
    <t>ACC-4868</t>
  </si>
  <si>
    <t>VND-0347</t>
  </si>
  <si>
    <t>Vendor Gamma 947</t>
  </si>
  <si>
    <t>vendor.gamma.947@gmail.com</t>
  </si>
  <si>
    <t>ACC-7270</t>
  </si>
  <si>
    <t>VND-0251</t>
  </si>
  <si>
    <t>Vendor Alpha 577</t>
  </si>
  <si>
    <t>vendor.alpha.577@corp.net</t>
  </si>
  <si>
    <t>VND-0469</t>
  </si>
  <si>
    <t>Vendor Ltd 552</t>
  </si>
  <si>
    <t>vendor.ltd.552@gmail.com</t>
  </si>
  <si>
    <t>ACC-9309</t>
  </si>
  <si>
    <t>VND-0507</t>
  </si>
  <si>
    <t>Vendor Services 205</t>
  </si>
  <si>
    <t>vendor.services.205@yahoo.com</t>
  </si>
  <si>
    <t>ACC-4322</t>
  </si>
  <si>
    <t>VND-0197</t>
  </si>
  <si>
    <t>Vendor Delta 825</t>
  </si>
  <si>
    <t>vendor.delta.825@gmail.com</t>
  </si>
  <si>
    <t>ACC-3589</t>
  </si>
  <si>
    <t>VND-0594</t>
  </si>
  <si>
    <t>Vendor Omega 415</t>
  </si>
  <si>
    <t>vendor.omega.415@vendor.com</t>
  </si>
  <si>
    <t>ACC-9784</t>
  </si>
  <si>
    <t>VND-0082</t>
  </si>
  <si>
    <t>Vendor Solutions 217</t>
  </si>
  <si>
    <t>vendor.solutions.217@corp.net</t>
  </si>
  <si>
    <t>VND-0430</t>
  </si>
  <si>
    <t>Vendor Prime 117</t>
  </si>
  <si>
    <t>vendor.prime.117@outlook.com</t>
  </si>
  <si>
    <t>ACC-5783</t>
  </si>
  <si>
    <t>VND-0454</t>
  </si>
  <si>
    <t>Vendor Beta 216</t>
  </si>
  <si>
    <t>vendor.beta.216@yahoo.com</t>
  </si>
  <si>
    <t>ACC-9810</t>
  </si>
  <si>
    <t>VND-0623</t>
  </si>
  <si>
    <t>Vendor Gamma 195</t>
  </si>
  <si>
    <t>vendor.gamma.195@outlook.com</t>
  </si>
  <si>
    <t>ACC-3347</t>
  </si>
  <si>
    <t>VND-0240</t>
  </si>
  <si>
    <t>ACC-4839</t>
  </si>
  <si>
    <t>VND-0333</t>
  </si>
  <si>
    <t>Vendor Global 468</t>
  </si>
  <si>
    <t>vendor.global.468@yahoo.com</t>
  </si>
  <si>
    <t>ACC-8600</t>
  </si>
  <si>
    <t>VND-0212</t>
  </si>
  <si>
    <t>Vendor Gamma 532</t>
  </si>
  <si>
    <t>vendor.gamma.532@vendor.com</t>
  </si>
  <si>
    <t>ACC-6140</t>
  </si>
  <si>
    <t>VND-0705</t>
  </si>
  <si>
    <t>Vendor Group 142</t>
  </si>
  <si>
    <t>vendor.group.142@vendor.com</t>
  </si>
  <si>
    <t>ACC-1022</t>
  </si>
  <si>
    <t>VND-0514</t>
  </si>
  <si>
    <t>Vendor Omega 718</t>
  </si>
  <si>
    <t>vendor.omega.718@vendor.com</t>
  </si>
  <si>
    <t>ACC-3947</t>
  </si>
  <si>
    <t>VND-0906</t>
  </si>
  <si>
    <t>Vendor Epsilon 618</t>
  </si>
  <si>
    <t>vendor.epsilon.618@corp.net</t>
  </si>
  <si>
    <t>ACC-3369</t>
  </si>
  <si>
    <t>VND-0228</t>
  </si>
  <si>
    <t>Vendor Beta 655</t>
  </si>
  <si>
    <t>vendor.beta.655@vendor.com</t>
  </si>
  <si>
    <t>ACC-3509</t>
  </si>
  <si>
    <t>VND-0858</t>
  </si>
  <si>
    <t>Vendor Zeta 529</t>
  </si>
  <si>
    <t>vendor.zeta.529@gmail.com</t>
  </si>
  <si>
    <t>ACC-3401</t>
  </si>
  <si>
    <t>VND-0322</t>
  </si>
  <si>
    <t>Vendor Omega 85</t>
  </si>
  <si>
    <t>vendor.omega.85@gmail.com</t>
  </si>
  <si>
    <t>ACC-6077</t>
  </si>
  <si>
    <t>VND-0782</t>
  </si>
  <si>
    <t>Vendor Corp 144</t>
  </si>
  <si>
    <t>vendor.corp.144@corp.net</t>
  </si>
  <si>
    <t>ACC-9605</t>
  </si>
  <si>
    <t>VND-0479</t>
  </si>
  <si>
    <t>Vendor Services 837</t>
  </si>
  <si>
    <t>vendor.services.837@vendor.com</t>
  </si>
  <si>
    <t>ACC-8844</t>
  </si>
  <si>
    <t>VND-0371</t>
  </si>
  <si>
    <t>Vendor Epsilon 84</t>
  </si>
  <si>
    <t>vendor.epsilon.84@vendor.com</t>
  </si>
  <si>
    <t>ACC-5341</t>
  </si>
  <si>
    <t>VND-0343</t>
  </si>
  <si>
    <t>Vendor Delta 992</t>
  </si>
  <si>
    <t>vendor.delta.992@yahoo.com</t>
  </si>
  <si>
    <t>ACC-1509</t>
  </si>
  <si>
    <t>VND-0530</t>
  </si>
  <si>
    <t>Vendor Global 233</t>
  </si>
  <si>
    <t>vendor.global.233@outlook.com</t>
  </si>
  <si>
    <t>ACC-3551</t>
  </si>
  <si>
    <t>VND-0299</t>
  </si>
  <si>
    <t>Vendor Services 850</t>
  </si>
  <si>
    <t>vendor.services.850@outlook.com</t>
  </si>
  <si>
    <t>ACC-6711</t>
  </si>
  <si>
    <t>VND-0603</t>
  </si>
  <si>
    <t>Vendor Alpha 638</t>
  </si>
  <si>
    <t>vendor.alpha.638@corp.net</t>
  </si>
  <si>
    <t>ACC-1094</t>
  </si>
  <si>
    <t>VND-0008</t>
  </si>
  <si>
    <t>Vendor Services 251</t>
  </si>
  <si>
    <t>vendor.services.251@outlook.com</t>
  </si>
  <si>
    <t>ACC-1916</t>
  </si>
  <si>
    <t>VND-0156</t>
  </si>
  <si>
    <t>Vendor Epsilon 742</t>
  </si>
  <si>
    <t>vendor.epsilon.742@gmail.com</t>
  </si>
  <si>
    <t>ACC-3317</t>
  </si>
  <si>
    <t>VND-0532</t>
  </si>
  <si>
    <t>Vendor Ltd 504</t>
  </si>
  <si>
    <t>vendor.ltd.504@corp.net</t>
  </si>
  <si>
    <t>VND-0845</t>
  </si>
  <si>
    <t>Vendor Delta 855</t>
  </si>
  <si>
    <t>vendor.delta.855@gmail.com</t>
  </si>
  <si>
    <t>ACC-5358</t>
  </si>
  <si>
    <t>VND-0636</t>
  </si>
  <si>
    <t>Vendor Corp 732</t>
  </si>
  <si>
    <t>vendor.corp.732@corp.net</t>
  </si>
  <si>
    <t>ACC-8552</t>
  </si>
  <si>
    <t>VND-0925</t>
  </si>
  <si>
    <t>Vendor Delta 272</t>
  </si>
  <si>
    <t>vendor.delta.272@corp.net</t>
  </si>
  <si>
    <t>ACC-9401</t>
  </si>
  <si>
    <t>VND-0867</t>
  </si>
  <si>
    <t>Vendor Epsilon 580</t>
  </si>
  <si>
    <t>vendor.epsilon.580@yahoo.com</t>
  </si>
  <si>
    <t>ACC-3269</t>
  </si>
  <si>
    <t>VND-0785</t>
  </si>
  <si>
    <t>Vendor Global 384</t>
  </si>
  <si>
    <t>vendor.global.384@yahoo.com</t>
  </si>
  <si>
    <t>ACC-5550</t>
  </si>
  <si>
    <t>VND-0758</t>
  </si>
  <si>
    <t>Vendor Epsilon 151</t>
  </si>
  <si>
    <t>vendor.epsilon.151@vendor.com</t>
  </si>
  <si>
    <t>ACC-4781</t>
  </si>
  <si>
    <t>VND-0931</t>
  </si>
  <si>
    <t>Vendor Corp 572</t>
  </si>
  <si>
    <t>vendor.corp.572@gmail.com</t>
  </si>
  <si>
    <t>ACC-9188</t>
  </si>
  <si>
    <t>VND-0916</t>
  </si>
  <si>
    <t>Vendor Gamma 904</t>
  </si>
  <si>
    <t>vendor.gamma.904@outlook.com</t>
  </si>
  <si>
    <t>ACC-6209</t>
  </si>
  <si>
    <t>VND-0395</t>
  </si>
  <si>
    <t>Vendor Group 878</t>
  </si>
  <si>
    <t>vendor.group.878@yahoo.com</t>
  </si>
  <si>
    <t>ACC-1417</t>
  </si>
  <si>
    <t>VND-0856</t>
  </si>
  <si>
    <t>vendor.delta.825@yahoo.com</t>
  </si>
  <si>
    <t>ACC-6739</t>
  </si>
  <si>
    <t>VND-0679</t>
  </si>
  <si>
    <t>Vendor Group 554</t>
  </si>
  <si>
    <t>vendor.group.554@gmail.com</t>
  </si>
  <si>
    <t>ACC-6558</t>
  </si>
  <si>
    <t>VND-0498</t>
  </si>
  <si>
    <t>Vendor Alpha 803</t>
  </si>
  <si>
    <t>vendor.alpha.803@yahoo.com</t>
  </si>
  <si>
    <t>ACC-1590</t>
  </si>
  <si>
    <t>VND-0797</t>
  </si>
  <si>
    <t>Vendor Zeta 175</t>
  </si>
  <si>
    <t>vendor.zeta.175@vendor.com</t>
  </si>
  <si>
    <t>ACC-9096</t>
  </si>
  <si>
    <t>VND-0515</t>
  </si>
  <si>
    <t>Vendor Solutions 235</t>
  </si>
  <si>
    <t>vendor.solutions.235@vendor.com</t>
  </si>
  <si>
    <t>ACC-7240</t>
  </si>
  <si>
    <t>VND-0229</t>
  </si>
  <si>
    <t>Vendor Tech 383</t>
  </si>
  <si>
    <t>vendor.tech.383@yahoo.com</t>
  </si>
  <si>
    <t>ACC-5054</t>
  </si>
  <si>
    <t>VND-0334</t>
  </si>
  <si>
    <t>Vendor Prime 792</t>
  </si>
  <si>
    <t>vendor.prime.792@gmail.com</t>
  </si>
  <si>
    <t>ACC-7718</t>
  </si>
  <si>
    <t>VND-0716</t>
  </si>
  <si>
    <t>Vendor Solutions 806</t>
  </si>
  <si>
    <t>vendor.solutions.806@vendor.com</t>
  </si>
  <si>
    <t>ACC-8503</t>
  </si>
  <si>
    <t>VND-0213</t>
  </si>
  <si>
    <t>vendor.ltd.546@vendor.com</t>
  </si>
  <si>
    <t>ACC-4150</t>
  </si>
  <si>
    <t>VND-0080</t>
  </si>
  <si>
    <t>Vendor Gamma 831</t>
  </si>
  <si>
    <t>vendor.gamma.831@corp.net</t>
  </si>
  <si>
    <t>ACC-7818</t>
  </si>
  <si>
    <t>VND-0149</t>
  </si>
  <si>
    <t>Vendor Ltd 904</t>
  </si>
  <si>
    <t>vendor.ltd.904@outlook.com</t>
  </si>
  <si>
    <t>ACC-3473</t>
  </si>
  <si>
    <t>VND-0303</t>
  </si>
  <si>
    <t>Vendor Epsilon 888</t>
  </si>
  <si>
    <t>vendor.epsilon.888@yahoo.com</t>
  </si>
  <si>
    <t>ACC-6277</t>
  </si>
  <si>
    <t>VND-0484</t>
  </si>
  <si>
    <t>Vendor Solutions 351</t>
  </si>
  <si>
    <t>vendor.solutions.351@vendor.com</t>
  </si>
  <si>
    <t>ACC-3166</t>
  </si>
  <si>
    <t>VND-0494</t>
  </si>
  <si>
    <t>Vendor Gamma 103</t>
  </si>
  <si>
    <t>vendor.gamma.103@corp.net</t>
  </si>
  <si>
    <t>ACC-1852</t>
  </si>
  <si>
    <t>VND-0463</t>
  </si>
  <si>
    <t>vendor.gamma.688@corp.net</t>
  </si>
  <si>
    <t>ACC-2198</t>
  </si>
  <si>
    <t>VND-0320</t>
  </si>
  <si>
    <t>Vendor Omega 375</t>
  </si>
  <si>
    <t>vendor.omega.375@gmail.com</t>
  </si>
  <si>
    <t>ACC-2106</t>
  </si>
  <si>
    <t>VND-0134</t>
  </si>
  <si>
    <t>Vendor Tech 520</t>
  </si>
  <si>
    <t>vendor.tech.520@outlook.com</t>
  </si>
  <si>
    <t>ACC-7022</t>
  </si>
  <si>
    <t>VND-0794</t>
  </si>
  <si>
    <t>Vendor Corp 753</t>
  </si>
  <si>
    <t>vendor.corp.753@yahoo.com</t>
  </si>
  <si>
    <t>ACC-2382</t>
  </si>
  <si>
    <t>VND-0312</t>
  </si>
  <si>
    <t>Vendor Alpha 713</t>
  </si>
  <si>
    <t>vendor.alpha.713@yahoo.com</t>
  </si>
  <si>
    <t>ACC-8826</t>
  </si>
  <si>
    <t>VND-0597</t>
  </si>
  <si>
    <t>Vendor Prime 171</t>
  </si>
  <si>
    <t>vendor.prime.171@corp.net</t>
  </si>
  <si>
    <t>ACC-3330</t>
  </si>
  <si>
    <t>VND-0681</t>
  </si>
  <si>
    <t>Vendor Alpha 754</t>
  </si>
  <si>
    <t>vendor.alpha.754@gmail.com</t>
  </si>
  <si>
    <t>ACC-4976</t>
  </si>
  <si>
    <t>VND-0001</t>
  </si>
  <si>
    <t>Vendor Solutions 115</t>
  </si>
  <si>
    <t>vendor.solutions.115@gmail.com</t>
  </si>
  <si>
    <t>ACC-9935</t>
  </si>
  <si>
    <t>VND-0317</t>
  </si>
  <si>
    <t>Vendor Global 616</t>
  </si>
  <si>
    <t>vendor.global.616@outlook.com</t>
  </si>
  <si>
    <t>ACC-4366</t>
  </si>
  <si>
    <t>VND-0694</t>
  </si>
  <si>
    <t>Vendor Services 456</t>
  </si>
  <si>
    <t>vendor.services.456@outlook.com</t>
  </si>
  <si>
    <t>ACC-4769</t>
  </si>
  <si>
    <t>VND-0577</t>
  </si>
  <si>
    <t>Vendor Prime 24</t>
  </si>
  <si>
    <t>vendor.prime.24@corp.net</t>
  </si>
  <si>
    <t>ACC-9573</t>
  </si>
  <si>
    <t>VND-0932</t>
  </si>
  <si>
    <t>Vendor Delta 430</t>
  </si>
  <si>
    <t>vendor.delta.430@corp.net</t>
  </si>
  <si>
    <t>ACC-1380</t>
  </si>
  <si>
    <t>VND-0523</t>
  </si>
  <si>
    <t>Vendor Zeta 669</t>
  </si>
  <si>
    <t>vendor.zeta.669@vendor.com</t>
  </si>
  <si>
    <t>ACC-6950</t>
  </si>
  <si>
    <t>VND-0907</t>
  </si>
  <si>
    <t>Vendor Global 839</t>
  </si>
  <si>
    <t>FINANCE</t>
  </si>
  <si>
    <t>vendor.global.839@yahoo.com</t>
  </si>
  <si>
    <t>ACC-4282</t>
  </si>
  <si>
    <t>VND-0353</t>
  </si>
  <si>
    <t>Vendor Global 836</t>
  </si>
  <si>
    <t>vendor.global.836@vendor.com</t>
  </si>
  <si>
    <t>ACC-6813</t>
  </si>
  <si>
    <t>VND-0173</t>
  </si>
  <si>
    <t>vendor.corp.482@gmail.com</t>
  </si>
  <si>
    <t>ACC-6850</t>
  </si>
  <si>
    <t>VND-0126</t>
  </si>
  <si>
    <t>Vendor Delta 969</t>
  </si>
  <si>
    <t>vendor.delta.969@vendor.com</t>
  </si>
  <si>
    <t>VND-0634</t>
  </si>
  <si>
    <t>Vendor Epsilon 935</t>
  </si>
  <si>
    <t>vendor.epsilon.935@vendor.com</t>
  </si>
  <si>
    <t>ACC-8987</t>
  </si>
  <si>
    <t>VND-0399</t>
  </si>
  <si>
    <t>Vendor Beta 228</t>
  </si>
  <si>
    <t>ACC-7089</t>
  </si>
  <si>
    <t>VND-0885</t>
  </si>
  <si>
    <t>Vendor Solutions 330</t>
  </si>
  <si>
    <t>vendor.solutions.330@yahoo.com</t>
  </si>
  <si>
    <t>ACC-1033</t>
  </si>
  <si>
    <t>VND-0091</t>
  </si>
  <si>
    <t>Vendor Zeta 259</t>
  </si>
  <si>
    <t>vendor.zeta.259@gmail.com</t>
  </si>
  <si>
    <t>ACC-9889</t>
  </si>
  <si>
    <t>VND-0921</t>
  </si>
  <si>
    <t>Vendor Ltd 810</t>
  </si>
  <si>
    <t>vendor.ltd.810@vendor.com</t>
  </si>
  <si>
    <t>ACC-4840</t>
  </si>
  <si>
    <t>VND-0182</t>
  </si>
  <si>
    <t>Vendor Solutions 653</t>
  </si>
  <si>
    <t>vendor.solutions.653@yahoo.com</t>
  </si>
  <si>
    <t>ACC-8179</t>
  </si>
  <si>
    <t>VND-0275</t>
  </si>
  <si>
    <t>Vendor Tech 140</t>
  </si>
  <si>
    <t>vendor.tech.140@outlook.com</t>
  </si>
  <si>
    <t>ACC-3910</t>
  </si>
  <si>
    <t>VND-0877</t>
  </si>
  <si>
    <t>Vendor Corp 922</t>
  </si>
  <si>
    <t>vendor.corp.922@corp.net</t>
  </si>
  <si>
    <t>ACC-9264</t>
  </si>
  <si>
    <t>VND-0070</t>
  </si>
  <si>
    <t>Vendor Tech 625</t>
  </si>
  <si>
    <t>vendor.tech.625@yahoo.com</t>
  </si>
  <si>
    <t>ACC-8988</t>
  </si>
  <si>
    <t>VND-0292</t>
  </si>
  <si>
    <t>Vendor Beta 245</t>
  </si>
  <si>
    <t>vendor.beta.245@vendor.com</t>
  </si>
  <si>
    <t>ACC-7852</t>
  </si>
  <si>
    <t>VND-0132</t>
  </si>
  <si>
    <t>Vendor Beta 763</t>
  </si>
  <si>
    <t>vendor.beta.763@corp.net</t>
  </si>
  <si>
    <t>ACC-6400</t>
  </si>
  <si>
    <t>VND-0301</t>
  </si>
  <si>
    <t>Vendor Gamma 804</t>
  </si>
  <si>
    <t>vendor.gamma.804@outlook.com</t>
  </si>
  <si>
    <t>ACC-9720</t>
  </si>
  <si>
    <t>VND-0698</t>
  </si>
  <si>
    <t>Vendor Gamma 114</t>
  </si>
  <si>
    <t>vendor.gamma.114@yahoo.com</t>
  </si>
  <si>
    <t>ACC-5835</t>
  </si>
  <si>
    <t>VND-0327</t>
  </si>
  <si>
    <t>Vendor Zeta 827</t>
  </si>
  <si>
    <t>vendor.zeta.827@corp.net</t>
  </si>
  <si>
    <t>ACC-2262</t>
  </si>
  <si>
    <t>VND-0145</t>
  </si>
  <si>
    <t>Vendor Omega 865</t>
  </si>
  <si>
    <t>vendor.omega.865@gmail.com</t>
  </si>
  <si>
    <t>ACC-7484</t>
  </si>
  <si>
    <t>VND-0571</t>
  </si>
  <si>
    <t>Vendor Global 445</t>
  </si>
  <si>
    <t>vendor.global.445@corp.net</t>
  </si>
  <si>
    <t>ACC-4245</t>
  </si>
  <si>
    <t>VND-0136</t>
  </si>
  <si>
    <t>Vendor Services 781</t>
  </si>
  <si>
    <t>vendor.services.781@corp.net</t>
  </si>
  <si>
    <t>ACC-7566</t>
  </si>
  <si>
    <t>VND-0823</t>
  </si>
  <si>
    <t>Vendor Tech 84</t>
  </si>
  <si>
    <t>vendor.tech.84@yahoo.com</t>
  </si>
  <si>
    <t>ACC-7438</t>
  </si>
  <si>
    <t>VND-0165</t>
  </si>
  <si>
    <t>Vendor Corp 529</t>
  </si>
  <si>
    <t>vendor.corp.529@vendor.com</t>
  </si>
  <si>
    <t>ACC-9410</t>
  </si>
  <si>
    <t>VND-0029</t>
  </si>
  <si>
    <t>Vendor Solutions 598</t>
  </si>
  <si>
    <t>vendor.solutions.598@outlook.com</t>
  </si>
  <si>
    <t>ACC-4910</t>
  </si>
  <si>
    <t>VND-0553</t>
  </si>
  <si>
    <t>Vendor Corp 33</t>
  </si>
  <si>
    <t>ACC-7366</t>
  </si>
  <si>
    <t>VND-0194</t>
  </si>
  <si>
    <t>Vendor Global 282</t>
  </si>
  <si>
    <t>vendor.global.282@corp.net</t>
  </si>
  <si>
    <t>ACC-3762</t>
  </si>
  <si>
    <t>VND-0799</t>
  </si>
  <si>
    <t>Vendor Corp 212</t>
  </si>
  <si>
    <t>vendor.corp.212@yahoo.com</t>
  </si>
  <si>
    <t>ACC-7853</t>
  </si>
  <si>
    <t>VND-0627</t>
  </si>
  <si>
    <t>Vendor Epsilon 284</t>
  </si>
  <si>
    <t>vendor.epsilon.284@yahoo.com</t>
  </si>
  <si>
    <t>ACC-3580</t>
  </si>
  <si>
    <t>VND-0170</t>
  </si>
  <si>
    <t>Vendor Beta 49</t>
  </si>
  <si>
    <t>vendor.beta.49@gmail.com</t>
  </si>
  <si>
    <t>ACC-9189</t>
  </si>
  <si>
    <t>VND-0466</t>
  </si>
  <si>
    <t>Vendor Tech 374</t>
  </si>
  <si>
    <t>vendor.tech.374@outlook.com</t>
  </si>
  <si>
    <t>ACC-5033</t>
  </si>
  <si>
    <t>VND-0141</t>
  </si>
  <si>
    <t>Vendor Tech 57</t>
  </si>
  <si>
    <t>vendor.tech.57@outlook.com</t>
  </si>
  <si>
    <t>ACC-5742</t>
  </si>
  <si>
    <t>VND-0174</t>
  </si>
  <si>
    <t>Vendor Delta 751</t>
  </si>
  <si>
    <t>vendor.delta.751@gmail.com</t>
  </si>
  <si>
    <t>VND-0007</t>
  </si>
  <si>
    <t>Vendor Prime 651</t>
  </si>
  <si>
    <t>vendor.prime.651@outlook.com</t>
  </si>
  <si>
    <t>ACC-2169</t>
  </si>
  <si>
    <t>VND-0631</t>
  </si>
  <si>
    <t>Vendor Services 611</t>
  </si>
  <si>
    <t>vendor.services.611@outlook.com</t>
  </si>
  <si>
    <t>ACC-6119</t>
  </si>
  <si>
    <t>VND-0761</t>
  </si>
  <si>
    <t xml:space="preserve">  Vendor Prime 503  </t>
  </si>
  <si>
    <t>vendor.prime.503@vendor.com</t>
  </si>
  <si>
    <t>ACC-2951</t>
  </si>
  <si>
    <t>VND-0074</t>
  </si>
  <si>
    <t>Vendor Global 353</t>
  </si>
  <si>
    <t>vendor.global.353@vendor.com</t>
  </si>
  <si>
    <t>ACC-5438</t>
  </si>
  <si>
    <t>VND-0671</t>
  </si>
  <si>
    <t>Vendor Solutions 504</t>
  </si>
  <si>
    <t>vendor.solutions.504@corp.net</t>
  </si>
  <si>
    <t>ACC-2740</t>
  </si>
  <si>
    <t>VND-0431</t>
  </si>
  <si>
    <t>Vendor Beta 47</t>
  </si>
  <si>
    <t>vendor.beta.47@outlook.com</t>
  </si>
  <si>
    <t>ACC-4209</t>
  </si>
  <si>
    <t>VND-0239</t>
  </si>
  <si>
    <t>Vendor Omega 630</t>
  </si>
  <si>
    <t>vendor.omega.630@corp.net</t>
  </si>
  <si>
    <t>ACC-1550</t>
  </si>
  <si>
    <t>VND-0146</t>
  </si>
  <si>
    <t>Vendor Zeta 227</t>
  </si>
  <si>
    <t>vendor.zeta.227@gmail.com</t>
  </si>
  <si>
    <t>ACC-9693</t>
  </si>
  <si>
    <t>VND-0778</t>
  </si>
  <si>
    <t>Vendor Solutions 616</t>
  </si>
  <si>
    <t>vendor.solutions.616@gmail.com</t>
  </si>
  <si>
    <t>ACC-5023</t>
  </si>
  <si>
    <t>VND-0235</t>
  </si>
  <si>
    <t>Vendor Group 139</t>
  </si>
  <si>
    <t>missing@domain</t>
  </si>
  <si>
    <t>ACC-8348</t>
  </si>
  <si>
    <t>VND-0221</t>
  </si>
  <si>
    <t>Vendor Omega 904</t>
  </si>
  <si>
    <t>vendor.omega.904@vendor.com</t>
  </si>
  <si>
    <t>ACC-4052</t>
  </si>
  <si>
    <t>VND-0519</t>
  </si>
  <si>
    <t>Vendor Zeta 369</t>
  </si>
  <si>
    <t>vendor.zeta.369@gmail.com</t>
  </si>
  <si>
    <t>ACC-7746</t>
  </si>
  <si>
    <t>VND-0478</t>
  </si>
  <si>
    <t>Vendor Gamma 236</t>
  </si>
  <si>
    <t>vendor.gamma.236@yahoo.com</t>
  </si>
  <si>
    <t>ACC-3578</t>
  </si>
  <si>
    <t>VND-0133</t>
  </si>
  <si>
    <t>Vendor Zeta 895</t>
  </si>
  <si>
    <t>vendor.zeta.895@corp.net</t>
  </si>
  <si>
    <t>VND-0896</t>
  </si>
  <si>
    <t>Vendor Ltd 256</t>
  </si>
  <si>
    <t>vendor.ltd.256@gmail.com</t>
  </si>
  <si>
    <t>ACC-1456</t>
  </si>
  <si>
    <t>VND-0186</t>
  </si>
  <si>
    <t>Vendor Prime 220</t>
  </si>
  <si>
    <t>vendor.prime.220@gmail.com</t>
  </si>
  <si>
    <t>ACC-3223</t>
  </si>
  <si>
    <t>VND-0042</t>
  </si>
  <si>
    <t>Vendor Corp 550</t>
  </si>
  <si>
    <t>vendor.corp.550@corp.net</t>
  </si>
  <si>
    <t>ACC-5349</t>
  </si>
  <si>
    <t>VND-0600</t>
  </si>
  <si>
    <t>Vendor Services 127</t>
  </si>
  <si>
    <t>vendor.services.127@corp.net</t>
  </si>
  <si>
    <t>ACC-7292</t>
  </si>
  <si>
    <t>VND-0109</t>
  </si>
  <si>
    <t>Vendor Tech 368</t>
  </si>
  <si>
    <t>ACC-5497</t>
  </si>
  <si>
    <t>VND-0579</t>
  </si>
  <si>
    <t>Vendor Gamma 62</t>
  </si>
  <si>
    <t>vendor.gamma.62@vendor.com</t>
  </si>
  <si>
    <t>ACC-1136</t>
  </si>
  <si>
    <t>VND-0057</t>
  </si>
  <si>
    <t>Vendor Corp 431</t>
  </si>
  <si>
    <t>vendor.corp.431@vendor.com</t>
  </si>
  <si>
    <t>ACC-8814</t>
  </si>
  <si>
    <t>VND-0878</t>
  </si>
  <si>
    <t>Vendor Epsilon 63</t>
  </si>
  <si>
    <t>vendor.epsilon.63@gmail.com</t>
  </si>
  <si>
    <t>ACC-7676</t>
  </si>
  <si>
    <t>VND-0421</t>
  </si>
  <si>
    <t>Vendor Solutions 449</t>
  </si>
  <si>
    <t>vendor.solutions.449@gmail.com</t>
  </si>
  <si>
    <t>ACC-3140</t>
  </si>
  <si>
    <t>VND-0809</t>
  </si>
  <si>
    <t>Vendor Ltd 950</t>
  </si>
  <si>
    <t>vendor.ltd.950@vendor.com</t>
  </si>
  <si>
    <t>ACC-2843</t>
  </si>
  <si>
    <t>VND-0843</t>
  </si>
  <si>
    <t>Vendor Solutions 121</t>
  </si>
  <si>
    <t>vendor.solutions.121@vendor.com</t>
  </si>
  <si>
    <t>ACC-9288</t>
  </si>
  <si>
    <t>VND-0025</t>
  </si>
  <si>
    <t>Vendor Omega 3</t>
  </si>
  <si>
    <t>test@.com</t>
  </si>
  <si>
    <t>ACC-8973</t>
  </si>
  <si>
    <t>VND-0425</t>
  </si>
  <si>
    <t>Vendor Corp 170</t>
  </si>
  <si>
    <t>ACC-1824</t>
  </si>
  <si>
    <t>VND-0522</t>
  </si>
  <si>
    <t>Vendor Solutions 628</t>
  </si>
  <si>
    <t>vendor.solutions.628@yahoo.com</t>
  </si>
  <si>
    <t>ACC-6629</t>
  </si>
  <si>
    <t>VND-0750</t>
  </si>
  <si>
    <t>Vendor Tech 190</t>
  </si>
  <si>
    <t>vendor.tech.190@vendor.com</t>
  </si>
  <si>
    <t>ACC-7948</t>
  </si>
  <si>
    <t>VND-0908</t>
  </si>
  <si>
    <t>vendor.zeta.194@outlook.com</t>
  </si>
  <si>
    <t>ACC-6499</t>
  </si>
  <si>
    <t>VND-0339</t>
  </si>
  <si>
    <t>Vendor Corp 323</t>
  </si>
  <si>
    <t>vendor.corp.323@vendor.com</t>
  </si>
  <si>
    <t>ACC-5455</t>
  </si>
  <si>
    <t>VND-0052</t>
  </si>
  <si>
    <t>Vendor Global 256</t>
  </si>
  <si>
    <t>vendor.global.256@corp.net</t>
  </si>
  <si>
    <t>ACC-6198</t>
  </si>
  <si>
    <t>VND-0800</t>
  </si>
  <si>
    <t>Vendor Group 150</t>
  </si>
  <si>
    <t>vendor.group.150@vendor.com</t>
  </si>
  <si>
    <t>ACC-5068</t>
  </si>
  <si>
    <t>VND-0501</t>
  </si>
  <si>
    <t>Vendor Delta 621</t>
  </si>
  <si>
    <t>vendor.delta.621@yahoo.com</t>
  </si>
  <si>
    <t>ACC-7670</t>
  </si>
  <si>
    <t>VND-0902</t>
  </si>
  <si>
    <t>Vendor Prime 815</t>
  </si>
  <si>
    <t>vendor.prime.815@gmail.com</t>
  </si>
  <si>
    <t>ACC-8439</t>
  </si>
  <si>
    <t>VND-0622</t>
  </si>
  <si>
    <t>Vendor Zeta 804</t>
  </si>
  <si>
    <t>vendor.zeta.804@corp.net</t>
  </si>
  <si>
    <t>ACC-1408</t>
  </si>
  <si>
    <t>VND-0265</t>
  </si>
  <si>
    <t>Vendor Gamma 810</t>
  </si>
  <si>
    <t>vendor.gamma.810@gmail.com</t>
  </si>
  <si>
    <t>ACC-8161</t>
  </si>
  <si>
    <t>VND-0528</t>
  </si>
  <si>
    <t>Vendor Corp 488</t>
  </si>
  <si>
    <t>vendor.corp.488@vendor.com</t>
  </si>
  <si>
    <t>ACC-3213</t>
  </si>
  <si>
    <t>VND-0670</t>
  </si>
  <si>
    <t>Vendor Zeta 62</t>
  </si>
  <si>
    <t>ACC-4287</t>
  </si>
  <si>
    <t>VND-0480</t>
  </si>
  <si>
    <t>Vendor Tech 166</t>
  </si>
  <si>
    <t>vendor.tech.166@yahoo.com</t>
  </si>
  <si>
    <t>ACC-3639</t>
  </si>
  <si>
    <t>VND-0731</t>
  </si>
  <si>
    <t>Vendor Solutions 937</t>
  </si>
  <si>
    <t>vendor.solutions.937@corp.net</t>
  </si>
  <si>
    <t>ACC-3243</t>
  </si>
  <si>
    <t>VND-0426</t>
  </si>
  <si>
    <t>vendor.solutions.388@corp.net</t>
  </si>
  <si>
    <t>ACC-8341</t>
  </si>
  <si>
    <t>VND-0019</t>
  </si>
  <si>
    <t>Vendor Beta 725</t>
  </si>
  <si>
    <t>vendor.beta.725@gmail.com</t>
  </si>
  <si>
    <t>ACC-9423</t>
  </si>
  <si>
    <t>VND-0890</t>
  </si>
  <si>
    <t>Vendor Prime 991</t>
  </si>
  <si>
    <t>vendor.prime.991@yahoo.com</t>
  </si>
  <si>
    <t>ACC-7489</t>
  </si>
  <si>
    <t>VND-0808</t>
  </si>
  <si>
    <t>Vendor Delta 153</t>
  </si>
  <si>
    <t>vendor.delta.153@yahoo.com</t>
  </si>
  <si>
    <t>ACC-8653</t>
  </si>
  <si>
    <t>VND-0559</t>
  </si>
  <si>
    <t>Vendor Global 412</t>
  </si>
  <si>
    <t>vendor.global.412@vendor.com</t>
  </si>
  <si>
    <t>VND-0412</t>
  </si>
  <si>
    <t>Vendor Omega 678</t>
  </si>
  <si>
    <t>ACC-9381</t>
  </si>
  <si>
    <t>VND-0368</t>
  </si>
  <si>
    <t>Vendor Zeta 211</t>
  </si>
  <si>
    <t>vendor.zeta.211@outlook.com</t>
  </si>
  <si>
    <t>ACC-5872</t>
  </si>
  <si>
    <t>VND-0084</t>
  </si>
  <si>
    <t>Vendor Solutions 240</t>
  </si>
  <si>
    <t>vendor.solutions.240@gmail.com</t>
  </si>
  <si>
    <t>ACC-9922</t>
  </si>
  <si>
    <t>VND-0062</t>
  </si>
  <si>
    <t>Vendor Alpha 768</t>
  </si>
  <si>
    <t>vendor.alpha.768@gmail.com</t>
  </si>
  <si>
    <t>ACC-1659</t>
  </si>
  <si>
    <t>VND-0719</t>
  </si>
  <si>
    <t>Vendor Corp 726</t>
  </si>
  <si>
    <t>vendor.corp.726@gmail.com</t>
  </si>
  <si>
    <t>ACC-1674</t>
  </si>
  <si>
    <t>VND-0273</t>
  </si>
  <si>
    <t>Vendor Prime 802</t>
  </si>
  <si>
    <t>vendor.prime.802@vendor.com</t>
  </si>
  <si>
    <t>ACC-4203</t>
  </si>
  <si>
    <t>VND-0286</t>
  </si>
  <si>
    <t>Vendor Beta 24</t>
  </si>
  <si>
    <t>vendor.beta.24@corp.net</t>
  </si>
  <si>
    <t>ACC-3858</t>
  </si>
  <si>
    <t>VND-0361</t>
  </si>
  <si>
    <t>Vendor Alpha 187</t>
  </si>
  <si>
    <t>vendor.alpha.187@corp.net</t>
  </si>
  <si>
    <t>VND-0355</t>
  </si>
  <si>
    <t>Vendor Delta 857</t>
  </si>
  <si>
    <t>vendor.delta.857@gmail.com</t>
  </si>
  <si>
    <t>ACC-2478</t>
  </si>
  <si>
    <t>VND-0526</t>
  </si>
  <si>
    <t>Vendor Group 86</t>
  </si>
  <si>
    <t>vendor.group.86@vendor.com</t>
  </si>
  <si>
    <t>ACC-6068</t>
  </si>
  <si>
    <t>VND-0279</t>
  </si>
  <si>
    <t>Vendor Epsilon 675</t>
  </si>
  <si>
    <t>vendor.epsilon.675@vendor.com</t>
  </si>
  <si>
    <t>ACC-8851</t>
  </si>
  <si>
    <t>VND-0013</t>
  </si>
  <si>
    <t>Vendor Zeta 115</t>
  </si>
  <si>
    <t>ACC-3927</t>
  </si>
  <si>
    <t>VND-0183</t>
  </si>
  <si>
    <t>Vendor Beta 242</t>
  </si>
  <si>
    <t>vendor.beta.242@gmail.com</t>
  </si>
  <si>
    <t>ACC-3513</t>
  </si>
  <si>
    <t>VND-0369</t>
  </si>
  <si>
    <t>Vendor Alpha 403</t>
  </si>
  <si>
    <t>vendor.alpha.403@outlook.com</t>
  </si>
  <si>
    <t>VND-0635</t>
  </si>
  <si>
    <t>Vendor Prime 116</t>
  </si>
  <si>
    <t>vendor.prime.116@outlook.com</t>
  </si>
  <si>
    <t>ACC-3087</t>
  </si>
  <si>
    <t>VND-0605</t>
  </si>
  <si>
    <t>vendor.epsilon.635@yahoo.com</t>
  </si>
  <si>
    <t>ACC-3429</t>
  </si>
  <si>
    <t>VND-0224</t>
  </si>
  <si>
    <t>Vendor Gamma 15</t>
  </si>
  <si>
    <t>vendor.gamma.15@corp.net</t>
  </si>
  <si>
    <t>ACC-7643</t>
  </si>
  <si>
    <t>VND-0629</t>
  </si>
  <si>
    <t>Vendor Services 824</t>
  </si>
  <si>
    <t>vendor.services.824@corp.net</t>
  </si>
  <si>
    <t>ACC-6549</t>
  </si>
  <si>
    <t>VND-0934</t>
  </si>
  <si>
    <t>Vendor Omega 193</t>
  </si>
  <si>
    <t>vendor.omega.193@outlook.com</t>
  </si>
  <si>
    <t>ACC-2527</t>
  </si>
  <si>
    <t>VND-0621</t>
  </si>
  <si>
    <t>Vendor Prime 899</t>
  </si>
  <si>
    <t>vendor.prime.899@corp.net</t>
  </si>
  <si>
    <t>ACC-5953</t>
  </si>
  <si>
    <t>VND-0496</t>
  </si>
  <si>
    <t>Vendor Delta 380</t>
  </si>
  <si>
    <t>vendor.delta.380@corp.net</t>
  </si>
  <si>
    <t>ACC-9536</t>
  </si>
  <si>
    <t>VND-0573</t>
  </si>
  <si>
    <t>Vendor Zeta 702</t>
  </si>
  <si>
    <t>vendor.zeta.702@outlook.com</t>
  </si>
  <si>
    <t>ACC-6706</t>
  </si>
  <si>
    <t>VND-0599</t>
  </si>
  <si>
    <t>Vendor Gamma 465</t>
  </si>
  <si>
    <t>vendor.gamma.465@outlook.com</t>
  </si>
  <si>
    <t>ACC-6309</t>
  </si>
  <si>
    <t>VND-0177</t>
  </si>
  <si>
    <t>Vendor Omega 835</t>
  </si>
  <si>
    <t>vendor.omega.835@outlook.com</t>
  </si>
  <si>
    <t>ACC-1783</t>
  </si>
  <si>
    <t>VND-0654</t>
  </si>
  <si>
    <t>Vendor Epsilon 172</t>
  </si>
  <si>
    <t>vendor.epsilon.172@outlook.com</t>
  </si>
  <si>
    <t>ACC-2006</t>
  </si>
  <si>
    <t>VND-0617</t>
  </si>
  <si>
    <t>Vendor Prime 914</t>
  </si>
  <si>
    <t>vendor.prime.914@gmail.com</t>
  </si>
  <si>
    <t>ACC-9537</t>
  </si>
  <si>
    <t>VND-0576</t>
  </si>
  <si>
    <t>vendor.tech.949@outlook.com</t>
  </si>
  <si>
    <t>ACC-2823</t>
  </si>
  <si>
    <t>VND-0846</t>
  </si>
  <si>
    <t>Vendor Group 425</t>
  </si>
  <si>
    <t>vendor.group.425@vendor.com</t>
  </si>
  <si>
    <t>ACC-4738</t>
  </si>
  <si>
    <t>VND-0500</t>
  </si>
  <si>
    <t>Vendor Alpha 755</t>
  </si>
  <si>
    <t>vendor.alpha.755@corp.net</t>
  </si>
  <si>
    <t>ACC-6703</t>
  </si>
  <si>
    <t>VND-0164</t>
  </si>
  <si>
    <t>Vendor Corp 205</t>
  </si>
  <si>
    <t>vendor.corp.205@vendor.com</t>
  </si>
  <si>
    <t>ACC-7081</t>
  </si>
  <si>
    <t>VND-0249</t>
  </si>
  <si>
    <t>Vendor Global 330</t>
  </si>
  <si>
    <t>ACC-6053</t>
  </si>
  <si>
    <t>VND-0680</t>
  </si>
  <si>
    <t>Vendor Group 739</t>
  </si>
  <si>
    <t>vendor.group.739@corp.net</t>
  </si>
  <si>
    <t>ACC-3440</t>
  </si>
  <si>
    <t>VND-0868</t>
  </si>
  <si>
    <t>Vendor Solutions 460</t>
  </si>
  <si>
    <t>ACC-7711</t>
  </si>
  <si>
    <t>VND-0658</t>
  </si>
  <si>
    <t>Vendor Gamma 819</t>
  </si>
  <si>
    <t>vendor.gamma.819@corp.net</t>
  </si>
  <si>
    <t>ACC-3525</t>
  </si>
  <si>
    <t>VND-0376</t>
  </si>
  <si>
    <t>Vendor Group 460</t>
  </si>
  <si>
    <t>vendor.group.460@gmail.com</t>
  </si>
  <si>
    <t>ACC-7936</t>
  </si>
  <si>
    <t>VND-0413</t>
  </si>
  <si>
    <t>Vendor Beta 804</t>
  </si>
  <si>
    <t>vendor.beta.804@corp.net</t>
  </si>
  <si>
    <t>ACC-4304</t>
  </si>
  <si>
    <t>VND-0075</t>
  </si>
  <si>
    <t>Vendor Delta 124</t>
  </si>
  <si>
    <t>vendor.delta.124@yahoo.com</t>
  </si>
  <si>
    <t>ACC-8933</t>
  </si>
  <si>
    <t>VND-0114</t>
  </si>
  <si>
    <t>ACC-7511</t>
  </si>
  <si>
    <t>VND-0560</t>
  </si>
  <si>
    <t>ACC-4943</t>
  </si>
  <si>
    <t>VND-0807</t>
  </si>
  <si>
    <t>Vendor Corp 780</t>
  </si>
  <si>
    <t>vendor.corp.780@vendor.com</t>
  </si>
  <si>
    <t>ACC-3478</t>
  </si>
  <si>
    <t>VND-0391</t>
  </si>
  <si>
    <t>Vendor Epsilon 623</t>
  </si>
  <si>
    <t>vendor.epsilon.623@vendor.com</t>
  </si>
  <si>
    <t>ACC-6713</t>
  </si>
  <si>
    <t>VND-0105</t>
  </si>
  <si>
    <t>Vendor Delta 544</t>
  </si>
  <si>
    <t>vendor.delta.544@yahoo.com</t>
  </si>
  <si>
    <t>ACC-2293</t>
  </si>
  <si>
    <t>VND-0115</t>
  </si>
  <si>
    <t>Vendor Group 405</t>
  </si>
  <si>
    <t>vendor.group.405@outlook.com</t>
  </si>
  <si>
    <t>ACC-7242</t>
  </si>
  <si>
    <t>VND-0418</t>
  </si>
  <si>
    <t>Vendor Corp 142</t>
  </si>
  <si>
    <t>vendor.corp.142@corp.net</t>
  </si>
  <si>
    <t>ACC-5395</t>
  </si>
  <si>
    <t>VND-0451</t>
  </si>
  <si>
    <t>Vendor Tech 941</t>
  </si>
  <si>
    <t>vendor.tech.941@gmail.com</t>
  </si>
  <si>
    <t>ACC-7322</t>
  </si>
  <si>
    <t>VND-0410</t>
  </si>
  <si>
    <t>Vendor Epsilon 790</t>
  </si>
  <si>
    <t>vendor.epsilon.790@gmail.com</t>
  </si>
  <si>
    <t>ACC-1323</t>
  </si>
  <si>
    <t>VND-0093</t>
  </si>
  <si>
    <t>Vendor Global 135</t>
  </si>
  <si>
    <t>vendor.global.135@gmail.com</t>
  </si>
  <si>
    <t>ACC-4920</t>
  </si>
  <si>
    <t>VND-0555</t>
  </si>
  <si>
    <t>vendor.prime.951@corp.net</t>
  </si>
  <si>
    <t>ACC-7814</t>
  </si>
  <si>
    <t>VND-0090</t>
  </si>
  <si>
    <t>Vendor Solutions 108</t>
  </si>
  <si>
    <t>vendor.solutions.108@vendor.com</t>
  </si>
  <si>
    <t>ACC-1601</t>
  </si>
  <si>
    <t>VND-0337</t>
  </si>
  <si>
    <t>Vendor Ltd 866</t>
  </si>
  <si>
    <t>vendor.ltd.866@gmail.com</t>
  </si>
  <si>
    <t>ACC-2565</t>
  </si>
  <si>
    <t>VND-0903</t>
  </si>
  <si>
    <t>Vendor Delta 111</t>
  </si>
  <si>
    <t>vendor.delta.111@yahoo.com</t>
  </si>
  <si>
    <t>ACC-3064</t>
  </si>
  <si>
    <t>VND-0915</t>
  </si>
  <si>
    <t>Vendor Prime 246</t>
  </si>
  <si>
    <t>vendor.prime.246@corp.net</t>
  </si>
  <si>
    <t>ACC-8106</t>
  </si>
  <si>
    <t>VND-0596</t>
  </si>
  <si>
    <t>Vendor Omega 529</t>
  </si>
  <si>
    <t>vendor.omega.529@vendor.com</t>
  </si>
  <si>
    <t>ACC-7521</t>
  </si>
  <si>
    <t>VND-0584</t>
  </si>
  <si>
    <t>Vendor Solutions 264</t>
  </si>
  <si>
    <t>vendor.solutions.264@yahoo.com</t>
  </si>
  <si>
    <t>ACC-6599</t>
  </si>
  <si>
    <t>VND-0918</t>
  </si>
  <si>
    <t>Vendor Alpha 645</t>
  </si>
  <si>
    <t>vendor.alpha.645@vendor.com</t>
  </si>
  <si>
    <t>ACC-4428</t>
  </si>
  <si>
    <t>VND-0095</t>
  </si>
  <si>
    <t>Vendor Epsilon 522</t>
  </si>
  <si>
    <t>vendor.epsilon.522@yahoo.com</t>
  </si>
  <si>
    <t>ACC-8483</t>
  </si>
  <si>
    <t>VND-0012</t>
  </si>
  <si>
    <t>Vendor Omega 611</t>
  </si>
  <si>
    <t>vendor.omega.611@gmail.com</t>
  </si>
  <si>
    <t>ACC-9797</t>
  </si>
  <si>
    <t>VND-0397</t>
  </si>
  <si>
    <t>Vendor Services 228</t>
  </si>
  <si>
    <t>vendor.services.228@outlook.com</t>
  </si>
  <si>
    <t>VND-0524</t>
  </si>
  <si>
    <t>Vendor Gamma 189</t>
  </si>
  <si>
    <t>vendor.gamma.189@outlook.com</t>
  </si>
  <si>
    <t>ACC-2311</t>
  </si>
  <si>
    <t>VND-0044</t>
  </si>
  <si>
    <t>Vendor Delta 261</t>
  </si>
  <si>
    <t>vendor.delta.261@yahoo.com</t>
  </si>
  <si>
    <t>ACC-6967</t>
  </si>
  <si>
    <t>VND-0043</t>
  </si>
  <si>
    <t>Vendor Tech 445</t>
  </si>
  <si>
    <t>vendor.tech.445@corp.net</t>
  </si>
  <si>
    <t>ACC-2894</t>
  </si>
  <si>
    <t>VND-0330</t>
  </si>
  <si>
    <t>Vendor Zeta 393</t>
  </si>
  <si>
    <t>vendor.zeta.393@vendor.com</t>
  </si>
  <si>
    <t>ACC-4678</t>
  </si>
  <si>
    <t>VND-0168</t>
  </si>
  <si>
    <t>Vendor Alpha 294</t>
  </si>
  <si>
    <t>vendor.alpha.294@vendor.com</t>
  </si>
  <si>
    <t>ACC-8349</t>
  </si>
  <si>
    <t>VND-0483</t>
  </si>
  <si>
    <t>Vendor Delta 851</t>
  </si>
  <si>
    <t>vendor.delta.851@corp.net</t>
  </si>
  <si>
    <t>VND-0859</t>
  </si>
  <si>
    <t>Vendor Beta 95</t>
  </si>
  <si>
    <t>vendor.beta.95@vendor.com</t>
  </si>
  <si>
    <t>ACC-2279</t>
  </si>
  <si>
    <t>VND-0588</t>
  </si>
  <si>
    <t>Vendor Global 546</t>
  </si>
  <si>
    <t>vendor.global.546@outlook.com</t>
  </si>
  <si>
    <t>ACC-7783</t>
  </si>
  <si>
    <t>VND-0742</t>
  </si>
  <si>
    <t>vendor.corp.453@outlook.com</t>
  </si>
  <si>
    <t>ACC-1471</t>
  </si>
  <si>
    <t>VND-0101</t>
  </si>
  <si>
    <t>Vendor Gamma 420</t>
  </si>
  <si>
    <t>vendor.gamma.420@outlook.com</t>
  </si>
  <si>
    <t>ACC-6546</t>
  </si>
  <si>
    <t>VND-0427</t>
  </si>
  <si>
    <t>Vendor Prime 324</t>
  </si>
  <si>
    <t>vendor.prime.324@vendor.com</t>
  </si>
  <si>
    <t>ACC-7755</t>
  </si>
  <si>
    <t>VND-0179</t>
  </si>
  <si>
    <t>Vendor Prime 377</t>
  </si>
  <si>
    <t>vendor.prime.377@gmail.com</t>
  </si>
  <si>
    <t>ACC-8055</t>
  </si>
  <si>
    <t>VND-0445</t>
  </si>
  <si>
    <t>Vendor Delta 302</t>
  </si>
  <si>
    <t>vendor.delta.302@yahoo.com</t>
  </si>
  <si>
    <t>ACC-9418</t>
  </si>
  <si>
    <t>VND-0417</t>
  </si>
  <si>
    <t>Vendor Corp 41</t>
  </si>
  <si>
    <t>vendor.corp.41@gmail.com</t>
  </si>
  <si>
    <t>ACC-2556</t>
  </si>
  <si>
    <t>VND-0637</t>
  </si>
  <si>
    <t>Vendor Omega 245</t>
  </si>
  <si>
    <t>vendor.omega.245@gmail.com</t>
  </si>
  <si>
    <t>ACC-6582</t>
  </si>
  <si>
    <t>VND-0865</t>
  </si>
  <si>
    <t>ACC-5644</t>
  </si>
  <si>
    <t>VND-0924</t>
  </si>
  <si>
    <t>Vendor Prime 443</t>
  </si>
  <si>
    <t>vendor.prime.443@vendor.com</t>
  </si>
  <si>
    <t>ACC-1404</t>
  </si>
  <si>
    <t>VND-0178</t>
  </si>
  <si>
    <t>Vendor Beta 819</t>
  </si>
  <si>
    <t>ACC-4060</t>
  </si>
  <si>
    <t>VND-0396</t>
  </si>
  <si>
    <t>Vendor Epsilon 929</t>
  </si>
  <si>
    <t>vendor.epsilon.929@corp.net</t>
  </si>
  <si>
    <t>ACC-4111</t>
  </si>
  <si>
    <t>VND-0753</t>
  </si>
  <si>
    <t>Vendor Epsilon 468</t>
  </si>
  <si>
    <t>vendor.epsilon.468@corp.net</t>
  </si>
  <si>
    <t>VND-0779</t>
  </si>
  <si>
    <t>Vendor Prime 574</t>
  </si>
  <si>
    <t>vendor.prime.574@yahoo.com</t>
  </si>
  <si>
    <t>VND-0942</t>
  </si>
  <si>
    <t>Vendor Delta 184</t>
  </si>
  <si>
    <t>vendor.delta.184@yahoo.com</t>
  </si>
  <si>
    <t>VND-0721</t>
  </si>
  <si>
    <t>Vendor Prime 553</t>
  </si>
  <si>
    <t>vendor.prime.553@vendor.com</t>
  </si>
  <si>
    <t>ACC-3381</t>
  </si>
  <si>
    <t>VND-0384</t>
  </si>
  <si>
    <t xml:space="preserve">  Vendor Delta 936  </t>
  </si>
  <si>
    <t>vendor.delta.936@gmail.com</t>
  </si>
  <si>
    <t>ACC-9442</t>
  </si>
  <si>
    <t>VND-0938</t>
  </si>
  <si>
    <t>Vendor Beta 399</t>
  </si>
  <si>
    <t>vendor.beta.399@vendor.com</t>
  </si>
  <si>
    <t>ACC-8778</t>
  </si>
  <si>
    <t>VND-0258</t>
  </si>
  <si>
    <t>Vendor Beta 941</t>
  </si>
  <si>
    <t>vendor.beta.941@corp.net</t>
  </si>
  <si>
    <t>ACC-5135</t>
  </si>
  <si>
    <t>VND-0529</t>
  </si>
  <si>
    <t>Vendor Tech 468</t>
  </si>
  <si>
    <t>vendor.tech.468@corp.net</t>
  </si>
  <si>
    <t>ACC-6073</t>
  </si>
  <si>
    <t>VND-0336</t>
  </si>
  <si>
    <t>Vendor Delta 543</t>
  </si>
  <si>
    <t>vendor.delta.543@outlook.com</t>
  </si>
  <si>
    <t>ACC-2524</t>
  </si>
  <si>
    <t>VND-0604</t>
  </si>
  <si>
    <t>Vendor Delta 603</t>
  </si>
  <si>
    <t>vendor.delta.603@corp.net</t>
  </si>
  <si>
    <t>ACC-1107</t>
  </si>
  <si>
    <t>VND-0016</t>
  </si>
  <si>
    <t>Vendor Services 498</t>
  </si>
  <si>
    <t>ACC-8787</t>
  </si>
  <si>
    <t>VND-0004</t>
  </si>
  <si>
    <t>Vendor Delta 981</t>
  </si>
  <si>
    <t>vendor.delta.981@outlook.com</t>
  </si>
  <si>
    <t>ACC-6635</t>
  </si>
  <si>
    <t>VND-0864</t>
  </si>
  <si>
    <t>Vendor Tech 297</t>
  </si>
  <si>
    <t>vendor.tech.297@outlook.com</t>
  </si>
  <si>
    <t>ACC-5968</t>
  </si>
  <si>
    <t>VND-0928</t>
  </si>
  <si>
    <t>Vendor Group 307</t>
  </si>
  <si>
    <t>vendor.group.307@corp.net</t>
  </si>
  <si>
    <t>ACC-1194</t>
  </si>
  <si>
    <t>VND-0257</t>
  </si>
  <si>
    <t>Vendor Global 422</t>
  </si>
  <si>
    <t>vendor.global.422@outlook.com</t>
  </si>
  <si>
    <t>ACC-1280</t>
  </si>
  <si>
    <t>VND-0536</t>
  </si>
  <si>
    <t>Vendor Zeta 20</t>
  </si>
  <si>
    <t>vendor.zeta.20@gmail.com</t>
  </si>
  <si>
    <t>ACC-5622</t>
  </si>
  <si>
    <t>VND-0744</t>
  </si>
  <si>
    <t>Vendor Services 782</t>
  </si>
  <si>
    <t>vendor.services.782@gmail.com</t>
  </si>
  <si>
    <t>ACC-4217</t>
  </si>
  <si>
    <t>VND-0695</t>
  </si>
  <si>
    <t>Vendor Delta 101</t>
  </si>
  <si>
    <t>vendor.delta.101@yahoo.com</t>
  </si>
  <si>
    <t>ACC-2204</t>
  </si>
  <si>
    <t>VND-0508</t>
  </si>
  <si>
    <t>Vendor Zeta 160</t>
  </si>
  <si>
    <t>vendor.zeta.160@vendor.com</t>
  </si>
  <si>
    <t>ACC-1108</t>
  </si>
  <si>
    <t>VND-0394</t>
  </si>
  <si>
    <t xml:space="preserve">  Vendor Zeta 883  </t>
  </si>
  <si>
    <t>vendor.zeta.883@yahoo.com</t>
  </si>
  <si>
    <t>ACC-9475</t>
  </si>
  <si>
    <t>VND-0223</t>
  </si>
  <si>
    <t>Vendor Corp 517</t>
  </si>
  <si>
    <t>vendor.corp.517@yahoo.com</t>
  </si>
  <si>
    <t>ACC-8518</t>
  </si>
  <si>
    <t>VND-0180</t>
  </si>
  <si>
    <t>Vendor Epsilon 329</t>
  </si>
  <si>
    <t>vendor.epsilon.329@vendor.com</t>
  </si>
  <si>
    <t>ACC-7981</t>
  </si>
  <si>
    <t>VND-0290</t>
  </si>
  <si>
    <t>Vendor Epsilon 687</t>
  </si>
  <si>
    <t>vendor.epsilon.687@vendor.com</t>
  </si>
  <si>
    <t>ACC-7431</t>
  </si>
  <si>
    <t>VND-0432</t>
  </si>
  <si>
    <t>Vendor Ltd 873</t>
  </si>
  <si>
    <t>vendor.ltd.873@gmail.com</t>
  </si>
  <si>
    <t>ACC-7790</t>
  </si>
  <si>
    <t>VND-0325</t>
  </si>
  <si>
    <t>Vendor Services 674</t>
  </si>
  <si>
    <t>vendor.services.674@gmail.com</t>
  </si>
  <si>
    <t>ACC-3684</t>
  </si>
  <si>
    <t>VND-0581</t>
  </si>
  <si>
    <t>Vendor Omega 521</t>
  </si>
  <si>
    <t>vendor.omega.521@corp.net</t>
  </si>
  <si>
    <t>ACC-2442</t>
  </si>
  <si>
    <t>VND-0010</t>
  </si>
  <si>
    <t>Vendor Epsilon 143</t>
  </si>
  <si>
    <t>vendor.epsilon.143@vendor.com</t>
  </si>
  <si>
    <t>ACC-7543</t>
  </si>
  <si>
    <t>VND-0250</t>
  </si>
  <si>
    <t>Vendor Global 904</t>
  </si>
  <si>
    <t>vendor.global.904@yahoo.com</t>
  </si>
  <si>
    <t>ACC-7073</t>
  </si>
  <si>
    <t>VND-0023</t>
  </si>
  <si>
    <t>Vendor Epsilon 474</t>
  </si>
  <si>
    <t>vendor.epsilon.474@gmail.com</t>
  </si>
  <si>
    <t>ACC-1828</t>
  </si>
  <si>
    <t>VND-0357</t>
  </si>
  <si>
    <t>Vendor Gamma 941</t>
  </si>
  <si>
    <t>vendor.gamma.941@yahoo.com</t>
  </si>
  <si>
    <t>ACC-3320</t>
  </si>
  <si>
    <t>VND-0222</t>
  </si>
  <si>
    <t>Vendor Alpha 306</t>
  </si>
  <si>
    <t>vendor.alpha.306@vendor.com</t>
  </si>
  <si>
    <t>ACC-9901</t>
  </si>
  <si>
    <t>VND-0796</t>
  </si>
  <si>
    <t>Vendor Delta 269</t>
  </si>
  <si>
    <t>vendor.delta.269@vendor.com</t>
  </si>
  <si>
    <t>ACC-5262</t>
  </si>
  <si>
    <t>VND-0844</t>
  </si>
  <si>
    <t>Vendor Corp 102</t>
  </si>
  <si>
    <t>vendor.corp.102@yahoo.com</t>
  </si>
  <si>
    <t>ACC-8194</t>
  </si>
  <si>
    <t>VND-0341</t>
  </si>
  <si>
    <t>Vendor Omega 124</t>
  </si>
  <si>
    <t>vendor.omega.124@outlook.com</t>
  </si>
  <si>
    <t>ACC-8591</t>
  </si>
  <si>
    <t>VND-0542</t>
  </si>
  <si>
    <t>Vendor Services 44</t>
  </si>
  <si>
    <t>vendor.services.44@outlook.com</t>
  </si>
  <si>
    <t>ACC-4255</t>
  </si>
  <si>
    <t>VND-0204</t>
  </si>
  <si>
    <t>Vendor Global 200</t>
  </si>
  <si>
    <t>vendor.global.200@vendor.com</t>
  </si>
  <si>
    <t>ACC-5582</t>
  </si>
  <si>
    <t>VND-0781</t>
  </si>
  <si>
    <t>Vendor Corp 919</t>
  </si>
  <si>
    <t>vendor.corp.919@outlook.com</t>
  </si>
  <si>
    <t>ACC-2479</t>
  </si>
  <si>
    <t>VND-0094</t>
  </si>
  <si>
    <t>Vendor Global 15</t>
  </si>
  <si>
    <t>vendor.global.15@gmail.com</t>
  </si>
  <si>
    <t>ACC-3522</t>
  </si>
  <si>
    <t>VND-0549</t>
  </si>
  <si>
    <t>Vendor Corp 852</t>
  </si>
  <si>
    <t>vendor.corp.852@yahoo.com</t>
  </si>
  <si>
    <t>ACC-8362</t>
  </si>
  <si>
    <t>VND-0069</t>
  </si>
  <si>
    <t>Vendor Omega 846</t>
  </si>
  <si>
    <t>vendor.omega.846@outlook.com</t>
  </si>
  <si>
    <t>ACC-8385</t>
  </si>
  <si>
    <t>VND-0612</t>
  </si>
  <si>
    <t>Vendor Group 185</t>
  </si>
  <si>
    <t>vendor.group.185@gmail.com</t>
  </si>
  <si>
    <t>ACC-1392</t>
  </si>
  <si>
    <t>VND-0285</t>
  </si>
  <si>
    <t>Vendor Global 495</t>
  </si>
  <si>
    <t>vendor.global.495@gmail.com</t>
  </si>
  <si>
    <t>ACC-5919</t>
  </si>
  <si>
    <t>VND-0788</t>
  </si>
  <si>
    <t>Vendor Ltd 984</t>
  </si>
  <si>
    <t>vendor.ltd.984@yahoo.com</t>
  </si>
  <si>
    <t>ACC-3625</t>
  </si>
  <si>
    <t>VND-0435</t>
  </si>
  <si>
    <t>Vendor Tech 178</t>
  </si>
  <si>
    <t>vendor.tech.178@corp.net</t>
  </si>
  <si>
    <t>ACC-6273</t>
  </si>
  <si>
    <t>VND-0154</t>
  </si>
  <si>
    <t>Vendor Delta 725</t>
  </si>
  <si>
    <t>vendor.delta.725@outlook.com</t>
  </si>
  <si>
    <t>ACC-5634</t>
  </si>
  <si>
    <t>VND-0076</t>
  </si>
  <si>
    <t>Vendor Tech 779</t>
  </si>
  <si>
    <t>vendor.tech.779@outlook.com</t>
  </si>
  <si>
    <t>ACC-4727</t>
  </si>
  <si>
    <t>VND-0718</t>
  </si>
  <si>
    <t>Vendor Gamma 362</t>
  </si>
  <si>
    <t>vendor.gamma.362@corp.net</t>
  </si>
  <si>
    <t>ACC-5673</t>
  </si>
  <si>
    <t>VND-0447</t>
  </si>
  <si>
    <t>Vendor Services 960</t>
  </si>
  <si>
    <t>vendor.services.960@gmail.com</t>
  </si>
  <si>
    <t>ACC-5934</t>
  </si>
  <si>
    <t>VND-0189</t>
  </si>
  <si>
    <t>Vendor Group 143</t>
  </si>
  <si>
    <t>vendor.group.143@corp.net</t>
  </si>
  <si>
    <t>ACC-7044</t>
  </si>
  <si>
    <t>VND-0272</t>
  </si>
  <si>
    <t>Vendor Gamma 276</t>
  </si>
  <si>
    <t>vendor.gamma.276@vendor.com</t>
  </si>
  <si>
    <t>ACC-5521</t>
  </si>
  <si>
    <t>VND-0237</t>
  </si>
  <si>
    <t>Vendor Gamma 746</t>
  </si>
  <si>
    <t>vendor.gamma.746@vendor.com</t>
  </si>
  <si>
    <t>ACC-9920</t>
  </si>
  <si>
    <t>VND-0488</t>
  </si>
  <si>
    <t>Vendor Group 788</t>
  </si>
  <si>
    <t>vendor.group.788@yahoo.com</t>
  </si>
  <si>
    <t>ACC-5170</t>
  </si>
  <si>
    <t>VND-0118</t>
  </si>
  <si>
    <t>Vendor Ltd 551</t>
  </si>
  <si>
    <t>vendor.ltd.551@yahoo.com</t>
  </si>
  <si>
    <t>ACC-7797</t>
  </si>
  <si>
    <t>VND-0802</t>
  </si>
  <si>
    <t>Vendor Omega 754</t>
  </si>
  <si>
    <t>vendor.omega.754@outlook.com</t>
  </si>
  <si>
    <t>ACC-4847</t>
  </si>
  <si>
    <t>VND-0513</t>
  </si>
  <si>
    <t xml:space="preserve">  Vendor Epsilon 243  </t>
  </si>
  <si>
    <t>vendor.epsilon.243@yahoo.com</t>
  </si>
  <si>
    <t>ACC-9171</t>
  </si>
  <si>
    <t>VND-0544</t>
  </si>
  <si>
    <t>Vendor Beta 406</t>
  </si>
  <si>
    <t>vendor.beta.406@vendor.com</t>
  </si>
  <si>
    <t>ACC-3539</t>
  </si>
  <si>
    <t>VND-0582</t>
  </si>
  <si>
    <t>Vendor Global 990</t>
  </si>
  <si>
    <t>vendor.global.990@yahoo.com</t>
  </si>
  <si>
    <t>ACC-9673</t>
  </si>
  <si>
    <t>VND-0127</t>
  </si>
  <si>
    <t>Vendor Corp 412</t>
  </si>
  <si>
    <t>vendor.corp.412@gmail.com</t>
  </si>
  <si>
    <t>VND-0117</t>
  </si>
  <si>
    <t>Vendor Epsilon 665</t>
  </si>
  <si>
    <t>vendor.epsilon.665@vendor.com</t>
  </si>
  <si>
    <t>ACC-2902</t>
  </si>
  <si>
    <t>VND-0474</t>
  </si>
  <si>
    <t>Vendor Delta 65</t>
  </si>
  <si>
    <t>vendor.delta.65@outlook.com</t>
  </si>
  <si>
    <t>ACC-7358</t>
  </si>
  <si>
    <t>VND-0058</t>
  </si>
  <si>
    <t>Vendor Epsilon 772</t>
  </si>
  <si>
    <t>vendor.epsilon.772@corp.net</t>
  </si>
  <si>
    <t>ACC-4613</t>
  </si>
  <si>
    <t>VND-0894</t>
  </si>
  <si>
    <t>Vendor Solutions 531</t>
  </si>
  <si>
    <t>vendor.solutions.531@gmail.com</t>
  </si>
  <si>
    <t>ACC-5553</t>
  </si>
  <si>
    <t>VND-0370</t>
  </si>
  <si>
    <t>Vendor Epsilon 844</t>
  </si>
  <si>
    <t>vendor.epsilon.844@gmail.com</t>
  </si>
  <si>
    <t>ACC-4390</t>
  </si>
  <si>
    <t>VND-0269</t>
  </si>
  <si>
    <t>Vendor Alpha 966</t>
  </si>
  <si>
    <t>vendor.alpha.966@yahoo.com</t>
  </si>
  <si>
    <t>ACC-2430</t>
  </si>
  <si>
    <t>VND-0047</t>
  </si>
  <si>
    <t>Vendor Global 854</t>
  </si>
  <si>
    <t>vendor.global.854@corp.net</t>
  </si>
  <si>
    <t>ACC-6279</t>
  </si>
  <si>
    <t>VND-0350</t>
  </si>
  <si>
    <t>Vendor Ltd 817</t>
  </si>
  <si>
    <t>vendor.ltd.817@outlook.com</t>
  </si>
  <si>
    <t>ACC-8859</t>
  </si>
  <si>
    <t>VND-0196</t>
  </si>
  <si>
    <t>Vendor Delta 786</t>
  </si>
  <si>
    <t>vendor.delta.786@corp.net</t>
  </si>
  <si>
    <t>ACC-5745</t>
  </si>
  <si>
    <t>VND-0172</t>
  </si>
  <si>
    <t>Vendor Omega 192</t>
  </si>
  <si>
    <t>vendor.omega.192@corp.net</t>
  </si>
  <si>
    <t>ACC-9914</t>
  </si>
  <si>
    <t>VND-0818</t>
  </si>
  <si>
    <t>Vendor Prime 907</t>
  </si>
  <si>
    <t>vendor.prime.907@vendor.com</t>
  </si>
  <si>
    <t>ACC-7033</t>
  </si>
  <si>
    <t>VND-0723</t>
  </si>
  <si>
    <t>Vendor Solutions 151</t>
  </si>
  <si>
    <t>vendor.solutions.151@gmail.com</t>
  </si>
  <si>
    <t>ACC-8847</t>
  </si>
  <si>
    <t>VND-0264</t>
  </si>
  <si>
    <t>Vendor Epsilon 167</t>
  </si>
  <si>
    <t>vendor.epsilon.167@corp.net</t>
  </si>
  <si>
    <t>ACC-6435</t>
  </si>
  <si>
    <t>VND-0444</t>
  </si>
  <si>
    <t>Vendor Alpha 14</t>
  </si>
  <si>
    <t>vendor.alpha.14@outlook.com</t>
  </si>
  <si>
    <t>VND-0663</t>
  </si>
  <si>
    <t>ACC-5183</t>
  </si>
  <si>
    <t>VND-0305</t>
  </si>
  <si>
    <t>Vendor Global 768</t>
  </si>
  <si>
    <t>vendor.global.768@vendor.com</t>
  </si>
  <si>
    <t>ACC-6362</t>
  </si>
  <si>
    <t>VND-0342</t>
  </si>
  <si>
    <t>Vendor Beta 162</t>
  </si>
  <si>
    <t>vendor.beta.162@outlook.com</t>
  </si>
  <si>
    <t>ACC-3430</t>
  </si>
  <si>
    <t>VND-0948</t>
  </si>
  <si>
    <t xml:space="preserve">  Vendor Corp 19  </t>
  </si>
  <si>
    <t>vendor.corp.19@vendor.com</t>
  </si>
  <si>
    <t>ACC-3759</t>
  </si>
  <si>
    <t>VND-0150</t>
  </si>
  <si>
    <t>Vendor Prime 453</t>
  </si>
  <si>
    <t>vendor.prime.453@corp.net</t>
  </si>
  <si>
    <t>ACC-2215</t>
  </si>
  <si>
    <t>VND-0125</t>
  </si>
  <si>
    <t>Vendor Beta 764</t>
  </si>
  <si>
    <t>vendor.beta.764@corp.net</t>
  </si>
  <si>
    <t>ACC-2786</t>
  </si>
  <si>
    <t>VND-0893</t>
  </si>
  <si>
    <t>Vendor Global 905</t>
  </si>
  <si>
    <t>vendor.global.905@vendor.com</t>
  </si>
  <si>
    <t>ACC-7666</t>
  </si>
  <si>
    <t>VND-0051</t>
  </si>
  <si>
    <t>Vendor Omega 250</t>
  </si>
  <si>
    <t>vendor.omega.250@yahoo.com</t>
  </si>
  <si>
    <t>ACC-3881</t>
  </si>
  <si>
    <t>VND-0354</t>
  </si>
  <si>
    <t>Vendor Delta 607</t>
  </si>
  <si>
    <t>vendor.delta.607@gmail.com</t>
  </si>
  <si>
    <t>ACC-6761</t>
  </si>
  <si>
    <t>VND-0909</t>
  </si>
  <si>
    <t>Vendor Zeta 167</t>
  </si>
  <si>
    <t>vendor.zeta.167@yahoo.com</t>
  </si>
  <si>
    <t>ACC-1060</t>
  </si>
  <si>
    <t>VND-0143</t>
  </si>
  <si>
    <t>Vendor Omega 883</t>
  </si>
  <si>
    <t>vendor.omega.883@outlook.com</t>
  </si>
  <si>
    <t>ACC-8033</t>
  </si>
  <si>
    <t>VND-0471</t>
  </si>
  <si>
    <t>Vendor Group 153</t>
  </si>
  <si>
    <t>vendor.group.153@vendor.com</t>
  </si>
  <si>
    <t>ACC-9210</t>
  </si>
  <si>
    <t>VND-0400</t>
  </si>
  <si>
    <t>Vendor Epsilon 475</t>
  </si>
  <si>
    <t>vendor.epsilon.475@yahoo.com</t>
  </si>
  <si>
    <t>ACC-9199</t>
  </si>
  <si>
    <t>VND-0065</t>
  </si>
  <si>
    <t>Vendor Tech 694</t>
  </si>
  <si>
    <t>vendor.tech.694@corp.net</t>
  </si>
  <si>
    <t>ACC-4978</t>
  </si>
  <si>
    <t>VND-0321</t>
  </si>
  <si>
    <t>Vendor Delta 41</t>
  </si>
  <si>
    <t>vendor.delta.41@corp.net</t>
  </si>
  <si>
    <t>ACC-7806</t>
  </si>
  <si>
    <t>VND-0020</t>
  </si>
  <si>
    <t>Vendor Solutions 498</t>
  </si>
  <si>
    <t>vendor.solutions.498@vendor.com</t>
  </si>
  <si>
    <t>ACC-7669</t>
  </si>
  <si>
    <t>VND-0793</t>
  </si>
  <si>
    <t>Vendor Gamma 256</t>
  </si>
  <si>
    <t>vendor.gamma.256@vendor.com</t>
  </si>
  <si>
    <t>ACC-6233</t>
  </si>
  <si>
    <t>ACC-1991</t>
  </si>
  <si>
    <t>VND-0869</t>
  </si>
  <si>
    <t>Vendor Ltd 405</t>
  </si>
  <si>
    <t>vendor.ltd.405@gmail.com</t>
  </si>
  <si>
    <t>ACC-3713</t>
  </si>
  <si>
    <t>VND-0408</t>
  </si>
  <si>
    <t>Vendor Gamma 351</t>
  </si>
  <si>
    <t>vendor.gamma.351@gmail.com</t>
  </si>
  <si>
    <t>VND-0538</t>
  </si>
  <si>
    <t>Vendor Epsilon 805</t>
  </si>
  <si>
    <t>vendor.epsilon.805@gmail.com</t>
  </si>
  <si>
    <t>ACC-6410</t>
  </si>
  <si>
    <t>VND-0873</t>
  </si>
  <si>
    <t>Vendor Tech 329</t>
  </si>
  <si>
    <t>vendor.tech.329@vendor.com</t>
  </si>
  <si>
    <t>ACC-3957</t>
  </si>
  <si>
    <t>VND-0039</t>
  </si>
  <si>
    <t>Vendor Gamma 755</t>
  </si>
  <si>
    <t>vendor.gamma.755@yahoo.com</t>
  </si>
  <si>
    <t>VND-0176</t>
  </si>
  <si>
    <t>Vendor Group 967</t>
  </si>
  <si>
    <t>vendor.group.967@gmail.com</t>
  </si>
  <si>
    <t>ACC-6170</t>
  </si>
  <si>
    <t>VND-0246</t>
  </si>
  <si>
    <t>Vendor Beta 945</t>
  </si>
  <si>
    <t>vendor.beta.945@outlook.com</t>
  </si>
  <si>
    <t>ACC-7179</t>
  </si>
  <si>
    <t>VND-0812</t>
  </si>
  <si>
    <t>Vendor Solutions 697</t>
  </si>
  <si>
    <t>vendor.solutions.697@yahoo.com</t>
  </si>
  <si>
    <t>ACC-1473</t>
  </si>
  <si>
    <t>VND-0656</t>
  </si>
  <si>
    <t>Vendor Beta 872</t>
  </si>
  <si>
    <t>vendor.beta.872@outlook.com</t>
  </si>
  <si>
    <t>ACC-1232</t>
  </si>
  <si>
    <t>VND-0740</t>
  </si>
  <si>
    <t>Vendor Zeta 944</t>
  </si>
  <si>
    <t>vendor.zeta.944@yahoo.com</t>
  </si>
  <si>
    <t>ACC-9612</t>
  </si>
  <si>
    <t>VND-0922</t>
  </si>
  <si>
    <t>Vendor Epsilon 436</t>
  </si>
  <si>
    <t>vendor.epsilon.436@corp.net</t>
  </si>
  <si>
    <t>VND-0155</t>
  </si>
  <si>
    <t>Vendor Group 347</t>
  </si>
  <si>
    <t>vendor.group.347@outlook.com</t>
  </si>
  <si>
    <t>ACC-2548</t>
  </si>
  <si>
    <t>VND-0288</t>
  </si>
  <si>
    <t>Vendor Tech 905</t>
  </si>
  <si>
    <t>vendor.tech.905@yahoo.com</t>
  </si>
  <si>
    <t>ACC-4371</t>
  </si>
  <si>
    <t>VND-0848</t>
  </si>
  <si>
    <t>Vendor Group 11</t>
  </si>
  <si>
    <t>vendor.group.11@outlook.com</t>
  </si>
  <si>
    <t>ACC-6157</t>
  </si>
  <si>
    <t>VND-0570</t>
  </si>
  <si>
    <t>Vendor Gamma 136</t>
  </si>
  <si>
    <t>vendor.gamma.136@vendor.com</t>
  </si>
  <si>
    <t>ACC-5301</t>
  </si>
  <si>
    <t>VND-0729</t>
  </si>
  <si>
    <t>Vendor Group 746</t>
  </si>
  <si>
    <t>vendor.group.746@corp.net</t>
  </si>
  <si>
    <t>ACC-2410</t>
  </si>
  <si>
    <t>VND-0018</t>
  </si>
  <si>
    <t>Vendor Ltd 530</t>
  </si>
  <si>
    <t>vendor.ltd.530@gmail.com</t>
  </si>
  <si>
    <t>ACC-4770</t>
  </si>
  <si>
    <t>VND-0128</t>
  </si>
  <si>
    <t>Vendor Gamma 282</t>
  </si>
  <si>
    <t>vendor.gamma.282@corp.net</t>
  </si>
  <si>
    <t>ACC-9692</t>
  </si>
  <si>
    <t>VND-0323</t>
  </si>
  <si>
    <t>Vendor Ltd 209</t>
  </si>
  <si>
    <t>vendor.ltd.209@gmail.com</t>
  </si>
  <si>
    <t>ACC-6081</t>
  </si>
  <si>
    <t>VND-0256</t>
  </si>
  <si>
    <t>Vendor Alpha 633</t>
  </si>
  <si>
    <t>vendor.alpha.633@vendor.com</t>
  </si>
  <si>
    <t>ACC-1257</t>
  </si>
  <si>
    <t>VND-0936</t>
  </si>
  <si>
    <t>Vendor Epsilon 211</t>
  </si>
  <si>
    <t>vendor.epsilon.211@gmail.com</t>
  </si>
  <si>
    <t>ACC-7039</t>
  </si>
  <si>
    <t>VND-0946</t>
  </si>
  <si>
    <t>Vendor Omega 877</t>
  </si>
  <si>
    <t>vendor.omega.877@yahoo.com</t>
  </si>
  <si>
    <t>ACC-6359</t>
  </si>
  <si>
    <t>VND-0191</t>
  </si>
  <si>
    <t>Vendor Zeta 658</t>
  </si>
  <si>
    <t>vendor.zeta.658@yahoo.com</t>
  </si>
  <si>
    <t>ACC-3981</t>
  </si>
  <si>
    <t>VND-0116</t>
  </si>
  <si>
    <t>vendor.solutions.240@yahoo.com</t>
  </si>
  <si>
    <t>ACC-2035</t>
  </si>
  <si>
    <t>VND-0606</t>
  </si>
  <si>
    <t>Vendor Zeta 38</t>
  </si>
  <si>
    <t>vendor.zeta.38@gmail.com</t>
  </si>
  <si>
    <t>ACC-1803</t>
  </si>
  <si>
    <t>VND-0181</t>
  </si>
  <si>
    <t>Vendor Prime 360</t>
  </si>
  <si>
    <t>vendor.prime.360@vendor.com</t>
  </si>
  <si>
    <t>ACC-5498</t>
  </si>
  <si>
    <t>VND-0302</t>
  </si>
  <si>
    <t>Vendor Global 173</t>
  </si>
  <si>
    <t>vendor.global.173@gmail.com</t>
  </si>
  <si>
    <t>ACC-3221</t>
  </si>
  <si>
    <t>VND-0765</t>
  </si>
  <si>
    <t>Vendor Zeta 63</t>
  </si>
  <si>
    <t>vendor.zeta.63@corp.net</t>
  </si>
  <si>
    <t>ACC-1440</t>
  </si>
  <si>
    <t>VND-0937</t>
  </si>
  <si>
    <t>Vendor Zeta 881</t>
  </si>
  <si>
    <t>vendor.zeta.881@corp.net</t>
  </si>
  <si>
    <t>ACC-7855</t>
  </si>
  <si>
    <t>VND-0711</t>
  </si>
  <si>
    <t>Vendor Services 545</t>
  </si>
  <si>
    <t>vendor.services.545@corp.net</t>
  </si>
  <si>
    <t>ACC-7031</t>
  </si>
  <si>
    <t>VND-0673</t>
  </si>
  <si>
    <t>Vendor Solutions 1</t>
  </si>
  <si>
    <t>vendor.solutions.1@outlook.com</t>
  </si>
  <si>
    <t>ACC-7411</t>
  </si>
  <si>
    <t>VND-0650</t>
  </si>
  <si>
    <t>Vendor Global 276</t>
  </si>
  <si>
    <t>vendor.global.276@corp.net</t>
  </si>
  <si>
    <t>ACC-8917</t>
  </si>
  <si>
    <t>VND-0518</t>
  </si>
  <si>
    <t>Vendor Services 168</t>
  </si>
  <si>
    <t>vendor.services.168@gmail.com</t>
  </si>
  <si>
    <t>VND-0046</t>
  </si>
  <si>
    <t>vendor.omega.714@vendor.com</t>
  </si>
  <si>
    <t>ACC-3851</t>
  </si>
  <si>
    <t>VND-0891</t>
  </si>
  <si>
    <t>Vendor Tech 513</t>
  </si>
  <si>
    <t>vendor.tech.513@corp.net</t>
  </si>
  <si>
    <t>ACC-3101</t>
  </si>
  <si>
    <t>VND-0158</t>
  </si>
  <si>
    <t>Vendor Solutions 720</t>
  </si>
  <si>
    <t>vendor.solutions.720@vendor.com</t>
  </si>
  <si>
    <t>ACC-9331</t>
  </si>
  <si>
    <t>VND-0888</t>
  </si>
  <si>
    <t>Vendor Corp 787</t>
  </si>
  <si>
    <t>vendor.corp.787@outlook.com</t>
  </si>
  <si>
    <t>ACC-4161</t>
  </si>
  <si>
    <t>VND-0017</t>
  </si>
  <si>
    <t>Vendor Global 894</t>
  </si>
  <si>
    <t>vendor.global.894@outlook.com</t>
  </si>
  <si>
    <t>ACC-7537</t>
  </si>
  <si>
    <t>VND-0512</t>
  </si>
  <si>
    <t>Vendor Alpha 13</t>
  </si>
  <si>
    <t>vendor.alpha.13@outlook.com</t>
  </si>
  <si>
    <t>ACC-5254</t>
  </si>
  <si>
    <t>VND-0049</t>
  </si>
  <si>
    <t>Vendor Corp 975</t>
  </si>
  <si>
    <t>vendor.corp.975@yahoo.com</t>
  </si>
  <si>
    <t>ACC-1400</t>
  </si>
  <si>
    <t>VND-0824</t>
  </si>
  <si>
    <t>Vendor Omega 898</t>
  </si>
  <si>
    <t>vendor.omega.898@vendor.com</t>
  </si>
  <si>
    <t>ACC-5342</t>
  </si>
  <si>
    <t>VND-0516</t>
  </si>
  <si>
    <t>Vendor Group 983</t>
  </si>
  <si>
    <t>vendor.group.983@vendor.com</t>
  </si>
  <si>
    <t>ACC-9185</t>
  </si>
  <si>
    <t>VND-0674</t>
  </si>
  <si>
    <t>Vendor Services 963</t>
  </si>
  <si>
    <t>vendor.services.963@corp.net</t>
  </si>
  <si>
    <t>ACC-4700</t>
  </si>
  <si>
    <t>VND-0481</t>
  </si>
  <si>
    <t>Vendor Global 41</t>
  </si>
  <si>
    <t>vendor.global.41@corp.net</t>
  </si>
  <si>
    <t>ACC-7642</t>
  </si>
  <si>
    <t>VND-0284</t>
  </si>
  <si>
    <t>Vendor Epsilon 426</t>
  </si>
  <si>
    <t>vendor.epsilon.426@outlook.com</t>
  </si>
  <si>
    <t>ACC-6620</t>
  </si>
  <si>
    <t>VND-0706</t>
  </si>
  <si>
    <t>Vendor Ltd 708</t>
  </si>
  <si>
    <t>vendor.ltd.708@corp.net</t>
  </si>
  <si>
    <t>ACC-9887</t>
  </si>
  <si>
    <t>VND-0820</t>
  </si>
  <si>
    <t>ACC-5921</t>
  </si>
  <si>
    <t>VND-0226</t>
  </si>
  <si>
    <t>Vendor Omega 242</t>
  </si>
  <si>
    <t>ACC-1187</t>
  </si>
  <si>
    <t>VND-0027</t>
  </si>
  <si>
    <t>Vendor Ltd 874</t>
  </si>
  <si>
    <t>vendor.ltd.874@yahoo.com</t>
  </si>
  <si>
    <t>ACC-2122</t>
  </si>
  <si>
    <t>VND-0768</t>
  </si>
  <si>
    <t>Vendor Zeta 39</t>
  </si>
  <si>
    <t>vendor.zeta.39@outlook.com</t>
  </si>
  <si>
    <t>ACC-1334</t>
  </si>
  <si>
    <t>VND-0438</t>
  </si>
  <si>
    <t>Vendor Tech 732</t>
  </si>
  <si>
    <t>vendor.tech.732@yahoo.com</t>
  </si>
  <si>
    <t>ACC-9255</t>
  </si>
  <si>
    <t>VND-0933</t>
  </si>
  <si>
    <t>Vendor Gamma 976</t>
  </si>
  <si>
    <t>vendor.gamma.976@yahoo.com</t>
  </si>
  <si>
    <t>ACC-7400</t>
  </si>
  <si>
    <t>VND-0365</t>
  </si>
  <si>
    <t>Vendor Group 885</t>
  </si>
  <si>
    <t>vendor.group.885@vendor.com</t>
  </si>
  <si>
    <t>ACC-2207</t>
  </si>
  <si>
    <t>VND-0230</t>
  </si>
  <si>
    <t>Vendor Prime 541</t>
  </si>
  <si>
    <t>vendor.prime.541@corp.net</t>
  </si>
  <si>
    <t>ACC-9281</t>
  </si>
  <si>
    <t>VND-0038</t>
  </si>
  <si>
    <t>Vendor Group 574</t>
  </si>
  <si>
    <t>vendor.group.574@yahoo.com</t>
  </si>
  <si>
    <t>ACC-3900</t>
  </si>
  <si>
    <t>VND-0947</t>
  </si>
  <si>
    <t>Vendor Prime 70</t>
  </si>
  <si>
    <t>vendor.prime.70@vendor.com</t>
  </si>
  <si>
    <t>ACC-5573</t>
  </si>
  <si>
    <t>VND-0375</t>
  </si>
  <si>
    <t>Vendor Ltd 242</t>
  </si>
  <si>
    <t>vendor.ltd.242@corp.net</t>
  </si>
  <si>
    <t>ACC-9467</t>
  </si>
  <si>
    <t>VND-0470</t>
  </si>
  <si>
    <t>Vendor Tech 415</t>
  </si>
  <si>
    <t>ACC-9904</t>
  </si>
  <si>
    <t>VND-0949</t>
  </si>
  <si>
    <t>Vendor Group 12</t>
  </si>
  <si>
    <t>vendor.group.12@yahoo.com</t>
  </si>
  <si>
    <t>ACC-1564</t>
  </si>
  <si>
    <t>VND-0834</t>
  </si>
  <si>
    <t>Vendor Tech 324</t>
  </si>
  <si>
    <t>vendor.tech.324@gmail.com</t>
  </si>
  <si>
    <t>ACC-9106</t>
  </si>
  <si>
    <t>VND-0713</t>
  </si>
  <si>
    <t>Vendor Beta 714</t>
  </si>
  <si>
    <t>vendor.beta.714@gmail.com</t>
  </si>
  <si>
    <t>ACC-5803</t>
  </si>
  <si>
    <t>VND-0195</t>
  </si>
  <si>
    <t>vendor.solutions.640@gmail.com</t>
  </si>
  <si>
    <t>VND-0837</t>
  </si>
  <si>
    <t>Vendor Solutions 753</t>
  </si>
  <si>
    <t>vendor.solutions.753@yahoo.com</t>
  </si>
  <si>
    <t>ACC-5627</t>
  </si>
  <si>
    <t>VND-0847</t>
  </si>
  <si>
    <t>Vendor Omega 941</t>
  </si>
  <si>
    <t>vendor.omega.941@outlook.com</t>
  </si>
  <si>
    <t>ACC-1487</t>
  </si>
  <si>
    <t>VND-0504</t>
  </si>
  <si>
    <t xml:space="preserve">  Vendor Epsilon 70  </t>
  </si>
  <si>
    <t>vendor.epsilon.70@yahoo.com</t>
  </si>
  <si>
    <t>ACC-6172</t>
  </si>
  <si>
    <t>VND-0005</t>
  </si>
  <si>
    <t>Vendor Services 471</t>
  </si>
  <si>
    <t>vendor.services.471@corp.net</t>
  </si>
  <si>
    <t>VND-0814</t>
  </si>
  <si>
    <t>Vendor Tech 974</t>
  </si>
  <si>
    <t>vendor.tech.974@gmail.com</t>
  </si>
  <si>
    <t>ACC-5635</t>
  </si>
  <si>
    <t>VND-0580</t>
  </si>
  <si>
    <t>Vendor Solutions 278</t>
  </si>
  <si>
    <t>vendor.solutions.278@gmail.com</t>
  </si>
  <si>
    <t>ACC-5792</t>
  </si>
  <si>
    <t>VND-0950</t>
  </si>
  <si>
    <t>Vendor Services 49</t>
  </si>
  <si>
    <t>vendor.services.49@outlook.com</t>
  </si>
  <si>
    <t>ACC-8274</t>
  </si>
  <si>
    <t>VND-0163</t>
  </si>
  <si>
    <t>Vendor Ltd 856</t>
  </si>
  <si>
    <t>vendor.ltd.856@outlook.com</t>
  </si>
  <si>
    <t>ACC-7256</t>
  </si>
  <si>
    <t>VND-0690</t>
  </si>
  <si>
    <t>Vendor Global 98</t>
  </si>
  <si>
    <t>vendor.global.98@vendor.com</t>
  </si>
  <si>
    <t>ACC-4409</t>
  </si>
  <si>
    <t>VND-0153</t>
  </si>
  <si>
    <t>Vendor Gamma 981</t>
  </si>
  <si>
    <t>vendor.gamma.981@gmail.com</t>
  </si>
  <si>
    <t>ACC-9266</t>
  </si>
  <si>
    <t>VND-0669</t>
  </si>
  <si>
    <t>Vendor Ltd 684</t>
  </si>
  <si>
    <t>vendor.ltd.684@outlook.com</t>
  </si>
  <si>
    <t>ACC-2022</t>
  </si>
  <si>
    <t>VND-0688</t>
  </si>
  <si>
    <t>ACC-3949</t>
  </si>
  <si>
    <t>VND-0741</t>
  </si>
  <si>
    <t>Vendor Prime 939</t>
  </si>
  <si>
    <t>vendor.prime.939@outlook.com</t>
  </si>
  <si>
    <t>ACC-6104</t>
  </si>
  <si>
    <t>VND-0112</t>
  </si>
  <si>
    <t>Vendor Alpha 594</t>
  </si>
  <si>
    <t>vendor.alpha.594@vendor.com</t>
  </si>
  <si>
    <t>ACC-3877</t>
  </si>
  <si>
    <t>VND-0227</t>
  </si>
  <si>
    <t>Vendor Zeta 710</t>
  </si>
  <si>
    <t>vendor.zeta.710@yahoo.com</t>
  </si>
  <si>
    <t>VND-0676</t>
  </si>
  <si>
    <t>ACC-5750</t>
  </si>
  <si>
    <t>VND-0104</t>
  </si>
  <si>
    <t>Vendor Gamma 711</t>
  </si>
  <si>
    <t>vendor.gamma.711@outlook.com</t>
  </si>
  <si>
    <t>ACC-7141</t>
  </si>
  <si>
    <t>VND-0422</t>
  </si>
  <si>
    <t>Vendor Beta 909</t>
  </si>
  <si>
    <t>vendor.beta.909@outlook.com</t>
  </si>
  <si>
    <t>ACC-1202</t>
  </si>
  <si>
    <t>VND-0420</t>
  </si>
  <si>
    <t>vendor.ltd.817@gmail.com</t>
  </si>
  <si>
    <t>ACC-7816</t>
  </si>
  <si>
    <t>VND-0736</t>
  </si>
  <si>
    <t>Vendor Tech 60</t>
  </si>
  <si>
    <t>vendor.tech.60@yahoo.com</t>
  </si>
  <si>
    <t>ACC-1866</t>
  </si>
  <si>
    <t>VND-0587</t>
  </si>
  <si>
    <t>Vendor Epsilon 706</t>
  </si>
  <si>
    <t>vendor.epsilon.706@corp.net</t>
  </si>
  <si>
    <t>VND-0766</t>
  </si>
  <si>
    <t>Vendor Beta 439</t>
  </si>
  <si>
    <t>vendor.beta.439@yahoo.com</t>
  </si>
  <si>
    <t>ACC-5056</t>
  </si>
  <si>
    <t>VND-0120</t>
  </si>
  <si>
    <t>Vendor Solutions 377</t>
  </si>
  <si>
    <t>vendor.solutions.377@yahoo.com</t>
  </si>
  <si>
    <t>ACC-3001</t>
  </si>
  <si>
    <t>VND-0054</t>
  </si>
  <si>
    <t>Vendor Corp 653</t>
  </si>
  <si>
    <t>vendor.corp.653@yahoo.com</t>
  </si>
  <si>
    <t>ACC-5499</t>
  </si>
  <si>
    <t>VND-0152</t>
  </si>
  <si>
    <t>Vendor Tech 568</t>
  </si>
  <si>
    <t>vendor.tech.568@yahoo.com</t>
  </si>
  <si>
    <t>ACC-6267</t>
  </si>
  <si>
    <t>VND-0404</t>
  </si>
  <si>
    <t>vendor.tech.445@gmail.com</t>
  </si>
  <si>
    <t>ACC-1618</t>
  </si>
  <si>
    <t>VND-0927</t>
  </si>
  <si>
    <t>Vendor Zeta 257</t>
  </si>
  <si>
    <t>vendor.zeta.257@corp.net</t>
  </si>
  <si>
    <t>ACC-3258</t>
  </si>
  <si>
    <t>VND-0208</t>
  </si>
  <si>
    <t>Vendor Tech 307</t>
  </si>
  <si>
    <t>vendor.tech.307@gmail.com</t>
  </si>
  <si>
    <t>ACC-7824</t>
  </si>
  <si>
    <t>VND-0659</t>
  </si>
  <si>
    <t>Vendor Group 393</t>
  </si>
  <si>
    <t>vendor.group.393@corp.net</t>
  </si>
  <si>
    <t>ACC-6653</t>
  </si>
  <si>
    <t>VND-0827</t>
  </si>
  <si>
    <t>Vendor Corp 998</t>
  </si>
  <si>
    <t>vendor.corp.998@gmail.com</t>
  </si>
  <si>
    <t>ACC-3049</t>
  </si>
  <si>
    <t>VND-0945</t>
  </si>
  <si>
    <t>Vendor Epsilon 213</t>
  </si>
  <si>
    <t>vendor.epsilon.213@vendor.com</t>
  </si>
  <si>
    <t>ACC-7244</t>
  </si>
  <si>
    <t>VND-0009</t>
  </si>
  <si>
    <t>Vendor Group 324</t>
  </si>
  <si>
    <t>vendor.group.324@vendor.com</t>
  </si>
  <si>
    <t>ACC-7482</t>
  </si>
  <si>
    <t>VND-0791</t>
  </si>
  <si>
    <t>vendor.omega.617@gmail.com</t>
  </si>
  <si>
    <t>ACC-1853</t>
  </si>
  <si>
    <t>VND-0037</t>
  </si>
  <si>
    <t>Vendor Alpha 316</t>
  </si>
  <si>
    <t>vendor.alpha.316@yahoo.com</t>
  </si>
  <si>
    <t>ACC-5088</t>
  </si>
  <si>
    <t>VND-0453</t>
  </si>
  <si>
    <t>Vendor Epsilon 920</t>
  </si>
  <si>
    <t>vendor.epsilon.920@yahoo.com</t>
  </si>
  <si>
    <t>ACC-9814</t>
  </si>
  <si>
    <t>VND-0652</t>
  </si>
  <si>
    <t>Vendor Ltd 625</t>
  </si>
  <si>
    <t>vendor.ltd.625@corp.net</t>
  </si>
  <si>
    <t>VND-0254</t>
  </si>
  <si>
    <t>Vendor Ltd 911</t>
  </si>
  <si>
    <t>vendor.ltd.911@gmail.com</t>
  </si>
  <si>
    <t>ACC-1794</t>
  </si>
  <si>
    <t>VND-0304</t>
  </si>
  <si>
    <t>Vendor Omega 502</t>
  </si>
  <si>
    <t>vendor.omega.502@vendor.com</t>
  </si>
  <si>
    <t>ACC-2237</t>
  </si>
  <si>
    <t>VND-0732</t>
  </si>
  <si>
    <t>Vendor Corp 391</t>
  </si>
  <si>
    <t>vendor.corp.391@outlook.com</t>
  </si>
  <si>
    <t>ACC-9095</t>
  </si>
  <si>
    <t>VND-0572</t>
  </si>
  <si>
    <t>Vendor Solutions 586</t>
  </si>
  <si>
    <t>vendor.solutions.586@yahoo.com</t>
  </si>
  <si>
    <t>ACC-2173</t>
  </si>
  <si>
    <t>VND-0624</t>
  </si>
  <si>
    <t>Vendor Solutions 136</t>
  </si>
  <si>
    <t>vendor.solutions.136@corp.net</t>
  </si>
  <si>
    <t>ACC-2897</t>
  </si>
  <si>
    <t>VND-0707</t>
  </si>
  <si>
    <t>Vendor Beta 636</t>
  </si>
  <si>
    <t>vendor.beta.636@outlook.com</t>
  </si>
  <si>
    <t>ACC-1844</t>
  </si>
  <si>
    <t>VND-0263</t>
  </si>
  <si>
    <t>Vendor Tech 674</t>
  </si>
  <si>
    <t>vendor.tech.674@yahoo.com</t>
  </si>
  <si>
    <t>ACC-3362</t>
  </si>
  <si>
    <t>VND-0611</t>
  </si>
  <si>
    <t>Vendor Corp 325</t>
  </si>
  <si>
    <t>vendor.corp.325@corp.net</t>
  </si>
  <si>
    <t>ACC-9132</t>
  </si>
  <si>
    <t>VND-0298</t>
  </si>
  <si>
    <t>Vendor Group 557</t>
  </si>
  <si>
    <t>vendor.group.557@corp.net</t>
  </si>
  <si>
    <t>ACC-4580</t>
  </si>
  <si>
    <t>VND-0415</t>
  </si>
  <si>
    <t xml:space="preserve">  Vendor Alpha 688  </t>
  </si>
  <si>
    <t>vendor.alpha.688@gmail.com</t>
  </si>
  <si>
    <t>ACC-9383</t>
  </si>
  <si>
    <t>VND-0151</t>
  </si>
  <si>
    <t>Vendor Prime 39</t>
  </si>
  <si>
    <t>vendor.prime.39@gmail.com</t>
  </si>
  <si>
    <t>ACC-9307</t>
  </si>
  <si>
    <t>VND-0774</t>
  </si>
  <si>
    <t>Vendor Solutions 553</t>
  </si>
  <si>
    <t>vendor.solutions.553@corp.net</t>
  </si>
  <si>
    <t>ACC-8425</t>
  </si>
  <si>
    <t>VND-0641</t>
  </si>
  <si>
    <t>Vendor Corp 143</t>
  </si>
  <si>
    <t>vendor.corp.143@yahoo.com</t>
  </si>
  <si>
    <t>ACC-8421</t>
  </si>
  <si>
    <t>VND-0871</t>
  </si>
  <si>
    <t>Vendor Global 591</t>
  </si>
  <si>
    <t>vendor.global.591@vendor.com</t>
  </si>
  <si>
    <t>ACC-9235</t>
  </si>
  <si>
    <t>VND-0551</t>
  </si>
  <si>
    <t>Vendor Delta 329</t>
  </si>
  <si>
    <t>vendor.delta.329@corp.net</t>
  </si>
  <si>
    <t>ACC-9151</t>
  </si>
  <si>
    <t>VND-0914</t>
  </si>
  <si>
    <t>Vendor Ltd 104</t>
  </si>
  <si>
    <t>vendor.ltd.104@gmail.com</t>
  </si>
  <si>
    <t>ACC-6544</t>
  </si>
  <si>
    <t>VND-0489</t>
  </si>
  <si>
    <t>Vendor Ltd 880</t>
  </si>
  <si>
    <t>vendor.ltd.880@yahoo.com</t>
  </si>
  <si>
    <t>ACC-1089</t>
  </si>
  <si>
    <t>VND-0148</t>
  </si>
  <si>
    <t>Vendor Tech 157</t>
  </si>
  <si>
    <t>vendor.tech.157@vendor.com</t>
  </si>
  <si>
    <t>ACC-8601</t>
  </si>
  <si>
    <t>VND-0147</t>
  </si>
  <si>
    <t>Vendor Zeta 745</t>
  </si>
  <si>
    <t>vendor.zeta.745@yahoo.com</t>
  </si>
  <si>
    <t>ACC-5193</t>
  </si>
  <si>
    <t>VND-0708</t>
  </si>
  <si>
    <t>Vendor Zeta 477</t>
  </si>
  <si>
    <t>vendor.zeta.477@corp.net</t>
  </si>
  <si>
    <t>ACC-2097</t>
  </si>
  <si>
    <t>VND-0913</t>
  </si>
  <si>
    <t>Vendor Ltd 269</t>
  </si>
  <si>
    <t>vendor.ltd.269@yahoo.com</t>
  </si>
  <si>
    <t>ACC-1352</t>
  </si>
  <si>
    <t>VND-0825</t>
  </si>
  <si>
    <t>Vendor Delta 190</t>
  </si>
  <si>
    <t>vendor.delta.190@gmail.com</t>
  </si>
  <si>
    <t>ACC-8107</t>
  </si>
  <si>
    <t>VND-0660</t>
  </si>
  <si>
    <t>Vendor Epsilon 774</t>
  </si>
  <si>
    <t>vendor.epsilon.774@vendor.com</t>
  </si>
  <si>
    <t>ACC-5937</t>
  </si>
  <si>
    <t>VND-0349</t>
  </si>
  <si>
    <t>vendor.omega.904@yahoo.com</t>
  </si>
  <si>
    <t>ACC-7868</t>
  </si>
  <si>
    <t>VND-0464</t>
  </si>
  <si>
    <t>Vendor Beta 257</t>
  </si>
  <si>
    <t>vendor.beta.257@outlook.com</t>
  </si>
  <si>
    <t>ACC-3100</t>
  </si>
  <si>
    <t>VND-0326</t>
  </si>
  <si>
    <t>Vendor Global 530</t>
  </si>
  <si>
    <t>vendor.global.530@yahoo.com</t>
  </si>
  <si>
    <t>ACC-5403</t>
  </si>
  <si>
    <t>VND-0187</t>
  </si>
  <si>
    <t>Vendor Gamma 921</t>
  </si>
  <si>
    <t>vendor.gamma.921@outlook.com</t>
  </si>
  <si>
    <t>ACC-2063</t>
  </si>
  <si>
    <t>VND-0124</t>
  </si>
  <si>
    <t>vendor.group.808@gmail.com</t>
  </si>
  <si>
    <t>ACC-3076</t>
  </si>
  <si>
    <t>VND-0836</t>
  </si>
  <si>
    <t>vendor.delta.602@outlook.com</t>
  </si>
  <si>
    <t>ACC-7395</t>
  </si>
  <si>
    <t>VND-0609</t>
  </si>
  <si>
    <t>Vendor Gamma 125</t>
  </si>
  <si>
    <t>vendor.gamma.125@corp.net</t>
  </si>
  <si>
    <t>ACC-4438</t>
  </si>
  <si>
    <t>VND-0144</t>
  </si>
  <si>
    <t>Vendor Solutions 428</t>
  </si>
  <si>
    <t>vendor.solutions.428@corp.net</t>
  </si>
  <si>
    <t>ACC-8538</t>
  </si>
  <si>
    <t>VND-0940</t>
  </si>
  <si>
    <t>Vendor Beta 845</t>
  </si>
  <si>
    <t>ACC-9043</t>
  </si>
  <si>
    <t>VND-0198</t>
  </si>
  <si>
    <t>Vendor Prime 476</t>
  </si>
  <si>
    <t>vendor.prime.476@outlook.com</t>
  </si>
  <si>
    <t>ACC-7532</t>
  </si>
  <si>
    <t>VND-0610</t>
  </si>
  <si>
    <t>Vendor Alpha 112</t>
  </si>
  <si>
    <t>vendor.alpha.112@vendor.com</t>
  </si>
  <si>
    <t>ACC-5705</t>
  </si>
  <si>
    <t>VND-0280</t>
  </si>
  <si>
    <t>Vendor Global 946</t>
  </si>
  <si>
    <t>vendor.global.946@corp.net</t>
  </si>
  <si>
    <t>ACC-2392</t>
  </si>
  <si>
    <t>VND-0294</t>
  </si>
  <si>
    <t>Vendor Gamma 323</t>
  </si>
  <si>
    <t>vendor.gamma.323@vendor.com</t>
  </si>
  <si>
    <t>ACC-3236</t>
  </si>
  <si>
    <t>VND-0401</t>
  </si>
  <si>
    <t>Vendor Omega 543</t>
  </si>
  <si>
    <t>vendor.omega.543@yahoo.com</t>
  </si>
  <si>
    <t>ACC-6614</t>
  </si>
  <si>
    <t>VND-0123</t>
  </si>
  <si>
    <t>Vendor Corp 149</t>
  </si>
  <si>
    <t>vendor.corp.149@gmail.com</t>
  </si>
  <si>
    <t>ACC-3159</t>
  </si>
  <si>
    <t>VND-0184</t>
  </si>
  <si>
    <t>Vendor Zeta 455</t>
  </si>
  <si>
    <t>vendor.zeta.455@vendor.com</t>
  </si>
  <si>
    <t>ACC-6150</t>
  </si>
  <si>
    <t>VND-0203</t>
  </si>
  <si>
    <t>vendor.omega.138@gmail.com</t>
  </si>
  <si>
    <t>ACC-7563</t>
  </si>
  <si>
    <t>VND-0439</t>
  </si>
  <si>
    <t>vendor.beta.780@corp.net</t>
  </si>
  <si>
    <t>ACC-5684</t>
  </si>
  <si>
    <t>VND-0247</t>
  </si>
  <si>
    <t>vendor.delta.824@yahoo.com</t>
  </si>
  <si>
    <t>ACC-6455</t>
  </si>
  <si>
    <t>VND-0416</t>
  </si>
  <si>
    <t>Vendor Services 104</t>
  </si>
  <si>
    <t>vendor.services.104@vendor.com</t>
  </si>
  <si>
    <t>ACC-1820</t>
  </si>
  <si>
    <t>VND-0762</t>
  </si>
  <si>
    <t>Vendor Zeta 874</t>
  </si>
  <si>
    <t>vendor.zeta.874@corp.net</t>
  </si>
  <si>
    <t>ACC-5965</t>
  </si>
  <si>
    <t>VND-0751</t>
  </si>
  <si>
    <t>Vendor Delta 418</t>
  </si>
  <si>
    <t>ACC-9515</t>
  </si>
  <si>
    <t>VND-0754</t>
  </si>
  <si>
    <t>Vendor Delta 878</t>
  </si>
  <si>
    <t>vendor.delta.878@gmail.com</t>
  </si>
  <si>
    <t>VND-0870</t>
  </si>
  <si>
    <t>Vendor Solutions 816</t>
  </si>
  <si>
    <t>vendor.solutions.816@corp.net</t>
  </si>
  <si>
    <t>ACC-2395</t>
  </si>
  <si>
    <t>VND-0130</t>
  </si>
  <si>
    <t>Vendor Ltd 234</t>
  </si>
  <si>
    <t>vendor.ltd.234@gmail.com</t>
  </si>
  <si>
    <t>ACC-6120</t>
  </si>
  <si>
    <t>VND-0638</t>
  </si>
  <si>
    <t>Vendor Tech 442</t>
  </si>
  <si>
    <t>vendor.tech.442@yahoo.com</t>
  </si>
  <si>
    <t>ACC-3835</t>
  </si>
  <si>
    <t>VND-0403</t>
  </si>
  <si>
    <t>Vendor Solutions 60</t>
  </si>
  <si>
    <t>vendor.solutions.60@yahoo.com</t>
  </si>
  <si>
    <t>ACC-9021</t>
  </si>
  <si>
    <t>Vendor Delta 936</t>
  </si>
  <si>
    <t>VND-0756</t>
  </si>
  <si>
    <t>Vendor Zeta 999</t>
  </si>
  <si>
    <t>vendor.zeta.999@yahoo.com</t>
  </si>
  <si>
    <t>ACC-7958</t>
  </si>
  <si>
    <t>VND-0895</t>
  </si>
  <si>
    <t>vendor.prime.324@gmail.com</t>
  </si>
  <si>
    <t>ACC-4696</t>
  </si>
  <si>
    <t>VND-0220</t>
  </si>
  <si>
    <t>Vendor Zeta 293</t>
  </si>
  <si>
    <t>vendor.zeta.293@corp.net</t>
  </si>
  <si>
    <t>ACC-4804</t>
  </si>
  <si>
    <t>VND-0642</t>
  </si>
  <si>
    <t>vendor.tech.592@corp.net</t>
  </si>
  <si>
    <t>ACC-5989</t>
  </si>
  <si>
    <t>VND-0897</t>
  </si>
  <si>
    <t>Vendor Group 25</t>
  </si>
  <si>
    <t>vendor.group.25@yahoo.com</t>
  </si>
  <si>
    <t>ACC-2766</t>
  </si>
  <si>
    <t>VND-0738</t>
  </si>
  <si>
    <t>Vendor Gamma 784</t>
  </si>
  <si>
    <t>vendor.gamma.784@outlook.com</t>
  </si>
  <si>
    <t>ACC-5447</t>
  </si>
  <si>
    <t>VND-0790</t>
  </si>
  <si>
    <t>Vendor Omega 949</t>
  </si>
  <si>
    <t>vendor.omega.949@outlook.com</t>
  </si>
  <si>
    <t>ACC-9295</t>
  </si>
  <si>
    <t>VND-0901</t>
  </si>
  <si>
    <t>vendor.corp.391@corp.net</t>
  </si>
  <si>
    <t>ACC-1173</t>
  </si>
  <si>
    <t>VND-0625</t>
  </si>
  <si>
    <t>Vendor Ltd 46</t>
  </si>
  <si>
    <t>vendor.ltd.46@vendor.com</t>
  </si>
  <si>
    <t>VND-0892</t>
  </si>
  <si>
    <t>Vendor Epsilon 956</t>
  </si>
  <si>
    <t>vendor.epsilon.956@yahoo.com</t>
  </si>
  <si>
    <t>ACC-1378</t>
  </si>
  <si>
    <t>VND-0746</t>
  </si>
  <si>
    <t>Vendor Alpha 773</t>
  </si>
  <si>
    <t>vendor.alpha.773@yahoo.com</t>
  </si>
  <si>
    <t>VND-0510</t>
  </si>
  <si>
    <t>Vendor Delta 769</t>
  </si>
  <si>
    <t>vendor.delta.769@corp.net</t>
  </si>
  <si>
    <t>ACC-1533</t>
  </si>
  <si>
    <t>VND-0268</t>
  </si>
  <si>
    <t>Vendor Beta 85</t>
  </si>
  <si>
    <t>vendor.beta.85@outlook.com</t>
  </si>
  <si>
    <t>ACC-6909</t>
  </si>
  <si>
    <t>VND-0803</t>
  </si>
  <si>
    <t>Vendor Tech 962</t>
  </si>
  <si>
    <t>vendor.tech.962@outlook.com</t>
  </si>
  <si>
    <t>VND-0442</t>
  </si>
  <si>
    <t>Vendor Beta 631</t>
  </si>
  <si>
    <t>vendor.beta.631@corp.net</t>
  </si>
  <si>
    <t>ACC-7371</t>
  </si>
  <si>
    <t>VND-0497</t>
  </si>
  <si>
    <t>Vendor Tech 59</t>
  </si>
  <si>
    <t>vendor.tech.59@gmail.com</t>
  </si>
  <si>
    <t>VND-0113</t>
  </si>
  <si>
    <t>Vendor Group 553</t>
  </si>
  <si>
    <t>vendor.group.553@outlook.com</t>
  </si>
  <si>
    <t>ACC-8894</t>
  </si>
  <si>
    <t>VND-0692</t>
  </si>
  <si>
    <t>Vendor Solutions 373</t>
  </si>
  <si>
    <t>vendor.solutions.373@vendor.com</t>
  </si>
  <si>
    <t>ACC-1709</t>
  </si>
  <si>
    <t>VND-0233</t>
  </si>
  <si>
    <t>Vendor Group 316</t>
  </si>
  <si>
    <t>vendor.group.316@corp.net</t>
  </si>
  <si>
    <t>ACC-2196</t>
  </si>
  <si>
    <t>VND-0852</t>
  </si>
  <si>
    <t>Vendor Omega 795</t>
  </si>
  <si>
    <t>vendor.omega.795@yahoo.com</t>
  </si>
  <si>
    <t>ACC-9527</t>
  </si>
  <si>
    <t>VND-0608</t>
  </si>
  <si>
    <t>VND-0672</t>
  </si>
  <si>
    <t>Vendor Epsilon 106</t>
  </si>
  <si>
    <t>vendor.epsilon.106@gmail.com</t>
  </si>
  <si>
    <t>ACC-9154</t>
  </si>
  <si>
    <t>VND-0374</t>
  </si>
  <si>
    <t>Vendor Omega 995</t>
  </si>
  <si>
    <t>vendor.omega.995@corp.net</t>
  </si>
  <si>
    <t>ACC-7858</t>
  </si>
  <si>
    <t>VND-0826</t>
  </si>
  <si>
    <t>Vendor Omega 120</t>
  </si>
  <si>
    <t>vendor.omega.120@vendor.com</t>
  </si>
  <si>
    <t>ACC-8974</t>
  </si>
  <si>
    <t>VND-0234</t>
  </si>
  <si>
    <t>Vendor Zeta 718</t>
  </si>
  <si>
    <t>vendor.zeta.718@gmail.com</t>
  </si>
  <si>
    <t>ACC-5703</t>
  </si>
  <si>
    <t>VND-0771</t>
  </si>
  <si>
    <t>vendor.corp.998@outlook.com</t>
  </si>
  <si>
    <t>ACC-1778</t>
  </si>
  <si>
    <t>VND-0677</t>
  </si>
  <si>
    <t>vendor.global.41@outlook.com</t>
  </si>
  <si>
    <t>ACC-8970</t>
  </si>
  <si>
    <t>VND-0318</t>
  </si>
  <si>
    <t>Vendor Omega 303</t>
  </si>
  <si>
    <t>vendor.omega.303@vendor.com</t>
  </si>
  <si>
    <t>ACC-2847</t>
  </si>
  <si>
    <t>VND-0649</t>
  </si>
  <si>
    <t>Vendor Corp 461</t>
  </si>
  <si>
    <t>vendor.corp.461@gmail.com</t>
  </si>
  <si>
    <t>ACC-9161</t>
  </si>
  <si>
    <t>VND-0411</t>
  </si>
  <si>
    <t>Vendor Beta 427</t>
  </si>
  <si>
    <t>vendor.beta.427@yahoo.com</t>
  </si>
  <si>
    <t>VND-0880</t>
  </si>
  <si>
    <t>Vendor Corp 652</t>
  </si>
  <si>
    <t>vendor.corp.652@corp.net</t>
  </si>
  <si>
    <t>VND-0710</t>
  </si>
  <si>
    <t>Vendor Solutions 434</t>
  </si>
  <si>
    <t>vendor.solutions.434@vendor.com</t>
  </si>
  <si>
    <t>ACC-9215</t>
  </si>
  <si>
    <t>VND-0359</t>
  </si>
  <si>
    <t>Vendor Gamma 162</t>
  </si>
  <si>
    <t>vendor.gamma.162@outlook.com</t>
  </si>
  <si>
    <t>ACC-3854</t>
  </si>
  <si>
    <t>VND-0259</t>
  </si>
  <si>
    <t>Vendor Group 407</t>
  </si>
  <si>
    <t>vendor.group.407@yahoo.com</t>
  </si>
  <si>
    <t>VND-0745</t>
  </si>
  <si>
    <t>Vendor Group 676</t>
  </si>
  <si>
    <t>vendor.group.676@gmail.com</t>
  </si>
  <si>
    <t>ACC-2085</t>
  </si>
  <si>
    <t>VND-0628</t>
  </si>
  <si>
    <t>Vendor Alpha 982</t>
  </si>
  <si>
    <t>vendor.alpha.982@outlook.com</t>
  </si>
  <si>
    <t>ACC-6218</t>
  </si>
  <si>
    <t>VND-0633</t>
  </si>
  <si>
    <t>Vendor Prime 318</t>
  </si>
  <si>
    <t>vendor.prime.318@yahoo.com</t>
  </si>
  <si>
    <t>ACC-4666</t>
  </si>
  <si>
    <t>VND-0283</t>
  </si>
  <si>
    <t>Vendor Omega 475</t>
  </si>
  <si>
    <t>vendor.omega.475@outlook.com</t>
  </si>
  <si>
    <t>ACC-1402</t>
  </si>
  <si>
    <t>VND-0377</t>
  </si>
  <si>
    <t>Vendor Omega 207</t>
  </si>
  <si>
    <t>vendor.omega.207@gmail.com</t>
  </si>
  <si>
    <t>ACC-2425</t>
  </si>
  <si>
    <t>VND-0385</t>
  </si>
  <si>
    <t>Vendor Epsilon 727</t>
  </si>
  <si>
    <t>vendor.epsilon.727@gmail.com</t>
  </si>
  <si>
    <t>ACC-3846</t>
  </si>
  <si>
    <t>VND-0225</t>
  </si>
  <si>
    <t>Vendor Zeta 89</t>
  </si>
  <si>
    <t>vendor.zeta.89@outlook.com</t>
  </si>
  <si>
    <t>ACC-5064</t>
  </si>
  <si>
    <t>VND-0935</t>
  </si>
  <si>
    <t>Vendor Solutions 567</t>
  </si>
  <si>
    <t>vendor.solutions.567@yahoo.com</t>
  </si>
  <si>
    <t>ACC-4260</t>
  </si>
  <si>
    <t>VND-0798</t>
  </si>
  <si>
    <t>Vendor Services 209</t>
  </si>
  <si>
    <t>vendor.services.209@vendor.com</t>
  </si>
  <si>
    <t>ACC-7259</t>
  </si>
  <si>
    <t>VND-0473</t>
  </si>
  <si>
    <t>Vendor Tech 972</t>
  </si>
  <si>
    <t>vendor.tech.972@outlook.com</t>
  </si>
  <si>
    <t>ACC-1662</t>
  </si>
  <si>
    <t>VND-0348</t>
  </si>
  <si>
    <t>Vendor Zeta 220</t>
  </si>
  <si>
    <t>vendor.zeta.220@corp.net</t>
  </si>
  <si>
    <t>ACC-5026</t>
  </si>
  <si>
    <t>VND-0506</t>
  </si>
  <si>
    <t>Vendor Global 954</t>
  </si>
  <si>
    <t>vendor.global.954@outlook.com</t>
  </si>
  <si>
    <t>ACC-3994</t>
  </si>
  <si>
    <t>VND-0640</t>
  </si>
  <si>
    <t>vendor.epsilon.979@vendor.com</t>
  </si>
  <si>
    <t>ACC-2007</t>
  </si>
  <si>
    <t>VND-0841</t>
  </si>
  <si>
    <t>Vendor Group 899</t>
  </si>
  <si>
    <t>vendor.group.899@gmail.com</t>
  </si>
  <si>
    <t>ACC-1826</t>
  </si>
  <si>
    <t>VND-0910</t>
  </si>
  <si>
    <t>Vendor Delta 478</t>
  </si>
  <si>
    <t>vendor.delta.478@yahoo.com</t>
  </si>
  <si>
    <t>ACC-7558</t>
  </si>
  <si>
    <t>VND-0887</t>
  </si>
  <si>
    <t>Vendor Alpha 914</t>
  </si>
  <si>
    <t>vendor.alpha.914@vendor.com</t>
  </si>
  <si>
    <t>ACC-6864</t>
  </si>
  <si>
    <t>VND-0620</t>
  </si>
  <si>
    <t>Vendor Beta 886</t>
  </si>
  <si>
    <t>vendor.beta.886@gmail.com</t>
  </si>
  <si>
    <t>ACC-5448</t>
  </si>
  <si>
    <t>VND-0838</t>
  </si>
  <si>
    <t>vendor.prime.133@vendor.com</t>
  </si>
  <si>
    <t>ACC-9089</t>
  </si>
  <si>
    <t>VND-0646</t>
  </si>
  <si>
    <t>Vendor Gamma 487</t>
  </si>
  <si>
    <t>vendor.gamma.487@yahoo.com</t>
  </si>
  <si>
    <t>ACC-5726</t>
  </si>
  <si>
    <t>VND-0830</t>
  </si>
  <si>
    <t>Vendor Omega 23</t>
  </si>
  <si>
    <t>vendor.omega.23@vendor.com</t>
  </si>
  <si>
    <t>ACC-1321</t>
  </si>
  <si>
    <t>VND-0557</t>
  </si>
  <si>
    <t>Vendor Services 237</t>
  </si>
  <si>
    <t>vendor.services.237@yahoo.com</t>
  </si>
  <si>
    <t>ACC-3931</t>
  </si>
  <si>
    <t>VND-0939</t>
  </si>
  <si>
    <t xml:space="preserve">  Vendor Tech 962  </t>
  </si>
  <si>
    <t>vendor.tech.962@yahoo.com</t>
  </si>
  <si>
    <t>ACC-1121</t>
  </si>
  <si>
    <t>VND-0578</t>
  </si>
  <si>
    <t>Vendor Prime 638</t>
  </si>
  <si>
    <t>vendor.prime.638@corp.net</t>
  </si>
  <si>
    <t>ACC-9631</t>
  </si>
  <si>
    <t>VND-0086</t>
  </si>
  <si>
    <t>Vendor Prime 706</t>
  </si>
  <si>
    <t>vendor.prime.706@corp.net</t>
  </si>
  <si>
    <t>ACC-9090</t>
  </si>
  <si>
    <t>VND-0243</t>
  </si>
  <si>
    <t>Vendor Prime 49</t>
  </si>
  <si>
    <t>vendor.prime.49@vendor.com</t>
  </si>
  <si>
    <t>ACC-7688</t>
  </si>
  <si>
    <t>VND-0699</t>
  </si>
  <si>
    <t>Vendor Tech 928</t>
  </si>
  <si>
    <t>vendor.tech.928@vendor.com</t>
  </si>
  <si>
    <t>ACC-9548</t>
  </si>
  <si>
    <t>VND-0160</t>
  </si>
  <si>
    <t>Vendor Epsilon 865</t>
  </si>
  <si>
    <t>vendor.epsilon.865@outlook.com</t>
  </si>
  <si>
    <t>VND-0525</t>
  </si>
  <si>
    <t>vendor.omega.106@gmail.com</t>
  </si>
  <si>
    <t>ACC-1431</t>
  </si>
  <si>
    <t>VND-0036</t>
  </si>
  <si>
    <t>Vendor Beta 968</t>
  </si>
  <si>
    <t>vendor.beta.968@corp.net</t>
  </si>
  <si>
    <t>ACC-3426</t>
  </si>
  <si>
    <t>VND-0541</t>
  </si>
  <si>
    <t>Vendor Group 97</t>
  </si>
  <si>
    <t>vendor.group.97@outlook.com</t>
  </si>
  <si>
    <t>ACC-6293</t>
  </si>
  <si>
    <t>VND-0171</t>
  </si>
  <si>
    <t>Vendor Global 589</t>
  </si>
  <si>
    <t>vendor.global.589@corp.net</t>
  </si>
  <si>
    <t>ACC-6780</t>
  </si>
  <si>
    <t>VND-0655</t>
  </si>
  <si>
    <t>Vendor Gamma 587</t>
  </si>
  <si>
    <t>vendor.gamma.587@vendor.com</t>
  </si>
  <si>
    <t>ACC-2351</t>
  </si>
  <si>
    <t>VND-0899</t>
  </si>
  <si>
    <t>Vendor Prime 593</t>
  </si>
  <si>
    <t>vendor.prime.593@outlook.com</t>
  </si>
  <si>
    <t>ACC-2065</t>
  </si>
  <si>
    <t>VND-0840</t>
  </si>
  <si>
    <t>Vendor Zeta 441</t>
  </si>
  <si>
    <t>vendor.zeta.441@outlook.com</t>
  </si>
  <si>
    <t>VND-0831</t>
  </si>
  <si>
    <t>Vendor Delta 207</t>
  </si>
  <si>
    <t>vendor.delta.207@outlook.com</t>
  </si>
  <si>
    <t>VND-0926</t>
  </si>
  <si>
    <t>vendor.ltd.234@yahoo.com</t>
  </si>
  <si>
    <t>ACC-6468</t>
  </si>
  <si>
    <t>VND-0734</t>
  </si>
  <si>
    <t>Vendor Ltd 705</t>
  </si>
  <si>
    <t>vendor.ltd.705@gmail.com</t>
  </si>
  <si>
    <t>ACC-6927</t>
  </si>
  <si>
    <t>VND-0096</t>
  </si>
  <si>
    <t>ACC-7798</t>
  </si>
  <si>
    <t>VND-0564</t>
  </si>
  <si>
    <t>Vendor Prime 365</t>
  </si>
  <si>
    <t>vendor.prime.365@outlook.com</t>
  </si>
  <si>
    <t>ACC-5920</t>
  </si>
  <si>
    <t>VND-0241</t>
  </si>
  <si>
    <t>Vendor Gamma 516</t>
  </si>
  <si>
    <t>vendor.gamma.516@corp.net</t>
  </si>
  <si>
    <t>ACC-6253</t>
  </si>
  <si>
    <t>VND-0743</t>
  </si>
  <si>
    <t xml:space="preserve">  Vendor Gamma 878  </t>
  </si>
  <si>
    <t>vendor.gamma.878@yahoo.com</t>
  </si>
  <si>
    <t>ACC-3133</t>
  </si>
  <si>
    <t>VND-0575</t>
  </si>
  <si>
    <t>Vendor Alpha 947</t>
  </si>
  <si>
    <t>vendor.alpha.947@gmail.com</t>
  </si>
  <si>
    <t>ACC-2841</t>
  </si>
  <si>
    <t>VND-0691</t>
  </si>
  <si>
    <t>Vendor Delta 116</t>
  </si>
  <si>
    <t>vendor.delta.116@yahoo.com</t>
  </si>
  <si>
    <t>ACC-3617</t>
  </si>
  <si>
    <t>VND-0461</t>
  </si>
  <si>
    <t>Vendor Alpha 587</t>
  </si>
  <si>
    <t>vendor.alpha.587@yahoo.com</t>
  </si>
  <si>
    <t>ACC-6633</t>
  </si>
  <si>
    <t>VND-0554</t>
  </si>
  <si>
    <t>Vendor Tech 719</t>
  </si>
  <si>
    <t>vendor.tech.719@gmail.com</t>
  </si>
  <si>
    <t>ACC-1214</t>
  </si>
  <si>
    <t>VND-0393</t>
  </si>
  <si>
    <t>vendor.solutions.609@gmail.com</t>
  </si>
  <si>
    <t>ACC-6509</t>
  </si>
  <si>
    <t>VND-0795</t>
  </si>
  <si>
    <t>Vendor Gamma 403</t>
  </si>
  <si>
    <t>vendor.gamma.403@gmail.com</t>
  </si>
  <si>
    <t>ACC-4747</t>
  </si>
  <si>
    <t>VND-0398</t>
  </si>
  <si>
    <t>Vendor Corp 674</t>
  </si>
  <si>
    <t>vendor.corp.674@outlook.com</t>
  </si>
  <si>
    <t>ACC-3999</t>
  </si>
  <si>
    <t>VND-0767</t>
  </si>
  <si>
    <t>Vendor Epsilon 607</t>
  </si>
  <si>
    <t>vendor.epsilon.607@outlook.com</t>
  </si>
  <si>
    <t>ACC-3781</t>
  </si>
  <si>
    <t>VND-0929</t>
  </si>
  <si>
    <t>Vendor Global 780</t>
  </si>
  <si>
    <t>ACC-4829</t>
  </si>
  <si>
    <t>VND-0218</t>
  </si>
  <si>
    <t>Vendor Solutions 927</t>
  </si>
  <si>
    <t>ACC-6411</t>
  </si>
  <si>
    <t xml:space="preserve">  Vendor Services 471  </t>
  </si>
  <si>
    <t>VND-0769</t>
  </si>
  <si>
    <t>Vendor Alpha 325</t>
  </si>
  <si>
    <t>ACC-4373</t>
  </si>
  <si>
    <t>VND-0643</t>
  </si>
  <si>
    <t>Vendor Ltd 353</t>
  </si>
  <si>
    <t>vendor.ltd.353@yahoo.com</t>
  </si>
  <si>
    <t>ACC-5819</t>
  </si>
  <si>
    <t>VND-0879</t>
  </si>
  <si>
    <t>Vendor Epsilon 568</t>
  </si>
  <si>
    <t>vendor.epsilon.568@corp.net</t>
  </si>
  <si>
    <t>ACC-7664</t>
  </si>
  <si>
    <t>VND-0613</t>
  </si>
  <si>
    <t>Vendor Group 121</t>
  </si>
  <si>
    <t>vendor.group.121@gmail.com</t>
  </si>
  <si>
    <t>VND-0739</t>
  </si>
  <si>
    <t>Vendor Global 594</t>
  </si>
  <si>
    <t>vendor.global.594@outlook.com</t>
  </si>
  <si>
    <t>ACC-7111</t>
  </si>
  <si>
    <t>VND-0547</t>
  </si>
  <si>
    <t>Vendor Delta 22</t>
  </si>
  <si>
    <t>vendor.delta.22@gmail.com</t>
  </si>
  <si>
    <t>ACC-8951</t>
  </si>
  <si>
    <t>VND-0726</t>
  </si>
  <si>
    <t>Vendor Solutions 981</t>
  </si>
  <si>
    <t>vendor.solutions.981@corp.net</t>
  </si>
  <si>
    <t>VND-0684</t>
  </si>
  <si>
    <t>Vendor Beta 701</t>
  </si>
  <si>
    <t>vendor.beta.701@corp.net</t>
  </si>
  <si>
    <t>ACC-3841</t>
  </si>
  <si>
    <t>VND-0805</t>
  </si>
  <si>
    <t>Vendor Prime 953</t>
  </si>
  <si>
    <t>vendor.prime.953@corp.net</t>
  </si>
  <si>
    <t>ACC-8093</t>
  </si>
  <si>
    <t>VND-0728</t>
  </si>
  <si>
    <t>Vendor Zeta 316</t>
  </si>
  <si>
    <t>vendor.zeta.316@vendor.com</t>
  </si>
  <si>
    <t>ACC-8249</t>
  </si>
  <si>
    <t>VND-0574</t>
  </si>
  <si>
    <t>Vendor Zeta 609</t>
  </si>
  <si>
    <t>vendor.zeta.609@corp.net</t>
  </si>
  <si>
    <t>ACC-8245</t>
  </si>
  <si>
    <t>VND-0407</t>
  </si>
  <si>
    <t>Vendor Corp 47</t>
  </si>
  <si>
    <t>vendor.corp.47@corp.net</t>
  </si>
  <si>
    <t>ACC-6535</t>
  </si>
  <si>
    <t>VND-0503</t>
  </si>
  <si>
    <t>Vendor Tech 496</t>
  </si>
  <si>
    <t>vendor.tech.496@vendor.com</t>
  </si>
  <si>
    <t>ACC-1448</t>
  </si>
  <si>
    <t>VND-0048</t>
  </si>
  <si>
    <t>Vendor Prime 692</t>
  </si>
  <si>
    <t>vendor.prime.692@gmail.com</t>
  </si>
  <si>
    <t>ACC-5649</t>
  </si>
  <si>
    <t>VND-0033</t>
  </si>
  <si>
    <t>Vendor Epsilon 119</t>
  </si>
  <si>
    <t>vendor.epsilon.119@corp.net</t>
  </si>
  <si>
    <t>ACC-4450</t>
  </si>
  <si>
    <t>VND-0780</t>
  </si>
  <si>
    <t>Vendor Epsilon 809</t>
  </si>
  <si>
    <t>vendor.epsilon.809@gmail.com</t>
  </si>
  <si>
    <t>ACC-8960</t>
  </si>
  <si>
    <t>VND-0201</t>
  </si>
  <si>
    <t>Vendor Prime 528</t>
  </si>
  <si>
    <t>vendor.prime.528@gmail.com</t>
  </si>
  <si>
    <t>ACC-7442</t>
  </si>
  <si>
    <t>VND-0135</t>
  </si>
  <si>
    <t>Vendor Tech 232</t>
  </si>
  <si>
    <t>vendor.tech.232@outlook.com</t>
  </si>
  <si>
    <t>ACC-1474</t>
  </si>
  <si>
    <t>VND-0028</t>
  </si>
  <si>
    <t>Vendor Corp 241</t>
  </si>
  <si>
    <t>vendor.corp.241@corp.net</t>
  </si>
  <si>
    <t>ACC-1651</t>
  </si>
  <si>
    <t>VND-0883</t>
  </si>
  <si>
    <t xml:space="preserve">  Vendor Gamma 757  </t>
  </si>
  <si>
    <t>vendor.gamma.757@gmail.com</t>
  </si>
  <si>
    <t>ACC-3288</t>
  </si>
  <si>
    <t>VND-0231</t>
  </si>
  <si>
    <t>Vendor Global 154</t>
  </si>
  <si>
    <t>vendor.global.154@yahoo.com</t>
  </si>
  <si>
    <t>ACC-9008</t>
  </si>
  <si>
    <t>VND-0490</t>
  </si>
  <si>
    <t>Vendor Global 121</t>
  </si>
  <si>
    <t>vendor.global.121@outlook.com</t>
  </si>
  <si>
    <t>ACC-7698</t>
  </si>
  <si>
    <t>VND-0773</t>
  </si>
  <si>
    <t>Vendor Tech 821</t>
  </si>
  <si>
    <t>vendor.tech.821@outlook.com</t>
  </si>
  <si>
    <t>ACC-9268</t>
  </si>
  <si>
    <t>VND-0379</t>
  </si>
  <si>
    <t>Vendor Omega 154</t>
  </si>
  <si>
    <t>vendor.omega.154@corp.net</t>
  </si>
  <si>
    <t>VND-0289</t>
  </si>
  <si>
    <t>vendor.group.816@outlook.com</t>
  </si>
  <si>
    <t>ACC-4228</t>
  </si>
  <si>
    <t>VND-0419</t>
  </si>
  <si>
    <t>Vendor Corp 351</t>
  </si>
  <si>
    <t>vendor.corp.351@vendor.com</t>
  </si>
  <si>
    <t>ACC-8835</t>
  </si>
  <si>
    <t>VND-0675</t>
  </si>
  <si>
    <t>Vendor Services 838</t>
  </si>
  <si>
    <t>vendor.services.838@outlook.com</t>
  </si>
  <si>
    <t>VND-0392</t>
  </si>
  <si>
    <t>vendor.delta.478@gmail.com</t>
  </si>
  <si>
    <t>ACC-1120</t>
  </si>
  <si>
    <t>VND-0593</t>
  </si>
  <si>
    <t>Vendor Solutions 208</t>
  </si>
  <si>
    <t>vendor.solutions.208@vendor.com</t>
  </si>
  <si>
    <t>ACC-6323</t>
  </si>
  <si>
    <t>VND-0499</t>
  </si>
  <si>
    <t>vendor.solutions.1@vendor.com</t>
  </si>
  <si>
    <t>VND-0139</t>
  </si>
  <si>
    <t>Vendor Beta 279</t>
  </si>
  <si>
    <t>vendor.beta.279@outlook.com</t>
  </si>
  <si>
    <t>ACC-4531</t>
  </si>
  <si>
    <t>VND-0063</t>
  </si>
  <si>
    <t>Vendor Delta 860</t>
  </si>
  <si>
    <t>vendor.delta.860@gmail.com</t>
  </si>
  <si>
    <t>ACC-4571</t>
  </si>
  <si>
    <t>VND-0472</t>
  </si>
  <si>
    <t>Vendor Zeta 515</t>
  </si>
  <si>
    <t>vendor.zeta.515@yahoo.com</t>
  </si>
  <si>
    <t>ACC-8310</t>
  </si>
  <si>
    <t>VND-0648</t>
  </si>
  <si>
    <t>Vendor Solutions 826</t>
  </si>
  <si>
    <t>vendor.solutions.826@yahoo.com</t>
  </si>
  <si>
    <t>ACC-8444</t>
  </si>
  <si>
    <t>VND-0129</t>
  </si>
  <si>
    <t>Vendor Global 620</t>
  </si>
  <si>
    <t>vendor.global.620@corp.net</t>
  </si>
  <si>
    <t>ACC-4522</t>
  </si>
  <si>
    <t>VND-0521</t>
  </si>
  <si>
    <t>Vendor Prime 911</t>
  </si>
  <si>
    <t>vendor.prime.911@yahoo.com</t>
  </si>
  <si>
    <t>ACC-3745</t>
  </si>
  <si>
    <t>VND-0839</t>
  </si>
  <si>
    <t>Vendor Delta 571</t>
  </si>
  <si>
    <t>vendor.delta.571@yahoo.com</t>
  </si>
  <si>
    <t>ACC-3862</t>
  </si>
  <si>
    <t>VND-0944</t>
  </si>
  <si>
    <t>Vendor Group 567</t>
  </si>
  <si>
    <t>vendor.group.567@outlook.com</t>
  </si>
  <si>
    <t>ACC-7719</t>
  </si>
  <si>
    <t>VND-0813</t>
  </si>
  <si>
    <t>Vendor Corp 725</t>
  </si>
  <si>
    <t>vendor.corp.725@gmail.com</t>
  </si>
  <si>
    <t>ACC-6397</t>
  </si>
  <si>
    <t>VND-0157</t>
  </si>
  <si>
    <t>Vendor Solutions 716</t>
  </si>
  <si>
    <t>vendor.solutions.716@corp.net</t>
  </si>
  <si>
    <t>ACC-7171</t>
  </si>
  <si>
    <t>VND-0041</t>
  </si>
  <si>
    <t>Vendor Solutions 198</t>
  </si>
  <si>
    <t>vendor.solutions.198@outlook.com</t>
  </si>
  <si>
    <t>ACC-9346</t>
  </si>
  <si>
    <t>VND-0493</t>
  </si>
  <si>
    <t>Vendor Tech 353</t>
  </si>
  <si>
    <t>vendor.tech.353@gmail.com</t>
  </si>
  <si>
    <t>VND-0380</t>
  </si>
  <si>
    <t>vendor.ltd.353@corp.net</t>
  </si>
  <si>
    <t>ACC-8750</t>
  </si>
  <si>
    <t>VND-0188</t>
  </si>
  <si>
    <t>Vendor Corp 162</t>
  </si>
  <si>
    <t>vendor.corp.162@corp.net</t>
  </si>
  <si>
    <t>ACC-4673</t>
  </si>
  <si>
    <t>VND-0764</t>
  </si>
  <si>
    <t>Vendor Global 875</t>
  </si>
  <si>
    <t>vendor.global.875@corp.net</t>
  </si>
  <si>
    <t>ACC-7189</t>
  </si>
  <si>
    <t>VND-0217</t>
  </si>
  <si>
    <t>Vendor Delta 848</t>
  </si>
  <si>
    <t>vendor.delta.848@gmail.com</t>
  </si>
  <si>
    <t>VND-0792</t>
  </si>
  <si>
    <t>Vendor Prime 811</t>
  </si>
  <si>
    <t>vendor.prime.811@outlook.com</t>
  </si>
  <si>
    <t>VND-0053</t>
  </si>
  <si>
    <t>Vendor Corp 737</t>
  </si>
  <si>
    <t>vendor.corp.737@vendor.com</t>
  </si>
  <si>
    <t>ACC-8373</t>
  </si>
  <si>
    <t>VND-0338</t>
  </si>
  <si>
    <t>Vendor Corp 404</t>
  </si>
  <si>
    <t>vendor.corp.404@yahoo.com</t>
  </si>
  <si>
    <t>ACC-4879</t>
  </si>
  <si>
    <t>VND-0749</t>
  </si>
  <si>
    <t>Vendor Ltd 773</t>
  </si>
  <si>
    <t>vendor.ltd.773@corp.net</t>
  </si>
  <si>
    <t>ACC-8777</t>
  </si>
  <si>
    <t>VND-0720</t>
  </si>
  <si>
    <t>Vendor Gamma 452</t>
  </si>
  <si>
    <t>vendor.gamma.452@outlook.com</t>
  </si>
  <si>
    <t>VND-0725</t>
  </si>
  <si>
    <t>Vendor Tech 657</t>
  </si>
  <si>
    <t>vendor.tech.657@gmail.com</t>
  </si>
  <si>
    <t>ACC-2369</t>
  </si>
  <si>
    <t>VND-0296</t>
  </si>
  <si>
    <t>Vendor Tech 32</t>
  </si>
  <si>
    <t>ACC-9808</t>
  </si>
  <si>
    <t>VND-0702</t>
  </si>
  <si>
    <t>Vendor Group 517</t>
  </si>
  <si>
    <t>vendor.group.517@gmail.com</t>
  </si>
  <si>
    <t>ACC-8412</t>
  </si>
  <si>
    <t>VND-0252</t>
  </si>
  <si>
    <t>Vendor Delta 338</t>
  </si>
  <si>
    <t>vendor.delta.338@corp.net</t>
  </si>
  <si>
    <t>ACC-6530</t>
  </si>
  <si>
    <t>VND-0727</t>
  </si>
  <si>
    <t>Vendor Zeta 408</t>
  </si>
  <si>
    <t>vendor.zeta.408@outlook.com</t>
  </si>
  <si>
    <t>ACC-1199</t>
  </si>
  <si>
    <t>VND-0462</t>
  </si>
  <si>
    <t>Vendor Ltd 662</t>
  </si>
  <si>
    <t>vendor.ltd.662@corp.net</t>
  </si>
  <si>
    <t>ACC-5140</t>
  </si>
  <si>
    <t>VND-0456</t>
  </si>
  <si>
    <t>Vendor Alpha 183</t>
  </si>
  <si>
    <t>vendor.alpha.183@vendor.com</t>
  </si>
  <si>
    <t>ACC-7357</t>
  </si>
  <si>
    <t>VND-0816</t>
  </si>
  <si>
    <t>Vendor Alpha 873</t>
  </si>
  <si>
    <t>vendor.alpha.873@yahoo.com</t>
  </si>
  <si>
    <t>ACC-2975</t>
  </si>
  <si>
    <t>VND-0863</t>
  </si>
  <si>
    <t>Vendor Services 161</t>
  </si>
  <si>
    <t>vendor.services.161@vendor.com</t>
  </si>
  <si>
    <t>ACC-2807</t>
  </si>
  <si>
    <t>VND-0270</t>
  </si>
  <si>
    <t>Vendor Prime 571</t>
  </si>
  <si>
    <t>vendor.prime.571@outlook.com</t>
  </si>
  <si>
    <t>VND-0202</t>
  </si>
  <si>
    <t>Vendor Delta 598</t>
  </si>
  <si>
    <t>vendor.delta.598@vendor.com</t>
  </si>
  <si>
    <t>ACC-5681</t>
  </si>
  <si>
    <t>VND-0162</t>
  </si>
  <si>
    <t>Vendor Services 244</t>
  </si>
  <si>
    <t>vendor.services.244@corp.net</t>
  </si>
  <si>
    <t>ACC-4918</t>
  </si>
  <si>
    <t>VND-0556</t>
  </si>
  <si>
    <t>Vendor Alpha 844</t>
  </si>
  <si>
    <t>vendor.alpha.844@gmail.com</t>
  </si>
  <si>
    <t>ACC-4537</t>
  </si>
  <si>
    <t>VND-0730</t>
  </si>
  <si>
    <t>Vendor Epsilon 487</t>
  </si>
  <si>
    <t>vendor.epsilon.487@vendor.com</t>
  </si>
  <si>
    <t>ACC-2449</t>
  </si>
  <si>
    <t>VND-0402</t>
  </si>
  <si>
    <t>Vendor Ltd 929</t>
  </si>
  <si>
    <t>vendor.ltd.929@vendor.com</t>
  </si>
  <si>
    <t>ACC-6449</t>
  </si>
  <si>
    <t>VND-0703</t>
  </si>
  <si>
    <t>Vendor Beta 572</t>
  </si>
  <si>
    <t>vendor.beta.572@yahoo.com</t>
  </si>
  <si>
    <t>ACC-6872</t>
  </si>
  <si>
    <t>VND-0477</t>
  </si>
  <si>
    <t>Vendor Omega 362</t>
  </si>
  <si>
    <t>vendor.omega.362@gmail.com</t>
  </si>
  <si>
    <t>ACC-9222</t>
  </si>
  <si>
    <t>VND-0822</t>
  </si>
  <si>
    <t>Vendor Global 111</t>
  </si>
  <si>
    <t>vendor.global.111@corp.net</t>
  </si>
  <si>
    <t>ACC-5151</t>
  </si>
  <si>
    <t>VND-0772</t>
  </si>
  <si>
    <t>Vendor Omega 824</t>
  </si>
  <si>
    <t>vendor.omega.824@gmail.com</t>
  </si>
  <si>
    <t>ACC-6518</t>
  </si>
  <si>
    <t>VND-0106</t>
  </si>
  <si>
    <t>Vendor Solutions 247</t>
  </si>
  <si>
    <t>vendor.solutions.247@outlook.com</t>
  </si>
  <si>
    <t>ACC-8529</t>
  </si>
  <si>
    <t>VND-0566</t>
  </si>
  <si>
    <t>Vendor Solutions 308</t>
  </si>
  <si>
    <t>vendor.solutions.308@gmail.com</t>
  </si>
  <si>
    <t>ACC-6478</t>
  </si>
  <si>
    <t>VND-0390</t>
  </si>
  <si>
    <t>Vendor Omega 526</t>
  </si>
  <si>
    <t>vendor.omega.526@yahoo.com</t>
  </si>
  <si>
    <t>ACC-3837</t>
  </si>
  <si>
    <t>VND-0002</t>
  </si>
  <si>
    <t>Vendor Omega 33</t>
  </si>
  <si>
    <t>vendor.omega.33@gmail.com</t>
  </si>
  <si>
    <t>ACC-4257</t>
  </si>
  <si>
    <t>VND-0919</t>
  </si>
  <si>
    <t>Vendor Group 680</t>
  </si>
  <si>
    <t>vendor.group.680@corp.net</t>
  </si>
  <si>
    <t>ACC-7131</t>
  </si>
  <si>
    <t xml:space="preserve">  Vendor Global 894  </t>
  </si>
  <si>
    <t>VND-0562</t>
  </si>
  <si>
    <t>Vendor Tech 17</t>
  </si>
  <si>
    <t>vendor.tech.17@outlook.com</t>
  </si>
  <si>
    <t>ACC-4635</t>
  </si>
  <si>
    <t>VND-0081</t>
  </si>
  <si>
    <t>vendor.omega.462@corp.net</t>
  </si>
  <si>
    <t>ACC-1986</t>
  </si>
  <si>
    <t>VND-0206</t>
  </si>
  <si>
    <t>Vendor Alpha 47</t>
  </si>
  <si>
    <t>vendor.alpha.47@vendor.com</t>
  </si>
  <si>
    <t>VND-0035</t>
  </si>
  <si>
    <t>Vendor Alpha 342</t>
  </si>
  <si>
    <t>vendor.alpha.342@vendor.com</t>
  </si>
  <si>
    <t>ACC-8007</t>
  </si>
  <si>
    <t>VND-0776</t>
  </si>
  <si>
    <t>Vendor Services 642</t>
  </si>
  <si>
    <t>vendor.services.642@yahoo.com</t>
  </si>
  <si>
    <t>ACC-3465</t>
  </si>
  <si>
    <t>VND-0509</t>
  </si>
  <si>
    <t>Vendor Zeta 636</t>
  </si>
  <si>
    <t>vendor.zeta.636@yahoo.com</t>
  </si>
  <si>
    <t>ACC-9374</t>
  </si>
  <si>
    <t>VND-0428</t>
  </si>
  <si>
    <t>Vendor Global 1</t>
  </si>
  <si>
    <t>vendor.global.1@corp.net</t>
  </si>
  <si>
    <t>ACC-4389</t>
  </si>
  <si>
    <t>VND-0455</t>
  </si>
  <si>
    <t>Vendor Corp 963</t>
  </si>
  <si>
    <t>vendor.corp.963@outlook.com</t>
  </si>
  <si>
    <t>ACC-1620</t>
  </si>
  <si>
    <t>VND-0367</t>
  </si>
  <si>
    <t>Vendor Tech 629</t>
  </si>
  <si>
    <t>vendor.tech.629@vendor.com</t>
  </si>
  <si>
    <t>ACC-3573</t>
  </si>
  <si>
    <t>VND-0092</t>
  </si>
  <si>
    <t>Vendor Alpha 193</t>
  </si>
  <si>
    <t>vendor.alpha.193@vendor.com</t>
  </si>
  <si>
    <t>ACC-1845</t>
  </si>
  <si>
    <t>VND-0340</t>
  </si>
  <si>
    <t>Vendor Delta 140</t>
  </si>
  <si>
    <t>ACC-8365</t>
  </si>
  <si>
    <t>VND-0898</t>
  </si>
  <si>
    <t>Vendor Zeta 853</t>
  </si>
  <si>
    <t>vendor.zeta.853@corp.net</t>
  </si>
  <si>
    <t>ACC-8184</t>
  </si>
  <si>
    <t>VND-0565</t>
  </si>
  <si>
    <t>Vendor Omega 583</t>
  </si>
  <si>
    <t>vendor.omega.583@yahoo.com</t>
  </si>
  <si>
    <t>ACC-8999</t>
  </si>
  <si>
    <t>VND-0777</t>
  </si>
  <si>
    <t>Vendor Omega 327</t>
  </si>
  <si>
    <t>vendor.omega.327@outlook.com</t>
  </si>
  <si>
    <t>ACC-5702</t>
  </si>
  <si>
    <t>VND-0242</t>
  </si>
  <si>
    <t>Vendor Ltd 147</t>
  </si>
  <si>
    <t>vendor.ltd.147@gmail.com</t>
  </si>
  <si>
    <t>ACC-3869</t>
  </si>
  <si>
    <t>VND-0014</t>
  </si>
  <si>
    <t xml:space="preserve">  Vendor Epsilon 862  </t>
  </si>
  <si>
    <t>vendor.epsilon.862@yahoo.com</t>
  </si>
  <si>
    <t>VND-0316</t>
  </si>
  <si>
    <t xml:space="preserve">  Vendor Tech 748  </t>
  </si>
  <si>
    <t>vendor.tech.748@yahoo.com</t>
  </si>
  <si>
    <t>ACC-5537</t>
  </si>
  <si>
    <t>VND-0601</t>
  </si>
  <si>
    <t>Vendor Global 390</t>
  </si>
  <si>
    <t>vendor.global.390@yahoo.com</t>
  </si>
  <si>
    <t>ACC-3656</t>
  </si>
  <si>
    <t>VND-0388</t>
  </si>
  <si>
    <t>Vendor Tech 565</t>
  </si>
  <si>
    <t>vendor.tech.565@gmail.com</t>
  </si>
  <si>
    <t>ACC-5670</t>
  </si>
  <si>
    <t>VND-0274</t>
  </si>
  <si>
    <t>Vendor Gamma 312</t>
  </si>
  <si>
    <t>vendor.gamma.312@vendor.com</t>
  </si>
  <si>
    <t>ACC-6484</t>
  </si>
  <si>
    <t>VND-0167</t>
  </si>
  <si>
    <t>Vendor Zeta 242</t>
  </si>
  <si>
    <t>vendor.zeta.242@gmail.com</t>
  </si>
  <si>
    <t>ACC-6493</t>
  </si>
  <si>
    <t>vendor.omega.242@corp.net</t>
  </si>
  <si>
    <t>VND-0647</t>
  </si>
  <si>
    <t>Vendor Alpha 74</t>
  </si>
  <si>
    <t>vendor.alpha.74@vendor.com</t>
  </si>
  <si>
    <t>ACC-3224</t>
  </si>
  <si>
    <t>VND-0819</t>
  </si>
  <si>
    <t>Vendor Solutions 437</t>
  </si>
  <si>
    <t>vendor.solutions.437@yahoo.com</t>
  </si>
  <si>
    <t>ACC-3540</t>
  </si>
  <si>
    <t>VND-0485</t>
  </si>
  <si>
    <t>Vendor Delta 536</t>
  </si>
  <si>
    <t>vendor.delta.536@gmail.com</t>
  </si>
  <si>
    <t>ACC-3906</t>
  </si>
  <si>
    <t>VND-0505</t>
  </si>
  <si>
    <t>Vendor Global 549</t>
  </si>
  <si>
    <t>vendor.global.549@gmail.com</t>
  </si>
  <si>
    <t>ACC-7536</t>
  </si>
  <si>
    <t>VND-0832</t>
  </si>
  <si>
    <t>Vendor Corp 731</t>
  </si>
  <si>
    <t>vendor.corp.731@vendor.com</t>
  </si>
  <si>
    <t>ACC-7548</t>
  </si>
  <si>
    <t>VND-0244</t>
  </si>
  <si>
    <t>Vendor Omega 189</t>
  </si>
  <si>
    <t>vendor.omega.189@yahoo.com</t>
  </si>
  <si>
    <t>ACC-8586</t>
  </si>
  <si>
    <t>VND-0567</t>
  </si>
  <si>
    <t>Vendor Omega 953</t>
  </si>
  <si>
    <t>vendor.omega.953@corp.net</t>
  </si>
  <si>
    <t>VND-0876</t>
  </si>
  <si>
    <t>Vendor Alpha 731</t>
  </si>
  <si>
    <t>vendor.alpha.731@vendor.com</t>
  </si>
  <si>
    <t>ACC-6311</t>
  </si>
  <si>
    <t>VND-0563</t>
  </si>
  <si>
    <t>Vendor Alpha 791</t>
  </si>
  <si>
    <t>vendor.alpha.791@corp.net</t>
  </si>
  <si>
    <t>ACC-3534</t>
  </si>
  <si>
    <t>VND-0687</t>
  </si>
  <si>
    <t>Vendor Alpha 184</t>
  </si>
  <si>
    <t>vendor.alpha.184@vendor.com</t>
  </si>
  <si>
    <t>ACC-3079</t>
  </si>
  <si>
    <t>VND-0190</t>
  </si>
  <si>
    <t>Vendor Gamma 627</t>
  </si>
  <si>
    <t>vendor.gamma.627@vendor.com</t>
  </si>
  <si>
    <t>ACC-7708</t>
  </si>
  <si>
    <t>VND-0783</t>
  </si>
  <si>
    <t>Vendor Ltd 93</t>
  </si>
  <si>
    <t>vendor.ltd.93@corp.net</t>
  </si>
  <si>
    <t>ACC-7388</t>
  </si>
  <si>
    <t>VND-0700</t>
  </si>
  <si>
    <t>Vendor Tech 485</t>
  </si>
  <si>
    <t>vendor.tech.485@yahoo.com</t>
  </si>
  <si>
    <t>VND-0476</t>
  </si>
  <si>
    <t>Vendor Solutions 388</t>
  </si>
  <si>
    <t>vendor.solutions.388@outlook.com</t>
  </si>
  <si>
    <t>ACC-7165</t>
  </si>
  <si>
    <t>VND-0682</t>
  </si>
  <si>
    <t>Vendor Gamma 648</t>
  </si>
  <si>
    <t>vendor.gamma.648@corp.net</t>
  </si>
  <si>
    <t>ACC-3796</t>
  </si>
  <si>
    <t>VND-0511</t>
  </si>
  <si>
    <t>vendor.corp.703@corp.net</t>
  </si>
  <si>
    <t>ACC-8537</t>
  </si>
  <si>
    <t>VND-0059</t>
  </si>
  <si>
    <t>Vendor Epsilon 447</t>
  </si>
  <si>
    <t>vendor.epsilon.447@vendor.com</t>
  </si>
  <si>
    <t>ACC-3091</t>
  </si>
  <si>
    <t>VND-0475</t>
  </si>
  <si>
    <t>Vendor Ltd 48</t>
  </si>
  <si>
    <t>vendor.ltd.48@outlook.com</t>
  </si>
  <si>
    <t>ACC-5314</t>
  </si>
  <si>
    <t>VND-0561</t>
  </si>
  <si>
    <t>Vendor Group 564</t>
  </si>
  <si>
    <t>vendor.group.564@vendor.com</t>
  </si>
  <si>
    <t>ACC-1003</t>
  </si>
  <si>
    <t>VND-0857</t>
  </si>
  <si>
    <t>Vendor Solutions 804</t>
  </si>
  <si>
    <t>vendor.solutions.804@vendor.com</t>
  </si>
  <si>
    <t>ACC-9514</t>
  </si>
  <si>
    <t>VND-0748</t>
  </si>
  <si>
    <t xml:space="preserve">  Vendor Tech 70  </t>
  </si>
  <si>
    <t>vendor.tech.70@yahoo.com</t>
  </si>
  <si>
    <t>ACC-4138</t>
  </si>
  <si>
    <t>VND-0253</t>
  </si>
  <si>
    <t>Vendor Services 658</t>
  </si>
  <si>
    <t>vendor.services.658@yahoo.com</t>
  </si>
  <si>
    <t>ACC-9954</t>
  </si>
  <si>
    <t>VND-0022</t>
  </si>
  <si>
    <t>Vendor Zeta 820</t>
  </si>
  <si>
    <t>vendor.zeta.820@vendor.com</t>
  </si>
  <si>
    <t>ACC-3296</t>
  </si>
  <si>
    <t>VND-0314</t>
  </si>
  <si>
    <t>Vendor Solutions 694</t>
  </si>
  <si>
    <t>vendor.solutions.694@yahoo.com</t>
  </si>
  <si>
    <t>ACC-8210</t>
  </si>
  <si>
    <t>VND-0460</t>
  </si>
  <si>
    <t>Vendor Gamma 306</t>
  </si>
  <si>
    <t>vendor.gamma.306@corp.net</t>
  </si>
  <si>
    <t>ACC-3316</t>
  </si>
  <si>
    <t>VND-0161</t>
  </si>
  <si>
    <t>Vendor Gamma 186</t>
  </si>
  <si>
    <t>vendor.gamma.186@gmail.com</t>
  </si>
  <si>
    <t>ACC-7731</t>
  </si>
  <si>
    <t>VND-0277</t>
  </si>
  <si>
    <t>Vendor Beta 955</t>
  </si>
  <si>
    <t>vendor.beta.955@corp.net</t>
  </si>
  <si>
    <t>VND-0192</t>
  </si>
  <si>
    <t>Vendor Global 933</t>
  </si>
  <si>
    <t>vendor.global.933@outlook.com</t>
  </si>
  <si>
    <t>ACC-3697</t>
  </si>
  <si>
    <t>VND-0386</t>
  </si>
  <si>
    <t>Vendor Corp 60</t>
  </si>
  <si>
    <t>vendor.corp.60@yahoo.com</t>
  </si>
  <si>
    <t>ACC-5488</t>
  </si>
  <si>
    <t>VND-0806</t>
  </si>
  <si>
    <t>Vendor Beta 321</t>
  </si>
  <si>
    <t>vendor.beta.321@vendor.com</t>
  </si>
  <si>
    <t>VND-0414</t>
  </si>
  <si>
    <t>ACC-6416</t>
  </si>
  <si>
    <t>VND-0492</t>
  </si>
  <si>
    <t>ACC-8925</t>
  </si>
  <si>
    <t>VND-0344</t>
  </si>
  <si>
    <t>Vendor Global 767</t>
  </si>
  <si>
    <t>vendor.global.767@gmail.com</t>
  </si>
  <si>
    <t>ACC-1195</t>
  </si>
  <si>
    <t>VND-0770</t>
  </si>
  <si>
    <t>Vendor Global 831</t>
  </si>
  <si>
    <t>vendor.global.831@vendor.com</t>
  </si>
  <si>
    <t>ACC-4305</t>
  </si>
  <si>
    <t>VND-0309</t>
  </si>
  <si>
    <t>ACC-3604</t>
  </si>
  <si>
    <t>VND-0662</t>
  </si>
  <si>
    <t>Vendor Epsilon 950</t>
  </si>
  <si>
    <t>vendor.epsilon.950@gmail.com</t>
  </si>
  <si>
    <t>ACC-2595</t>
  </si>
  <si>
    <t>VND-0131</t>
  </si>
  <si>
    <t>Vendor Solutions 262</t>
  </si>
  <si>
    <t>vendor.solutions.262@gmail.com</t>
  </si>
  <si>
    <t>ACC-2398</t>
  </si>
  <si>
    <t>VND-0664</t>
  </si>
  <si>
    <t>Vendor Group 692</t>
  </si>
  <si>
    <t>VND-0872</t>
  </si>
  <si>
    <t>Vendor Solutions 959</t>
  </si>
  <si>
    <t>vendor.solutions.959@yahoo.com</t>
  </si>
  <si>
    <t>ACC-8278</t>
  </si>
  <si>
    <t>VND-0100</t>
  </si>
  <si>
    <t>Vendor Global 989</t>
  </si>
  <si>
    <t>vendor.global.989@corp.net</t>
  </si>
  <si>
    <t>ACC-8486</t>
  </si>
  <si>
    <t>VND-0373</t>
  </si>
  <si>
    <t>Vendor Prime 270</t>
  </si>
  <si>
    <t>vendor.prime.270@gmail.com</t>
  </si>
  <si>
    <t>ACC-2404</t>
  </si>
  <si>
    <t>VND-0088</t>
  </si>
  <si>
    <t>Vendor Corp 276</t>
  </si>
  <si>
    <t>vendor.corp.276@corp.net</t>
  </si>
  <si>
    <t>VND-0459</t>
  </si>
  <si>
    <t>Vendor Omega 842</t>
  </si>
  <si>
    <t>vendor.omega.842@yahoo.com</t>
  </si>
  <si>
    <t>ACC-7406</t>
  </si>
  <si>
    <t>VND-0331</t>
  </si>
  <si>
    <t>vendor.omega.938@outlook.com</t>
  </si>
  <si>
    <t>ACC-2956</t>
  </si>
  <si>
    <t>VND-0215</t>
  </si>
  <si>
    <t>Vendor Global 957</t>
  </si>
  <si>
    <t>vendor.global.957@corp.net</t>
  </si>
  <si>
    <t>ACC-7220</t>
  </si>
  <si>
    <t>VND-0467</t>
  </si>
  <si>
    <t>Vendor Services 657</t>
  </si>
  <si>
    <t>vendor.services.657@outlook.com</t>
  </si>
  <si>
    <t>ACC-8863</t>
  </si>
  <si>
    <t>VND-0122</t>
  </si>
  <si>
    <t>Vendor Delta 71</t>
  </si>
  <si>
    <t>vendor.delta.71@outlook.com</t>
  </si>
  <si>
    <t>ACC-3417</t>
  </si>
  <si>
    <t>VND-0615</t>
  </si>
  <si>
    <t>Vendor Global 332</t>
  </si>
  <si>
    <t>vendor.global.332@vendor.com</t>
  </si>
  <si>
    <t>ACC-1477</t>
  </si>
  <si>
    <t>VND-0021</t>
  </si>
  <si>
    <t>Vendor Beta 675</t>
  </si>
  <si>
    <t>vendor.beta.675@gmail.com</t>
  </si>
  <si>
    <t>ACC-1993</t>
  </si>
  <si>
    <t>VND-0701</t>
  </si>
  <si>
    <t>Vendor Delta 914</t>
  </si>
  <si>
    <t>vendor.delta.914@gmail.com</t>
  </si>
  <si>
    <t>ACC-1656</t>
  </si>
  <si>
    <t>VND-0072</t>
  </si>
  <si>
    <t>Vendor Delta 738</t>
  </si>
  <si>
    <t>vendor.delta.738@vendor.com</t>
  </si>
  <si>
    <t>ACC-9041</t>
  </si>
  <si>
    <t>VND-0107</t>
  </si>
  <si>
    <t>Vendor Alpha 921</t>
  </si>
  <si>
    <t>vendor.alpha.921@vendor.com</t>
  </si>
  <si>
    <t>ACC-6661</t>
  </si>
  <si>
    <t>VND-0271</t>
  </si>
  <si>
    <t>Vendor Alpha 299</t>
  </si>
  <si>
    <t>vendor.alpha.299@corp.net</t>
  </si>
  <si>
    <t>ACC-3778</t>
  </si>
  <si>
    <t>VND-0861</t>
  </si>
  <si>
    <t>Vendor Services 954</t>
  </si>
  <si>
    <t>vendor.services.954@corp.net</t>
  </si>
  <si>
    <t>ACC-3082</t>
  </si>
  <si>
    <t>VND-0436</t>
  </si>
  <si>
    <t>Vendor Tech 938</t>
  </si>
  <si>
    <t>vendor.tech.938@outlook.com</t>
  </si>
  <si>
    <t>ACC-8419</t>
  </si>
  <si>
    <t>VND-0103</t>
  </si>
  <si>
    <t>Vendor Beta 241</t>
  </si>
  <si>
    <t>vendor.beta.241@vendor.com</t>
  </si>
  <si>
    <t>ACC-2612</t>
  </si>
  <si>
    <t>Validation_Status</t>
  </si>
  <si>
    <t>Issues_Found</t>
  </si>
  <si>
    <t>Action_Taken</t>
  </si>
  <si>
    <t>Valid_Category</t>
  </si>
  <si>
    <t>Valid_Status</t>
  </si>
  <si>
    <t>Expected_Region</t>
  </si>
  <si>
    <t>Issue_ID</t>
  </si>
  <si>
    <t>Row_Number</t>
  </si>
  <si>
    <t>Issue_Type</t>
  </si>
  <si>
    <t>Duplicate Vendor_ID</t>
  </si>
  <si>
    <t>Missing Vendor_Name</t>
  </si>
  <si>
    <t>Spaces in Vendor_Name</t>
  </si>
  <si>
    <t>Invalid Category</t>
  </si>
  <si>
    <t>Invalid Status</t>
  </si>
  <si>
    <t>Missing Contact_Email</t>
  </si>
  <si>
    <t>Invalid Email Format</t>
  </si>
  <si>
    <t>Missing Account_Code</t>
  </si>
  <si>
    <t>Missing Region</t>
  </si>
  <si>
    <t>Region Mismatch</t>
  </si>
  <si>
    <t>Missing Last_Updated</t>
  </si>
  <si>
    <t>Total Issues</t>
  </si>
  <si>
    <t>Count</t>
  </si>
  <si>
    <t>email_valid</t>
  </si>
  <si>
    <t>Vendor Beta 516</t>
  </si>
  <si>
    <t/>
  </si>
  <si>
    <t>Vendor Gamma 308</t>
  </si>
  <si>
    <t>Vendor Prime 503</t>
  </si>
  <si>
    <t>Vendor Zeta 883</t>
  </si>
  <si>
    <t>Vendor Epsilon 243</t>
  </si>
  <si>
    <t>Vendor Corp 19</t>
  </si>
  <si>
    <t>Vendor Epsilon 70</t>
  </si>
  <si>
    <t>Vendor Alpha 688</t>
  </si>
  <si>
    <t>Vendor Gamma 878</t>
  </si>
  <si>
    <t>Vendor Gamma 757</t>
  </si>
  <si>
    <t>Vendor Epsilon 862</t>
  </si>
  <si>
    <t>Vendor Tech 748</t>
  </si>
  <si>
    <t>Vendor Tech 70</t>
  </si>
  <si>
    <t>Missing Verified_by</t>
  </si>
  <si>
    <t>Flagged for Review</t>
  </si>
  <si>
    <t>Dataset: Vendor Master Data — 1000 Records</t>
  </si>
  <si>
    <t>Total Records Received</t>
  </si>
  <si>
    <t>Final Clean Records</t>
  </si>
  <si>
    <t>Total Issues Found</t>
  </si>
  <si>
    <t>Data Quality Score</t>
  </si>
  <si>
    <t>Issue Summary</t>
  </si>
  <si>
    <t>Issue Type</t>
  </si>
  <si>
    <t>Resolved</t>
  </si>
  <si>
    <t>Pending</t>
  </si>
  <si>
    <t>Issues Resolved by Analyst</t>
  </si>
  <si>
    <t>Pending Business Input</t>
  </si>
  <si>
    <t>Total Records</t>
  </si>
  <si>
    <t>Clean Records</t>
  </si>
  <si>
    <t>Flagged Records</t>
  </si>
  <si>
    <t>Data Quality Improvement</t>
  </si>
  <si>
    <t>Validated by: Sushma Date: 01/06/2026</t>
  </si>
  <si>
    <t>Recommended Actions</t>
  </si>
  <si>
    <t>Action Required</t>
  </si>
  <si>
    <t>Priority</t>
  </si>
  <si>
    <t>Obtain missing vendor names from business</t>
  </si>
  <si>
    <t>High</t>
  </si>
  <si>
    <t>Verify and update missing contact emails</t>
  </si>
  <si>
    <t>Assign verifiers to 179 unverified records</t>
  </si>
  <si>
    <t>Medium</t>
  </si>
  <si>
    <t>Obtain missing account codes</t>
  </si>
  <si>
    <t>Update Last_Updated for inactive records</t>
  </si>
  <si>
    <t>Low</t>
  </si>
  <si>
    <t>Recommended Action</t>
  </si>
  <si>
    <t>Vendor Master Data - Quality Validation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</si>
</sst>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2.5"/>
      <color theme="2"/>
      <name val="Calibri"/>
      <family val="2"/>
      <scheme val="minor"/>
    </font>
    <font>
      <sz val="12.5"/>
      <color theme="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5098C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13" fillId="33" borderId="0" xfId="0" applyFont="1" applyFill="1"/>
    <xf numFmtId="0" fontId="19" fillId="33" borderId="0" xfId="0" applyFont="1" applyFill="1" applyAlignment="1">
      <alignment horizontal="center" vertical="center"/>
    </xf>
    <xf numFmtId="0" fontId="18" fillId="33" borderId="0" xfId="0" applyFont="1" applyFill="1"/>
    <xf numFmtId="0" fontId="13" fillId="33" borderId="0" xfId="0" applyFont="1" applyFill="1" applyAlignment="1">
      <alignment horizontal="center"/>
    </xf>
    <xf numFmtId="9" fontId="0" fillId="0" borderId="0" xfId="0" applyNumberFormat="1"/>
    <xf numFmtId="0" fontId="13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1" fillId="35" borderId="0" xfId="0" applyFont="1" applyFill="1" applyAlignment="1">
      <alignment horizontal="center" vertical="top"/>
    </xf>
    <xf numFmtId="0" fontId="13" fillId="35" borderId="0" xfId="0" applyFont="1" applyFill="1" applyAlignment="1">
      <alignment horizontal="center" vertical="top"/>
    </xf>
    <xf numFmtId="0" fontId="0" fillId="35" borderId="0" xfId="0" applyFill="1" applyAlignment="1">
      <alignment horizontal="center" vertical="top"/>
    </xf>
    <xf numFmtId="10" fontId="21" fillId="35" borderId="0" xfId="42" applyNumberFormat="1" applyFont="1" applyFill="1" applyAlignment="1">
      <alignment horizontal="center" vertical="top"/>
    </xf>
    <xf numFmtId="0" fontId="24" fillId="37" borderId="10" xfId="0" applyFont="1" applyFill="1" applyBorder="1"/>
    <xf numFmtId="0" fontId="23" fillId="38" borderId="10" xfId="0" applyFont="1" applyFill="1" applyBorder="1" applyAlignment="1">
      <alignment vertical="center" wrapText="1"/>
    </xf>
    <xf numFmtId="0" fontId="24" fillId="34" borderId="10" xfId="0" applyFont="1" applyFill="1" applyBorder="1" applyAlignment="1">
      <alignment vertical="center" wrapText="1"/>
    </xf>
    <xf numFmtId="0" fontId="25" fillId="39" borderId="11" xfId="0" applyFont="1" applyFill="1" applyBorder="1"/>
    <xf numFmtId="0" fontId="25" fillId="39" borderId="10" xfId="0" applyFont="1" applyFill="1" applyBorder="1" applyAlignment="1">
      <alignment horizontal="left"/>
    </xf>
    <xf numFmtId="0" fontId="25" fillId="39" borderId="16" xfId="0" applyFont="1" applyFill="1" applyBorder="1"/>
    <xf numFmtId="0" fontId="25" fillId="39" borderId="17" xfId="0" applyFont="1" applyFill="1" applyBorder="1" applyAlignment="1">
      <alignment horizontal="left"/>
    </xf>
    <xf numFmtId="0" fontId="25" fillId="34" borderId="13" xfId="0" applyFont="1" applyFill="1" applyBorder="1"/>
    <xf numFmtId="0" fontId="25" fillId="34" borderId="14" xfId="0" applyFont="1" applyFill="1" applyBorder="1"/>
    <xf numFmtId="0" fontId="25" fillId="34" borderId="15" xfId="0" applyFont="1" applyFill="1" applyBorder="1"/>
    <xf numFmtId="0" fontId="25" fillId="0" borderId="12" xfId="0" applyFont="1" applyBorder="1"/>
    <xf numFmtId="0" fontId="25" fillId="0" borderId="18" xfId="0" applyFont="1" applyBorder="1"/>
    <xf numFmtId="0" fontId="20" fillId="36" borderId="0" xfId="0" applyFont="1" applyFill="1" applyAlignment="1">
      <alignment horizontal="center"/>
    </xf>
    <xf numFmtId="0" fontId="20" fillId="36" borderId="19" xfId="0" applyFont="1" applyFill="1" applyBorder="1" applyAlignment="1">
      <alignment horizontal="center"/>
    </xf>
    <xf numFmtId="0" fontId="22" fillId="36" borderId="19" xfId="0" applyFont="1" applyFill="1" applyBorder="1" applyAlignment="1">
      <alignment horizontal="center"/>
    </xf>
    <xf numFmtId="0" fontId="24" fillId="34" borderId="10" xfId="0" applyFont="1" applyFill="1" applyBorder="1" applyAlignment="1">
      <alignment vertical="center" wrapText="1"/>
    </xf>
    <xf numFmtId="0" fontId="24" fillId="39" borderId="10" xfId="0" applyFont="1" applyFill="1" applyBorder="1" applyAlignment="1">
      <alignment vertical="center" wrapText="1"/>
    </xf>
    <xf numFmtId="0" fontId="21" fillId="34" borderId="0" xfId="0" applyFont="1" applyFill="1" applyAlignment="1">
      <alignment horizontal="center"/>
    </xf>
    <xf numFmtId="0" fontId="17" fillId="34" borderId="0" xfId="0" applyFont="1" applyFill="1" applyAlignment="1">
      <alignment horizontal="center"/>
    </xf>
    <xf numFmtId="0" fontId="24" fillId="37" borderId="12" xfId="0" applyFont="1" applyFill="1" applyBorder="1" applyAlignment="1">
      <alignment horizontal="left"/>
    </xf>
    <xf numFmtId="0" fontId="24" fillId="37" borderId="11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theme="0"/>
      </font>
      <fill>
        <patternFill>
          <bgColor rgb="FFFF000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7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92D050"/>
        </patternFill>
      </fill>
      <border>
        <left/>
        <right/>
        <top/>
        <bottom/>
        <vertical/>
        <horizontal/>
      </border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.5"/>
        <color theme="2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.5"/>
        <color theme="2"/>
        <name val="Calibri"/>
        <family val="2"/>
        <scheme val="minor"/>
      </font>
      <fill>
        <patternFill patternType="solid">
          <fgColor indexed="64"/>
          <bgColor rgb="FF5098C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.5"/>
        <color theme="2"/>
        <name val="Calibri"/>
        <family val="2"/>
        <scheme val="minor"/>
      </font>
      <fill>
        <patternFill patternType="solid">
          <fgColor indexed="64"/>
          <bgColor rgb="FF5098C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.5"/>
        <color theme="1"/>
        <name val="Calibri"/>
        <family val="2"/>
        <scheme val="minor"/>
      </font>
      <fill>
        <patternFill>
          <fgColor indexed="64"/>
          <bgColor rgb="FF1F4E79"/>
        </patternFill>
      </fill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F4E79"/>
      <color rgb="FF5098C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Resolution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C0-425F-8521-3AFB463D7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CE-4EE6-B533-1EEF1519910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summary_dashboard!$B$55:$B$56</c:f>
              <c:strCache>
                <c:ptCount val="2"/>
                <c:pt idx="0">
                  <c:v>Issues Resolved by Analyst</c:v>
                </c:pt>
                <c:pt idx="1">
                  <c:v>Pending Business Input</c:v>
                </c:pt>
              </c:strCache>
            </c:strRef>
          </c:cat>
          <c:val>
            <c:numRef>
              <c:f>summary_dashboard!$C$55:$C$56</c:f>
              <c:numCache>
                <c:formatCode>General</c:formatCode>
                <c:ptCount val="2"/>
                <c:pt idx="0">
                  <c:v>192</c:v>
                </c:pt>
                <c:pt idx="1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0-425F-8521-3AFB463D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0000">
          <a:schemeClr val="tx2">
            <a:lumMod val="20000"/>
            <a:lumOff val="80000"/>
          </a:schemeClr>
        </a:gs>
        <a:gs pos="73000">
          <a:schemeClr val="tx2">
            <a:lumMod val="40000"/>
            <a:lumOff val="60000"/>
          </a:schemeClr>
        </a:gs>
        <a:gs pos="100000">
          <a:schemeClr val="tx2">
            <a:lumMod val="60000"/>
            <a:lumOff val="4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800"/>
              <a:t>R</a:t>
            </a:r>
          </a:p>
        </c:rich>
      </c:tx>
      <c:layout>
        <c:manualLayout>
          <c:xMode val="edge"/>
          <c:yMode val="edge"/>
          <c:x val="0.96210499626723767"/>
          <c:y val="0.94372326540657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27000">
                    <a:schemeClr val="accent1">
                      <a:lumMod val="60000"/>
                      <a:lumOff val="40000"/>
                    </a:schemeClr>
                  </a:gs>
                  <a:gs pos="59000">
                    <a:schemeClr val="accent1">
                      <a:lumMod val="75000"/>
                    </a:schemeClr>
                  </a:gs>
                  <a:gs pos="83000">
                    <a:schemeClr val="accent1">
                      <a:lumMod val="50000"/>
                    </a:schemeClr>
                  </a:gs>
                  <a:gs pos="100000">
                    <a:schemeClr val="accent1">
                      <a:lumMod val="5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97-47F7-98D6-0BBDB510E1E1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37000">
                    <a:schemeClr val="accent6">
                      <a:lumMod val="60000"/>
                      <a:lumOff val="40000"/>
                    </a:schemeClr>
                  </a:gs>
                  <a:gs pos="72000">
                    <a:schemeClr val="accent6">
                      <a:lumMod val="75000"/>
                    </a:schemeClr>
                  </a:gs>
                  <a:gs pos="100000">
                    <a:schemeClr val="accent6">
                      <a:lumMod val="5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297-47F7-98D6-0BBDB510E1E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20000">
                    <a:srgbClr val="FF7C80"/>
                  </a:gs>
                  <a:gs pos="73000">
                    <a:srgbClr val="FF0000"/>
                  </a:gs>
                  <a:gs pos="100000">
                    <a:srgbClr val="C00000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297-47F7-98D6-0BBDB510E1E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9AEDB92-DC13-46A9-8431-7872959D0809}" type="VALUE">
                      <a:rPr lang="en-US" sz="800" b="1">
                        <a:solidFill>
                          <a:srgbClr val="00206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297-47F7-98D6-0BBDB510E1E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71F6E2-1A3D-46A2-803D-71138713A6EF}" type="VALUE">
                      <a:rPr lang="en-US" b="1">
                        <a:solidFill>
                          <a:schemeClr val="accent6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297-47F7-98D6-0BBDB510E1E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EDDBF0-44AF-40B2-BF49-A5A7DDD44E62}" type="VALUE">
                      <a:rPr lang="en-US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297-47F7-98D6-0BBDB510E1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summary_dashboard!$B$57:$B$59</c:f>
              <c:strCache>
                <c:ptCount val="3"/>
                <c:pt idx="0">
                  <c:v>Total Records</c:v>
                </c:pt>
                <c:pt idx="1">
                  <c:v>Clean Records</c:v>
                </c:pt>
                <c:pt idx="2">
                  <c:v>Flagged Records</c:v>
                </c:pt>
              </c:strCache>
            </c:strRef>
          </c:cat>
          <c:val>
            <c:numRef>
              <c:f>summary_dashboard!$C$57:$C$59</c:f>
              <c:numCache>
                <c:formatCode>General</c:formatCode>
                <c:ptCount val="3"/>
                <c:pt idx="0">
                  <c:v>950</c:v>
                </c:pt>
                <c:pt idx="1">
                  <c:v>715</c:v>
                </c:pt>
                <c:pt idx="2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7-47F7-98D6-0BBDB510E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47169616"/>
        <c:axId val="647153776"/>
      </c:barChart>
      <c:catAx>
        <c:axId val="64716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53776"/>
        <c:crosses val="autoZero"/>
        <c:auto val="1"/>
        <c:lblAlgn val="ctr"/>
        <c:lblOffset val="100"/>
        <c:noMultiLvlLbl val="0"/>
      </c:catAx>
      <c:valAx>
        <c:axId val="647153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16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20000">
          <a:schemeClr val="tx2">
            <a:lumMod val="20000"/>
            <a:lumOff val="80000"/>
          </a:schemeClr>
        </a:gs>
        <a:gs pos="73000">
          <a:schemeClr val="tx2">
            <a:lumMod val="40000"/>
            <a:lumOff val="60000"/>
          </a:schemeClr>
        </a:gs>
        <a:gs pos="100000">
          <a:schemeClr val="tx2">
            <a:lumMod val="60000"/>
            <a:lumOff val="4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6</xdr:row>
      <xdr:rowOff>23815</xdr:rowOff>
    </xdr:from>
    <xdr:to>
      <xdr:col>7</xdr:col>
      <xdr:colOff>2066925</xdr:colOff>
      <xdr:row>18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C0F946-D204-8242-C8BD-643B20CCC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18</xdr:row>
      <xdr:rowOff>47626</xdr:rowOff>
    </xdr:from>
    <xdr:to>
      <xdr:col>7</xdr:col>
      <xdr:colOff>2057400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F379D0-496E-DDD6-DF09-73B4CC3FB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0.2898</cdr:x>
      <cdr:y>0.04221</cdr:y>
    </cdr:from>
    <cdr:to>
      <cdr:x>0.69767</cdr:x>
      <cdr:y>0.13961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20CF7C-5E6E-22A6-B847-D10DBACEC39C}"/>
            </a:ext>
          </a:extLst>
        </cdr:cNvPr>
        <cdr:cNvSpPr txBox="1"/>
      </cdr:nvSpPr>
      <cdr:spPr>
        <a:xfrm xmlns:a="http://schemas.openxmlformats.org/drawingml/2006/main">
          <a:off x="1543050" y="123824"/>
          <a:ext cx="21717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400" b="1" kern="1200">
              <a:solidFill>
                <a:schemeClr val="tx1">
                  <a:lumMod val="65000"/>
                  <a:lumOff val="35000"/>
                </a:schemeClr>
              </a:solidFill>
            </a:rPr>
            <a:t>Record Status Breakdown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D10A2-C971-4191-A496-2D11AA30AF23}" name="Table1" displayName="Table1" ref="A1:Q951" totalsRowShown="0" headerRowDxfId="24">
  <autoFilter ref="A1:Q951" xr:uid="{5F3D10A2-C971-4191-A496-2D11AA30AF23}"/>
  <tableColumns count="17">
    <tableColumn id="1" xr3:uid="{3E9C8FDA-8391-494E-B89B-F957C46270BF}" name="Vendor_ID"/>
    <tableColumn id="2" xr3:uid="{ED09F6B2-09B4-4785-98E7-DED772F37479}" name="Vendor_Name"/>
    <tableColumn id="3" xr3:uid="{D508EC21-36B2-455D-A7F7-F7FEBA686F9C}" name="Category"/>
    <tableColumn id="4" xr3:uid="{2BD7309E-C73E-41A5-83F4-A57696407ACA}" name="Country"/>
    <tableColumn id="5" xr3:uid="{AC66E0D0-D50D-4275-B097-97D5129336DA}" name="Region"/>
    <tableColumn id="6" xr3:uid="{E7ECFD51-701C-4B67-97A8-E32A1BE2574C}" name="Status"/>
    <tableColumn id="7" xr3:uid="{6B02F815-E8E0-4198-9D51-45F5A5BC5C2D}" name="Onboarding_Date" dataDxfId="23"/>
    <tableColumn id="8" xr3:uid="{60EC964C-ECDF-414E-85AB-267F98654146}" name="Last_Updated" dataDxfId="22"/>
    <tableColumn id="9" xr3:uid="{C4789C63-D57A-4606-BD61-9E36E78DFD65}" name="Contact_Email"/>
    <tableColumn id="10" xr3:uid="{2DB66D80-7FEB-4C84-BDB8-720A2726BA51}" name="Account_Code"/>
    <tableColumn id="11" xr3:uid="{2BD5B955-A8E0-46E5-B969-EFA8A51EB51D}" name="Data_Source"/>
    <tableColumn id="12" xr3:uid="{BC4B4B92-3085-4715-9979-6108ED28036C}" name="Verified_By"/>
    <tableColumn id="13" xr3:uid="{1FBFCF30-944E-4175-AF5E-CD64DEF39CB1}" name="Record_Status"/>
    <tableColumn id="14" xr3:uid="{CA5F4A65-D658-4721-A1B7-1D39154E9748}" name="Validation_Status" dataDxfId="21">
      <calculatedColumnFormula>IF(OR(B2="",H2="",I2="",J2="",L2="",Q2="Invalid"),"Flagged","Clean")</calculatedColumnFormula>
    </tableColumn>
    <tableColumn id="15" xr3:uid="{7A79C7E6-927A-40F9-B31C-30652AEA47FE}" name="Issues_Found" dataDxfId="20">
      <calculatedColumnFormula>TRIM(IF(B2="","Missing Vendor_Name ","")&amp;IF(I2="","Missing Contact_Email ","")&amp;IF(J2="","Missing Account_Code ","")&amp;IF(L2="","Missing Verified_By ","")&amp;IF(Q2="Invalid","Invalid Email Format ","")&amp;IF(H2="","Missing Last_Updated ",""))</calculatedColumnFormula>
    </tableColumn>
    <tableColumn id="16" xr3:uid="{E666765E-0B63-4BB3-AA91-644667C413DB}" name="Action_Taken" dataDxfId="19">
      <calculatedColumnFormula>IF(N2="Clean","Clean","Flagged for Review")</calculatedColumnFormula>
    </tableColumn>
    <tableColumn id="21" xr3:uid="{21D02089-AB54-4EF8-92DE-2500BC872CC4}" name="email_valid" dataDxfId="18">
      <calculatedColumnFormula>IF(I2="","Blank",IF(ISERROR(FIND("@",I2&amp;"")),"Invalid",IF(FIND("@",I2&amp;"")&lt;2,"Invalid",IF(LEN(I2&amp;"")-FIND("@",I2&amp;"")&lt;4,"Invalid","Valid"))))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9B7AB-B164-4BB4-A153-1D12267A8219}" name="Table2" displayName="Table2" ref="A1:M951" totalsRowShown="0" headerRowDxfId="17">
  <autoFilter ref="A1:M951" xr:uid="{0BC9B7AB-B164-4BB4-A153-1D12267A8219}">
    <filterColumn colId="12">
      <filters>
        <filter val="Clean"/>
      </filters>
    </filterColumn>
  </autoFilter>
  <tableColumns count="13">
    <tableColumn id="1" xr3:uid="{BEC40033-B9F4-4774-B029-56D7D0044F1F}" name="Vendor_ID"/>
    <tableColumn id="2" xr3:uid="{A44034C7-280C-43B1-9C53-2CC04F9D7865}" name="Vendor_Name"/>
    <tableColumn id="3" xr3:uid="{A3F26D31-51BB-4275-97BE-F244BB39F600}" name="Category"/>
    <tableColumn id="4" xr3:uid="{32D36AD9-1C76-4D27-A508-87689176F318}" name="Country"/>
    <tableColumn id="5" xr3:uid="{A4CC7D89-EBEE-40C8-8FBF-DB55C2E465F3}" name="Region"/>
    <tableColumn id="6" xr3:uid="{AFE82306-18EE-44A1-88D3-F0818DC1D386}" name="Status"/>
    <tableColumn id="7" xr3:uid="{D4684CCA-502F-4088-AB39-44DE3A26078D}" name="Onboarding_Date"/>
    <tableColumn id="8" xr3:uid="{420CA2FA-655A-4662-B8C7-F3004F72FD2D}" name="Last_Updated"/>
    <tableColumn id="9" xr3:uid="{83BF6832-7C5B-46E8-967D-5843A56D003C}" name="Contact_Email"/>
    <tableColumn id="10" xr3:uid="{25BB971B-A20C-4B63-9B29-8B0169704C3A}" name="Account_Code"/>
    <tableColumn id="11" xr3:uid="{A43D49FE-81FA-43DB-BF34-FA99B41A780A}" name="Data_Source"/>
    <tableColumn id="12" xr3:uid="{8F86E0FB-6128-44BE-A25D-6AF3E7CD8E40}" name="Verified_By"/>
    <tableColumn id="13" xr3:uid="{697B6013-9FD6-4541-AD17-6DE696CFF731}" name="Record_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B84C5E-4A17-451B-9DC4-869EFF8A75B0}" name="Table5" displayName="Table5" ref="B8:D20" totalsRowShown="0" headerRowDxfId="16" dataDxfId="14" headerRowBorderDxfId="15" totalsRowBorderDxfId="13">
  <autoFilter ref="B8:D20" xr:uid="{63B84C5E-4A17-451B-9DC4-869EFF8A75B0}">
    <filterColumn colId="0" hiddenButton="1"/>
    <filterColumn colId="1" hiddenButton="1"/>
    <filterColumn colId="2" hiddenButton="1"/>
  </autoFilter>
  <tableColumns count="3">
    <tableColumn id="1" xr3:uid="{D1A9B346-0DC6-4B8A-BCBF-03D10F2BD1D1}" name="Issue Type" dataDxfId="12"/>
    <tableColumn id="2" xr3:uid="{CDC9EA06-78CD-4087-9824-914289936B75}" name="Count" dataDxfId="11"/>
    <tableColumn id="3" xr3:uid="{AB18A157-2E44-42ED-B17D-BB1165368C73}" name="Status" dataDxfId="1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3C4B-A1D6-41EF-9799-16D0A30714FB}">
  <dimension ref="A1:M1001"/>
  <sheetViews>
    <sheetView topLeftCell="A141" workbookViewId="0">
      <selection activeCell="K1" sqref="K1:K1048576"/>
    </sheetView>
  </sheetViews>
  <sheetFormatPr defaultRowHeight="14.4" x14ac:dyDescent="0.3"/>
  <cols>
    <col min="1" max="1" width="9.6640625" bestFit="1" customWidth="1"/>
    <col min="2" max="2" width="19.33203125" bestFit="1" customWidth="1"/>
    <col min="3" max="3" width="10" bestFit="1" customWidth="1"/>
    <col min="4" max="4" width="9" bestFit="1" customWidth="1"/>
    <col min="5" max="5" width="6.5546875" bestFit="1" customWidth="1"/>
    <col min="6" max="6" width="12.33203125" bestFit="1" customWidth="1"/>
    <col min="7" max="7" width="15.44140625" bestFit="1" customWidth="1"/>
    <col min="8" max="8" width="12.33203125" bestFit="1" customWidth="1"/>
    <col min="9" max="9" width="30.88671875" bestFit="1" customWidth="1"/>
    <col min="10" max="10" width="12.88671875" bestFit="1" customWidth="1"/>
    <col min="11" max="11" width="22.77734375" customWidth="1"/>
    <col min="12" max="12" width="10.33203125" bestFit="1" customWidth="1"/>
    <col min="13" max="13" width="12.777343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43604</v>
      </c>
      <c r="H2" s="1">
        <v>43744</v>
      </c>
      <c r="I2" t="s">
        <v>19</v>
      </c>
      <c r="J2" t="s">
        <v>20</v>
      </c>
      <c r="K2" t="s">
        <v>21</v>
      </c>
      <c r="M2" t="s">
        <v>22</v>
      </c>
    </row>
    <row r="3" spans="1:13" x14ac:dyDescent="0.3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s="1">
        <v>44674</v>
      </c>
      <c r="H3" s="1">
        <v>44778</v>
      </c>
      <c r="I3" t="s">
        <v>27</v>
      </c>
      <c r="J3" t="s">
        <v>28</v>
      </c>
      <c r="K3" t="s">
        <v>29</v>
      </c>
      <c r="L3" t="s">
        <v>30</v>
      </c>
      <c r="M3" t="s">
        <v>22</v>
      </c>
    </row>
    <row r="4" spans="1:13" x14ac:dyDescent="0.3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18</v>
      </c>
      <c r="G4" s="1">
        <v>45459</v>
      </c>
      <c r="H4" s="1">
        <v>45728</v>
      </c>
      <c r="I4" t="s">
        <v>35</v>
      </c>
      <c r="J4" t="s">
        <v>36</v>
      </c>
      <c r="K4" t="s">
        <v>37</v>
      </c>
      <c r="L4" t="s">
        <v>30</v>
      </c>
      <c r="M4" t="s">
        <v>22</v>
      </c>
    </row>
    <row r="5" spans="1:13" x14ac:dyDescent="0.3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s="1">
        <v>45329</v>
      </c>
      <c r="H5" s="1">
        <v>45420</v>
      </c>
      <c r="I5" t="s">
        <v>42</v>
      </c>
      <c r="J5" t="s">
        <v>43</v>
      </c>
      <c r="K5" t="s">
        <v>37</v>
      </c>
      <c r="L5" t="s">
        <v>30</v>
      </c>
      <c r="M5" t="s">
        <v>22</v>
      </c>
    </row>
    <row r="6" spans="1:13" x14ac:dyDescent="0.3">
      <c r="A6" t="s">
        <v>44</v>
      </c>
      <c r="B6" t="s">
        <v>45</v>
      </c>
      <c r="C6" t="s">
        <v>46</v>
      </c>
      <c r="D6" t="s">
        <v>34</v>
      </c>
      <c r="E6" t="s">
        <v>26</v>
      </c>
      <c r="F6" t="s">
        <v>18</v>
      </c>
      <c r="G6" s="1">
        <v>45186</v>
      </c>
      <c r="H6" s="1">
        <v>45436</v>
      </c>
      <c r="I6" t="s">
        <v>47</v>
      </c>
      <c r="J6" t="s">
        <v>48</v>
      </c>
      <c r="K6" t="s">
        <v>29</v>
      </c>
      <c r="M6" t="s">
        <v>22</v>
      </c>
    </row>
    <row r="7" spans="1:13" x14ac:dyDescent="0.3">
      <c r="A7" t="s">
        <v>49</v>
      </c>
      <c r="B7" t="s">
        <v>50</v>
      </c>
      <c r="C7" t="s">
        <v>46</v>
      </c>
      <c r="D7" t="s">
        <v>51</v>
      </c>
      <c r="E7" t="s">
        <v>52</v>
      </c>
      <c r="F7" t="s">
        <v>18</v>
      </c>
      <c r="G7" s="1">
        <v>44121</v>
      </c>
      <c r="H7" s="1">
        <v>44132</v>
      </c>
      <c r="I7" t="s">
        <v>53</v>
      </c>
      <c r="J7" t="s">
        <v>54</v>
      </c>
      <c r="K7" t="s">
        <v>29</v>
      </c>
      <c r="L7" t="s">
        <v>55</v>
      </c>
      <c r="M7" t="s">
        <v>22</v>
      </c>
    </row>
    <row r="8" spans="1:13" x14ac:dyDescent="0.3">
      <c r="A8" t="s">
        <v>56</v>
      </c>
      <c r="B8" t="s">
        <v>57</v>
      </c>
      <c r="C8" t="s">
        <v>33</v>
      </c>
      <c r="D8" t="s">
        <v>51</v>
      </c>
      <c r="E8" t="s">
        <v>52</v>
      </c>
      <c r="F8" t="s">
        <v>18</v>
      </c>
      <c r="G8" s="1">
        <v>45037</v>
      </c>
      <c r="H8" s="1">
        <v>45294</v>
      </c>
      <c r="I8" t="s">
        <v>58</v>
      </c>
      <c r="J8" t="s">
        <v>59</v>
      </c>
      <c r="K8" t="s">
        <v>37</v>
      </c>
      <c r="L8" t="s">
        <v>60</v>
      </c>
      <c r="M8" t="s">
        <v>22</v>
      </c>
    </row>
    <row r="9" spans="1:13" x14ac:dyDescent="0.3">
      <c r="A9" t="s">
        <v>61</v>
      </c>
      <c r="B9" t="s">
        <v>62</v>
      </c>
      <c r="C9" t="s">
        <v>33</v>
      </c>
      <c r="D9" t="s">
        <v>25</v>
      </c>
      <c r="E9" t="s">
        <v>26</v>
      </c>
      <c r="F9" t="s">
        <v>18</v>
      </c>
      <c r="G9" s="1">
        <v>45635</v>
      </c>
      <c r="H9" s="1">
        <v>45962</v>
      </c>
      <c r="I9" t="s">
        <v>63</v>
      </c>
      <c r="J9" t="s">
        <v>64</v>
      </c>
      <c r="K9" t="s">
        <v>37</v>
      </c>
      <c r="M9" t="s">
        <v>22</v>
      </c>
    </row>
    <row r="10" spans="1:13" x14ac:dyDescent="0.3">
      <c r="A10" t="s">
        <v>65</v>
      </c>
      <c r="B10" t="s">
        <v>66</v>
      </c>
      <c r="C10" t="s">
        <v>33</v>
      </c>
      <c r="D10" t="s">
        <v>67</v>
      </c>
      <c r="E10" t="s">
        <v>26</v>
      </c>
      <c r="F10" t="s">
        <v>18</v>
      </c>
      <c r="G10" s="1">
        <v>44700</v>
      </c>
      <c r="H10" s="1">
        <v>45010</v>
      </c>
      <c r="I10" t="s">
        <v>68</v>
      </c>
      <c r="J10" t="s">
        <v>69</v>
      </c>
      <c r="K10" t="s">
        <v>21</v>
      </c>
      <c r="L10" t="s">
        <v>30</v>
      </c>
      <c r="M10" t="s">
        <v>22</v>
      </c>
    </row>
    <row r="11" spans="1:13" x14ac:dyDescent="0.3">
      <c r="A11" t="s">
        <v>70</v>
      </c>
      <c r="B11" t="s">
        <v>71</v>
      </c>
      <c r="C11" t="s">
        <v>15</v>
      </c>
      <c r="D11" t="s">
        <v>25</v>
      </c>
      <c r="E11" t="s">
        <v>52</v>
      </c>
      <c r="F11" t="s">
        <v>18</v>
      </c>
      <c r="G11" s="1">
        <v>45348</v>
      </c>
      <c r="H11" s="1">
        <v>45356</v>
      </c>
      <c r="I11" t="s">
        <v>72</v>
      </c>
      <c r="J11" t="s">
        <v>73</v>
      </c>
      <c r="K11" t="s">
        <v>21</v>
      </c>
      <c r="L11" t="s">
        <v>30</v>
      </c>
      <c r="M11" t="s">
        <v>22</v>
      </c>
    </row>
    <row r="12" spans="1:13" x14ac:dyDescent="0.3">
      <c r="A12" t="s">
        <v>74</v>
      </c>
      <c r="B12" t="s">
        <v>75</v>
      </c>
      <c r="C12" t="s">
        <v>76</v>
      </c>
      <c r="D12" t="s">
        <v>77</v>
      </c>
      <c r="E12" t="s">
        <v>52</v>
      </c>
      <c r="F12" t="s">
        <v>18</v>
      </c>
      <c r="G12" s="1">
        <v>43697</v>
      </c>
      <c r="H12" s="1">
        <v>43799</v>
      </c>
      <c r="I12" t="s">
        <v>78</v>
      </c>
      <c r="J12" t="s">
        <v>79</v>
      </c>
      <c r="K12" t="s">
        <v>29</v>
      </c>
      <c r="M12" t="s">
        <v>22</v>
      </c>
    </row>
    <row r="13" spans="1:13" x14ac:dyDescent="0.3">
      <c r="A13" t="s">
        <v>80</v>
      </c>
      <c r="B13" t="s">
        <v>81</v>
      </c>
      <c r="C13" t="s">
        <v>82</v>
      </c>
      <c r="D13" t="s">
        <v>34</v>
      </c>
      <c r="E13" t="s">
        <v>26</v>
      </c>
      <c r="F13" t="s">
        <v>18</v>
      </c>
      <c r="G13" s="1">
        <v>44187</v>
      </c>
      <c r="H13" s="1">
        <v>44454</v>
      </c>
      <c r="I13" t="s">
        <v>83</v>
      </c>
      <c r="J13" t="s">
        <v>84</v>
      </c>
      <c r="K13" t="s">
        <v>21</v>
      </c>
      <c r="L13" t="s">
        <v>30</v>
      </c>
      <c r="M13" t="s">
        <v>22</v>
      </c>
    </row>
    <row r="14" spans="1:13" x14ac:dyDescent="0.3">
      <c r="A14" t="s">
        <v>85</v>
      </c>
      <c r="B14" t="s">
        <v>86</v>
      </c>
      <c r="C14" t="s">
        <v>87</v>
      </c>
      <c r="D14" t="s">
        <v>25</v>
      </c>
      <c r="E14" t="s">
        <v>26</v>
      </c>
      <c r="F14" t="s">
        <v>18</v>
      </c>
      <c r="G14" s="1">
        <v>45622</v>
      </c>
      <c r="H14" s="1">
        <v>45765</v>
      </c>
      <c r="I14" t="s">
        <v>88</v>
      </c>
      <c r="J14" t="s">
        <v>89</v>
      </c>
      <c r="K14" t="s">
        <v>90</v>
      </c>
      <c r="L14" t="s">
        <v>91</v>
      </c>
      <c r="M14" t="s">
        <v>22</v>
      </c>
    </row>
    <row r="15" spans="1:13" x14ac:dyDescent="0.3">
      <c r="A15" t="s">
        <v>92</v>
      </c>
      <c r="B15" t="s">
        <v>93</v>
      </c>
      <c r="C15" t="s">
        <v>33</v>
      </c>
      <c r="D15" t="s">
        <v>77</v>
      </c>
      <c r="E15" t="s">
        <v>52</v>
      </c>
      <c r="F15" t="s">
        <v>18</v>
      </c>
      <c r="G15" s="1">
        <v>43935</v>
      </c>
      <c r="H15" s="1">
        <v>43985</v>
      </c>
      <c r="I15" t="s">
        <v>94</v>
      </c>
      <c r="J15" t="s">
        <v>95</v>
      </c>
      <c r="K15" t="s">
        <v>29</v>
      </c>
      <c r="L15" t="s">
        <v>55</v>
      </c>
      <c r="M15" t="s">
        <v>22</v>
      </c>
    </row>
    <row r="16" spans="1:13" x14ac:dyDescent="0.3">
      <c r="A16" t="s">
        <v>96</v>
      </c>
      <c r="B16" t="s">
        <v>97</v>
      </c>
      <c r="C16" t="s">
        <v>87</v>
      </c>
      <c r="D16" t="s">
        <v>67</v>
      </c>
      <c r="E16" t="s">
        <v>26</v>
      </c>
      <c r="F16" t="s">
        <v>18</v>
      </c>
      <c r="G16" s="1">
        <v>45200</v>
      </c>
      <c r="H16" s="1">
        <v>45489</v>
      </c>
      <c r="I16" t="s">
        <v>98</v>
      </c>
      <c r="J16" t="s">
        <v>99</v>
      </c>
      <c r="K16" t="s">
        <v>21</v>
      </c>
      <c r="L16" t="s">
        <v>55</v>
      </c>
      <c r="M16" t="s">
        <v>22</v>
      </c>
    </row>
    <row r="17" spans="1:13" x14ac:dyDescent="0.3">
      <c r="A17" t="s">
        <v>100</v>
      </c>
      <c r="B17" t="s">
        <v>101</v>
      </c>
      <c r="C17" t="s">
        <v>15</v>
      </c>
      <c r="D17" t="s">
        <v>41</v>
      </c>
      <c r="E17" t="s">
        <v>17</v>
      </c>
      <c r="F17" t="s">
        <v>18</v>
      </c>
      <c r="G17" s="1">
        <v>44661</v>
      </c>
      <c r="H17" s="1">
        <v>45002</v>
      </c>
      <c r="I17" t="s">
        <v>102</v>
      </c>
      <c r="J17" t="s">
        <v>103</v>
      </c>
      <c r="K17" t="s">
        <v>21</v>
      </c>
      <c r="L17" t="s">
        <v>30</v>
      </c>
      <c r="M17" t="s">
        <v>22</v>
      </c>
    </row>
    <row r="18" spans="1:13" x14ac:dyDescent="0.3">
      <c r="A18" t="s">
        <v>104</v>
      </c>
      <c r="B18" t="s">
        <v>105</v>
      </c>
      <c r="C18" t="s">
        <v>87</v>
      </c>
      <c r="D18" t="s">
        <v>67</v>
      </c>
      <c r="E18" t="s">
        <v>26</v>
      </c>
      <c r="F18" t="s">
        <v>18</v>
      </c>
      <c r="G18" s="1">
        <v>43652</v>
      </c>
      <c r="H18" s="1">
        <v>43679</v>
      </c>
      <c r="I18" t="s">
        <v>106</v>
      </c>
      <c r="J18" t="s">
        <v>107</v>
      </c>
      <c r="K18" t="s">
        <v>37</v>
      </c>
      <c r="M18" t="s">
        <v>22</v>
      </c>
    </row>
    <row r="19" spans="1:13" x14ac:dyDescent="0.3">
      <c r="A19" t="s">
        <v>108</v>
      </c>
      <c r="B19" t="s">
        <v>109</v>
      </c>
      <c r="C19" t="s">
        <v>87</v>
      </c>
      <c r="D19" t="s">
        <v>25</v>
      </c>
      <c r="E19" t="s">
        <v>26</v>
      </c>
      <c r="F19" t="s">
        <v>18</v>
      </c>
      <c r="G19" s="1">
        <v>45238</v>
      </c>
      <c r="H19" s="1">
        <v>45537</v>
      </c>
      <c r="I19" t="s">
        <v>110</v>
      </c>
      <c r="J19" t="s">
        <v>111</v>
      </c>
      <c r="K19" t="s">
        <v>37</v>
      </c>
      <c r="M19" t="s">
        <v>22</v>
      </c>
    </row>
    <row r="20" spans="1:13" x14ac:dyDescent="0.3">
      <c r="A20" t="s">
        <v>112</v>
      </c>
      <c r="B20" t="s">
        <v>113</v>
      </c>
      <c r="C20" t="s">
        <v>40</v>
      </c>
      <c r="D20" t="s">
        <v>67</v>
      </c>
      <c r="E20" t="s">
        <v>26</v>
      </c>
      <c r="F20" t="s">
        <v>18</v>
      </c>
      <c r="G20" s="1">
        <v>44489</v>
      </c>
      <c r="H20" s="1">
        <v>44572</v>
      </c>
      <c r="I20" t="s">
        <v>114</v>
      </c>
      <c r="J20" t="s">
        <v>115</v>
      </c>
      <c r="K20" t="s">
        <v>37</v>
      </c>
      <c r="L20" t="s">
        <v>116</v>
      </c>
      <c r="M20" t="s">
        <v>22</v>
      </c>
    </row>
    <row r="21" spans="1:13" x14ac:dyDescent="0.3">
      <c r="A21" t="s">
        <v>117</v>
      </c>
      <c r="B21" t="s">
        <v>118</v>
      </c>
      <c r="C21" t="s">
        <v>15</v>
      </c>
      <c r="D21" t="s">
        <v>25</v>
      </c>
      <c r="E21" t="s">
        <v>17</v>
      </c>
      <c r="F21" t="s">
        <v>18</v>
      </c>
      <c r="G21" s="1">
        <v>45134</v>
      </c>
      <c r="H21" s="1">
        <v>45481</v>
      </c>
      <c r="I21" t="s">
        <v>119</v>
      </c>
      <c r="J21" t="s">
        <v>120</v>
      </c>
      <c r="K21" t="s">
        <v>29</v>
      </c>
      <c r="L21" t="s">
        <v>55</v>
      </c>
      <c r="M21" t="s">
        <v>22</v>
      </c>
    </row>
    <row r="22" spans="1:13" x14ac:dyDescent="0.3">
      <c r="A22" t="s">
        <v>121</v>
      </c>
      <c r="B22" t="s">
        <v>122</v>
      </c>
      <c r="C22" t="s">
        <v>76</v>
      </c>
      <c r="D22" t="s">
        <v>51</v>
      </c>
      <c r="E22" t="s">
        <v>52</v>
      </c>
      <c r="F22" t="s">
        <v>18</v>
      </c>
      <c r="G22" s="1">
        <v>44368</v>
      </c>
      <c r="H22" s="1">
        <v>44596</v>
      </c>
      <c r="I22" t="s">
        <v>123</v>
      </c>
      <c r="J22" t="s">
        <v>124</v>
      </c>
      <c r="K22" t="s">
        <v>29</v>
      </c>
      <c r="L22" t="s">
        <v>60</v>
      </c>
      <c r="M22" t="s">
        <v>22</v>
      </c>
    </row>
    <row r="23" spans="1:13" x14ac:dyDescent="0.3">
      <c r="A23" t="s">
        <v>125</v>
      </c>
      <c r="B23" t="s">
        <v>126</v>
      </c>
      <c r="C23" t="s">
        <v>87</v>
      </c>
      <c r="D23" t="s">
        <v>25</v>
      </c>
      <c r="E23" t="s">
        <v>26</v>
      </c>
      <c r="F23" t="s">
        <v>18</v>
      </c>
      <c r="G23" s="1">
        <v>43998</v>
      </c>
      <c r="H23" s="1">
        <v>44190</v>
      </c>
      <c r="I23" t="s">
        <v>127</v>
      </c>
      <c r="J23" t="s">
        <v>128</v>
      </c>
      <c r="K23" t="s">
        <v>90</v>
      </c>
      <c r="M23" t="s">
        <v>22</v>
      </c>
    </row>
    <row r="24" spans="1:13" x14ac:dyDescent="0.3">
      <c r="A24" t="s">
        <v>129</v>
      </c>
      <c r="B24" t="s">
        <v>130</v>
      </c>
      <c r="C24" t="s">
        <v>76</v>
      </c>
      <c r="D24" t="s">
        <v>77</v>
      </c>
      <c r="E24" t="s">
        <v>52</v>
      </c>
      <c r="F24" t="s">
        <v>18</v>
      </c>
      <c r="G24" s="1">
        <v>44270</v>
      </c>
      <c r="H24" s="1">
        <v>45440</v>
      </c>
      <c r="I24" t="s">
        <v>131</v>
      </c>
      <c r="J24" t="s">
        <v>132</v>
      </c>
      <c r="K24" t="s">
        <v>37</v>
      </c>
      <c r="L24" t="s">
        <v>55</v>
      </c>
      <c r="M24" t="s">
        <v>22</v>
      </c>
    </row>
    <row r="25" spans="1:13" x14ac:dyDescent="0.3">
      <c r="A25" t="s">
        <v>133</v>
      </c>
      <c r="B25" t="s">
        <v>134</v>
      </c>
      <c r="C25" t="s">
        <v>76</v>
      </c>
      <c r="D25" t="s">
        <v>77</v>
      </c>
      <c r="E25" t="s">
        <v>52</v>
      </c>
      <c r="F25" t="s">
        <v>18</v>
      </c>
      <c r="G25" s="1">
        <v>44128</v>
      </c>
      <c r="H25" s="1">
        <v>44488</v>
      </c>
      <c r="I25" t="s">
        <v>135</v>
      </c>
      <c r="J25" t="s">
        <v>136</v>
      </c>
      <c r="K25" t="s">
        <v>21</v>
      </c>
      <c r="L25" t="s">
        <v>30</v>
      </c>
      <c r="M25" t="s">
        <v>22</v>
      </c>
    </row>
    <row r="26" spans="1:13" x14ac:dyDescent="0.3">
      <c r="A26" t="s">
        <v>137</v>
      </c>
      <c r="B26" t="s">
        <v>138</v>
      </c>
      <c r="C26" t="s">
        <v>40</v>
      </c>
      <c r="D26" t="s">
        <v>25</v>
      </c>
      <c r="E26" t="s">
        <v>26</v>
      </c>
      <c r="F26" t="s">
        <v>18</v>
      </c>
      <c r="G26" s="1">
        <v>44894</v>
      </c>
      <c r="H26" s="1">
        <v>44928</v>
      </c>
      <c r="I26" t="s">
        <v>139</v>
      </c>
      <c r="J26" t="s">
        <v>140</v>
      </c>
      <c r="K26" t="s">
        <v>21</v>
      </c>
      <c r="L26" t="s">
        <v>91</v>
      </c>
      <c r="M26" t="s">
        <v>22</v>
      </c>
    </row>
    <row r="27" spans="1:13" x14ac:dyDescent="0.3">
      <c r="A27" t="s">
        <v>141</v>
      </c>
      <c r="B27" t="s">
        <v>142</v>
      </c>
      <c r="C27" t="s">
        <v>15</v>
      </c>
      <c r="D27" t="s">
        <v>51</v>
      </c>
      <c r="E27" t="s">
        <v>52</v>
      </c>
      <c r="F27" t="s">
        <v>18</v>
      </c>
      <c r="G27" s="1">
        <v>43587</v>
      </c>
      <c r="H27" s="1">
        <v>43688</v>
      </c>
      <c r="I27" t="s">
        <v>143</v>
      </c>
      <c r="J27" t="s">
        <v>144</v>
      </c>
      <c r="K27" t="s">
        <v>37</v>
      </c>
      <c r="L27" t="s">
        <v>55</v>
      </c>
      <c r="M27" t="s">
        <v>22</v>
      </c>
    </row>
    <row r="28" spans="1:13" x14ac:dyDescent="0.3">
      <c r="A28" t="s">
        <v>145</v>
      </c>
      <c r="B28" t="s">
        <v>146</v>
      </c>
      <c r="C28" t="s">
        <v>15</v>
      </c>
      <c r="D28" t="s">
        <v>41</v>
      </c>
      <c r="E28" t="s">
        <v>17</v>
      </c>
      <c r="F28" t="s">
        <v>18</v>
      </c>
      <c r="G28" s="1">
        <v>44672</v>
      </c>
      <c r="H28" s="1">
        <v>44737</v>
      </c>
      <c r="I28" t="s">
        <v>147</v>
      </c>
      <c r="J28" t="s">
        <v>148</v>
      </c>
      <c r="K28" t="s">
        <v>21</v>
      </c>
      <c r="L28" t="s">
        <v>91</v>
      </c>
      <c r="M28" t="s">
        <v>22</v>
      </c>
    </row>
    <row r="29" spans="1:13" x14ac:dyDescent="0.3">
      <c r="A29" t="s">
        <v>149</v>
      </c>
      <c r="B29" t="s">
        <v>150</v>
      </c>
      <c r="C29" t="s">
        <v>87</v>
      </c>
      <c r="D29" t="s">
        <v>41</v>
      </c>
      <c r="E29" t="s">
        <v>17</v>
      </c>
      <c r="F29" t="s">
        <v>151</v>
      </c>
      <c r="G29" s="1">
        <v>45278</v>
      </c>
      <c r="H29" s="1">
        <v>45389</v>
      </c>
      <c r="I29" t="s">
        <v>152</v>
      </c>
      <c r="J29" t="s">
        <v>153</v>
      </c>
      <c r="K29" t="s">
        <v>37</v>
      </c>
      <c r="L29" t="s">
        <v>60</v>
      </c>
      <c r="M29" t="s">
        <v>22</v>
      </c>
    </row>
    <row r="30" spans="1:13" x14ac:dyDescent="0.3">
      <c r="A30" t="s">
        <v>154</v>
      </c>
      <c r="B30" t="s">
        <v>155</v>
      </c>
      <c r="C30" t="s">
        <v>33</v>
      </c>
      <c r="D30" t="s">
        <v>34</v>
      </c>
      <c r="E30" t="s">
        <v>26</v>
      </c>
      <c r="F30" t="s">
        <v>18</v>
      </c>
      <c r="G30" s="1">
        <v>43914</v>
      </c>
      <c r="H30" s="1">
        <v>44205</v>
      </c>
      <c r="I30" t="s">
        <v>156</v>
      </c>
      <c r="J30" t="s">
        <v>157</v>
      </c>
      <c r="K30" t="s">
        <v>21</v>
      </c>
      <c r="L30" t="s">
        <v>30</v>
      </c>
      <c r="M30" t="s">
        <v>22</v>
      </c>
    </row>
    <row r="31" spans="1:13" x14ac:dyDescent="0.3">
      <c r="A31" t="s">
        <v>158</v>
      </c>
      <c r="B31" t="s">
        <v>159</v>
      </c>
      <c r="C31" t="s">
        <v>87</v>
      </c>
      <c r="D31" t="s">
        <v>67</v>
      </c>
      <c r="E31" t="s">
        <v>26</v>
      </c>
      <c r="F31" t="s">
        <v>160</v>
      </c>
      <c r="G31" s="1">
        <v>43949</v>
      </c>
      <c r="H31" s="1">
        <v>44304</v>
      </c>
      <c r="I31" t="s">
        <v>161</v>
      </c>
      <c r="J31" t="s">
        <v>162</v>
      </c>
      <c r="K31" t="s">
        <v>21</v>
      </c>
      <c r="L31" t="s">
        <v>60</v>
      </c>
      <c r="M31" t="s">
        <v>22</v>
      </c>
    </row>
    <row r="32" spans="1:13" x14ac:dyDescent="0.3">
      <c r="A32" t="s">
        <v>163</v>
      </c>
      <c r="B32" t="s">
        <v>164</v>
      </c>
      <c r="C32" t="s">
        <v>15</v>
      </c>
      <c r="D32" t="s">
        <v>41</v>
      </c>
      <c r="E32" t="s">
        <v>17</v>
      </c>
      <c r="F32" t="s">
        <v>18</v>
      </c>
      <c r="G32" s="1">
        <v>45455</v>
      </c>
      <c r="H32" s="1">
        <v>45701</v>
      </c>
      <c r="I32" t="s">
        <v>165</v>
      </c>
      <c r="J32" t="s">
        <v>166</v>
      </c>
      <c r="K32" t="s">
        <v>90</v>
      </c>
      <c r="L32" t="s">
        <v>55</v>
      </c>
      <c r="M32" t="s">
        <v>22</v>
      </c>
    </row>
    <row r="33" spans="1:13" x14ac:dyDescent="0.3">
      <c r="A33" t="s">
        <v>167</v>
      </c>
      <c r="B33" t="s">
        <v>168</v>
      </c>
      <c r="C33" t="s">
        <v>33</v>
      </c>
      <c r="D33" t="s">
        <v>41</v>
      </c>
      <c r="E33" t="s">
        <v>17</v>
      </c>
      <c r="F33" t="s">
        <v>151</v>
      </c>
      <c r="G33" s="1">
        <v>43747</v>
      </c>
      <c r="H33" s="1">
        <v>43872</v>
      </c>
      <c r="I33" t="s">
        <v>169</v>
      </c>
      <c r="J33" t="s">
        <v>170</v>
      </c>
      <c r="K33" t="s">
        <v>37</v>
      </c>
      <c r="L33" t="s">
        <v>30</v>
      </c>
      <c r="M33" t="s">
        <v>22</v>
      </c>
    </row>
    <row r="34" spans="1:13" x14ac:dyDescent="0.3">
      <c r="A34" t="s">
        <v>171</v>
      </c>
      <c r="B34" t="s">
        <v>172</v>
      </c>
      <c r="C34" t="s">
        <v>15</v>
      </c>
      <c r="D34" t="s">
        <v>77</v>
      </c>
      <c r="E34" t="s">
        <v>52</v>
      </c>
      <c r="F34" t="s">
        <v>18</v>
      </c>
      <c r="G34" s="1">
        <v>45391</v>
      </c>
      <c r="H34" s="1">
        <v>45483</v>
      </c>
      <c r="I34" t="s">
        <v>173</v>
      </c>
      <c r="J34" t="s">
        <v>174</v>
      </c>
      <c r="K34" t="s">
        <v>21</v>
      </c>
      <c r="L34" t="s">
        <v>60</v>
      </c>
      <c r="M34" t="s">
        <v>22</v>
      </c>
    </row>
    <row r="35" spans="1:13" x14ac:dyDescent="0.3">
      <c r="A35" t="s">
        <v>175</v>
      </c>
      <c r="B35" t="s">
        <v>176</v>
      </c>
      <c r="C35" t="s">
        <v>87</v>
      </c>
      <c r="D35" t="s">
        <v>41</v>
      </c>
      <c r="E35" t="s">
        <v>17</v>
      </c>
      <c r="F35" t="s">
        <v>18</v>
      </c>
      <c r="G35" s="1">
        <v>44579</v>
      </c>
      <c r="H35" s="1">
        <v>44724</v>
      </c>
      <c r="I35" t="s">
        <v>177</v>
      </c>
      <c r="J35" t="s">
        <v>178</v>
      </c>
      <c r="K35" t="s">
        <v>21</v>
      </c>
      <c r="L35" t="s">
        <v>55</v>
      </c>
      <c r="M35" t="s">
        <v>22</v>
      </c>
    </row>
    <row r="36" spans="1:13" x14ac:dyDescent="0.3">
      <c r="A36" t="s">
        <v>179</v>
      </c>
      <c r="B36" t="s">
        <v>180</v>
      </c>
      <c r="C36" t="s">
        <v>181</v>
      </c>
      <c r="D36" t="s">
        <v>25</v>
      </c>
      <c r="E36" t="s">
        <v>26</v>
      </c>
      <c r="F36" t="s">
        <v>151</v>
      </c>
      <c r="G36" s="1">
        <v>44112</v>
      </c>
      <c r="H36" s="1">
        <v>44320</v>
      </c>
      <c r="J36" t="s">
        <v>182</v>
      </c>
      <c r="K36" t="s">
        <v>37</v>
      </c>
      <c r="L36" t="s">
        <v>116</v>
      </c>
      <c r="M36" t="s">
        <v>22</v>
      </c>
    </row>
    <row r="37" spans="1:13" x14ac:dyDescent="0.3">
      <c r="A37" t="s">
        <v>183</v>
      </c>
      <c r="B37" t="s">
        <v>184</v>
      </c>
      <c r="C37" t="s">
        <v>15</v>
      </c>
      <c r="D37" t="s">
        <v>34</v>
      </c>
      <c r="E37" t="s">
        <v>26</v>
      </c>
      <c r="F37" t="s">
        <v>18</v>
      </c>
      <c r="G37" s="1">
        <v>43658</v>
      </c>
      <c r="H37" s="1">
        <v>43853</v>
      </c>
      <c r="I37" t="s">
        <v>185</v>
      </c>
      <c r="J37" t="s">
        <v>186</v>
      </c>
      <c r="K37" t="s">
        <v>29</v>
      </c>
      <c r="L37" t="s">
        <v>91</v>
      </c>
      <c r="M37" t="s">
        <v>22</v>
      </c>
    </row>
    <row r="38" spans="1:13" x14ac:dyDescent="0.3">
      <c r="A38" t="s">
        <v>187</v>
      </c>
      <c r="B38" t="s">
        <v>188</v>
      </c>
      <c r="C38" t="s">
        <v>87</v>
      </c>
      <c r="D38" t="s">
        <v>16</v>
      </c>
      <c r="E38" t="s">
        <v>17</v>
      </c>
      <c r="F38" t="s">
        <v>18</v>
      </c>
      <c r="G38" s="1">
        <v>43839</v>
      </c>
      <c r="H38" s="1">
        <v>44079</v>
      </c>
      <c r="I38" t="s">
        <v>189</v>
      </c>
      <c r="J38" t="s">
        <v>190</v>
      </c>
      <c r="K38" t="s">
        <v>29</v>
      </c>
      <c r="L38" t="s">
        <v>116</v>
      </c>
      <c r="M38" t="s">
        <v>22</v>
      </c>
    </row>
    <row r="39" spans="1:13" x14ac:dyDescent="0.3">
      <c r="A39" t="s">
        <v>191</v>
      </c>
      <c r="B39" t="s">
        <v>192</v>
      </c>
      <c r="C39" t="s">
        <v>76</v>
      </c>
      <c r="D39" t="s">
        <v>67</v>
      </c>
      <c r="E39" t="s">
        <v>26</v>
      </c>
      <c r="F39" t="s">
        <v>160</v>
      </c>
      <c r="G39" s="1">
        <v>43515</v>
      </c>
      <c r="H39" s="1">
        <v>43699</v>
      </c>
      <c r="I39" t="s">
        <v>193</v>
      </c>
      <c r="J39" t="s">
        <v>194</v>
      </c>
      <c r="K39" t="s">
        <v>21</v>
      </c>
      <c r="L39" t="s">
        <v>91</v>
      </c>
      <c r="M39" t="s">
        <v>22</v>
      </c>
    </row>
    <row r="40" spans="1:13" x14ac:dyDescent="0.3">
      <c r="A40" t="s">
        <v>195</v>
      </c>
      <c r="B40" t="s">
        <v>196</v>
      </c>
      <c r="C40" t="s">
        <v>15</v>
      </c>
      <c r="D40" t="s">
        <v>34</v>
      </c>
      <c r="E40" t="s">
        <v>26</v>
      </c>
      <c r="F40" t="s">
        <v>18</v>
      </c>
      <c r="G40" s="1">
        <v>45280</v>
      </c>
      <c r="H40" s="1">
        <v>45406</v>
      </c>
      <c r="I40" t="s">
        <v>197</v>
      </c>
      <c r="J40" t="s">
        <v>198</v>
      </c>
      <c r="K40" t="s">
        <v>21</v>
      </c>
      <c r="M40" t="s">
        <v>22</v>
      </c>
    </row>
    <row r="41" spans="1:13" x14ac:dyDescent="0.3">
      <c r="A41" t="s">
        <v>199</v>
      </c>
      <c r="B41" t="s">
        <v>200</v>
      </c>
      <c r="C41" t="s">
        <v>46</v>
      </c>
      <c r="D41" t="s">
        <v>25</v>
      </c>
      <c r="E41" t="s">
        <v>26</v>
      </c>
      <c r="F41" t="s">
        <v>18</v>
      </c>
      <c r="G41" s="1">
        <v>44325</v>
      </c>
      <c r="H41" s="1">
        <v>44440</v>
      </c>
      <c r="I41" t="s">
        <v>201</v>
      </c>
      <c r="J41" t="s">
        <v>202</v>
      </c>
      <c r="K41" t="s">
        <v>29</v>
      </c>
      <c r="L41" t="s">
        <v>91</v>
      </c>
      <c r="M41" t="s">
        <v>22</v>
      </c>
    </row>
    <row r="42" spans="1:13" x14ac:dyDescent="0.3">
      <c r="A42" t="s">
        <v>203</v>
      </c>
      <c r="B42" t="s">
        <v>204</v>
      </c>
      <c r="C42" t="s">
        <v>15</v>
      </c>
      <c r="D42" t="s">
        <v>34</v>
      </c>
      <c r="E42" t="s">
        <v>26</v>
      </c>
      <c r="F42" t="s">
        <v>151</v>
      </c>
      <c r="G42" s="1">
        <v>44587</v>
      </c>
      <c r="H42" s="1">
        <v>44664</v>
      </c>
      <c r="I42" t="s">
        <v>205</v>
      </c>
      <c r="J42" t="s">
        <v>206</v>
      </c>
      <c r="K42" t="s">
        <v>37</v>
      </c>
      <c r="L42" t="s">
        <v>55</v>
      </c>
      <c r="M42" t="s">
        <v>22</v>
      </c>
    </row>
    <row r="43" spans="1:13" x14ac:dyDescent="0.3">
      <c r="A43" t="s">
        <v>207</v>
      </c>
      <c r="B43" t="s">
        <v>208</v>
      </c>
      <c r="C43" t="s">
        <v>76</v>
      </c>
      <c r="D43" t="s">
        <v>25</v>
      </c>
      <c r="E43" t="s">
        <v>26</v>
      </c>
      <c r="F43" t="s">
        <v>160</v>
      </c>
      <c r="G43" s="1">
        <v>43883</v>
      </c>
      <c r="H43" s="1">
        <v>44170</v>
      </c>
      <c r="I43" t="s">
        <v>209</v>
      </c>
      <c r="J43" t="s">
        <v>210</v>
      </c>
      <c r="K43" t="s">
        <v>90</v>
      </c>
      <c r="L43" t="s">
        <v>55</v>
      </c>
      <c r="M43" t="s">
        <v>22</v>
      </c>
    </row>
    <row r="44" spans="1:13" x14ac:dyDescent="0.3">
      <c r="A44" t="s">
        <v>211</v>
      </c>
      <c r="B44" t="s">
        <v>212</v>
      </c>
      <c r="C44" t="s">
        <v>40</v>
      </c>
      <c r="D44" t="s">
        <v>25</v>
      </c>
      <c r="E44" t="s">
        <v>26</v>
      </c>
      <c r="F44" t="s">
        <v>18</v>
      </c>
      <c r="G44" s="1">
        <v>44852</v>
      </c>
      <c r="H44" s="1">
        <v>45172</v>
      </c>
      <c r="I44" t="s">
        <v>213</v>
      </c>
      <c r="J44" t="s">
        <v>214</v>
      </c>
      <c r="K44" t="s">
        <v>29</v>
      </c>
      <c r="M44" t="s">
        <v>22</v>
      </c>
    </row>
    <row r="45" spans="1:13" x14ac:dyDescent="0.3">
      <c r="A45" t="s">
        <v>215</v>
      </c>
      <c r="B45" t="s">
        <v>216</v>
      </c>
      <c r="C45" t="s">
        <v>181</v>
      </c>
      <c r="D45" t="s">
        <v>51</v>
      </c>
      <c r="E45" t="s">
        <v>52</v>
      </c>
      <c r="F45" t="s">
        <v>18</v>
      </c>
      <c r="G45" s="1">
        <v>43789</v>
      </c>
      <c r="H45" s="1">
        <v>43966</v>
      </c>
      <c r="I45" t="s">
        <v>217</v>
      </c>
      <c r="J45" t="s">
        <v>218</v>
      </c>
      <c r="K45" t="s">
        <v>21</v>
      </c>
      <c r="L45" t="s">
        <v>55</v>
      </c>
      <c r="M45" t="s">
        <v>22</v>
      </c>
    </row>
    <row r="46" spans="1:13" x14ac:dyDescent="0.3">
      <c r="A46" t="s">
        <v>219</v>
      </c>
      <c r="B46" t="s">
        <v>220</v>
      </c>
      <c r="C46" t="s">
        <v>33</v>
      </c>
      <c r="D46" t="s">
        <v>77</v>
      </c>
      <c r="E46" t="s">
        <v>52</v>
      </c>
      <c r="F46" t="s">
        <v>160</v>
      </c>
      <c r="G46" s="1">
        <v>44281</v>
      </c>
      <c r="H46" s="1">
        <v>44477</v>
      </c>
      <c r="I46" t="s">
        <v>221</v>
      </c>
      <c r="J46" t="s">
        <v>222</v>
      </c>
      <c r="K46" t="s">
        <v>37</v>
      </c>
      <c r="L46" t="s">
        <v>30</v>
      </c>
      <c r="M46" t="s">
        <v>22</v>
      </c>
    </row>
    <row r="47" spans="1:13" x14ac:dyDescent="0.3">
      <c r="A47" t="s">
        <v>223</v>
      </c>
      <c r="B47" t="s">
        <v>224</v>
      </c>
      <c r="C47" t="s">
        <v>46</v>
      </c>
      <c r="D47" t="s">
        <v>16</v>
      </c>
      <c r="E47" t="s">
        <v>17</v>
      </c>
      <c r="F47" t="s">
        <v>18</v>
      </c>
      <c r="G47" s="1">
        <v>45510</v>
      </c>
      <c r="H47" s="1">
        <v>45619</v>
      </c>
      <c r="I47" t="s">
        <v>225</v>
      </c>
      <c r="J47" t="s">
        <v>226</v>
      </c>
      <c r="K47" t="s">
        <v>21</v>
      </c>
      <c r="L47" t="s">
        <v>91</v>
      </c>
      <c r="M47" t="s">
        <v>22</v>
      </c>
    </row>
    <row r="48" spans="1:13" x14ac:dyDescent="0.3">
      <c r="A48" t="s">
        <v>227</v>
      </c>
      <c r="B48" t="s">
        <v>228</v>
      </c>
      <c r="C48" t="s">
        <v>33</v>
      </c>
      <c r="D48" t="s">
        <v>67</v>
      </c>
      <c r="E48" t="s">
        <v>26</v>
      </c>
      <c r="F48" t="s">
        <v>18</v>
      </c>
      <c r="G48" s="1">
        <v>44125</v>
      </c>
      <c r="H48" s="1">
        <v>44424</v>
      </c>
      <c r="I48" t="s">
        <v>229</v>
      </c>
      <c r="J48" t="s">
        <v>230</v>
      </c>
      <c r="K48" t="s">
        <v>29</v>
      </c>
      <c r="L48" t="s">
        <v>30</v>
      </c>
      <c r="M48" t="s">
        <v>22</v>
      </c>
    </row>
    <row r="49" spans="1:13" x14ac:dyDescent="0.3">
      <c r="A49" t="s">
        <v>231</v>
      </c>
      <c r="B49" t="s">
        <v>232</v>
      </c>
      <c r="C49" t="s">
        <v>33</v>
      </c>
      <c r="D49" t="s">
        <v>41</v>
      </c>
      <c r="E49" t="s">
        <v>17</v>
      </c>
      <c r="F49" t="s">
        <v>18</v>
      </c>
      <c r="G49" s="1">
        <v>43647</v>
      </c>
      <c r="H49" s="1">
        <v>43935</v>
      </c>
      <c r="I49" t="s">
        <v>233</v>
      </c>
      <c r="J49" t="s">
        <v>234</v>
      </c>
      <c r="K49" t="s">
        <v>21</v>
      </c>
      <c r="L49" t="s">
        <v>60</v>
      </c>
      <c r="M49" t="s">
        <v>22</v>
      </c>
    </row>
    <row r="50" spans="1:13" x14ac:dyDescent="0.3">
      <c r="A50" t="s">
        <v>235</v>
      </c>
      <c r="B50" t="s">
        <v>236</v>
      </c>
      <c r="C50" t="s">
        <v>181</v>
      </c>
      <c r="D50" t="s">
        <v>51</v>
      </c>
      <c r="E50" t="s">
        <v>52</v>
      </c>
      <c r="F50" t="s">
        <v>160</v>
      </c>
      <c r="G50" s="1">
        <v>44979</v>
      </c>
      <c r="H50" s="1">
        <v>45074</v>
      </c>
      <c r="I50" t="s">
        <v>237</v>
      </c>
      <c r="J50" t="s">
        <v>238</v>
      </c>
      <c r="K50" t="s">
        <v>29</v>
      </c>
      <c r="L50" t="s">
        <v>30</v>
      </c>
      <c r="M50" t="s">
        <v>22</v>
      </c>
    </row>
    <row r="51" spans="1:13" x14ac:dyDescent="0.3">
      <c r="A51" t="s">
        <v>239</v>
      </c>
      <c r="B51" t="s">
        <v>240</v>
      </c>
      <c r="C51" t="s">
        <v>76</v>
      </c>
      <c r="D51" t="s">
        <v>77</v>
      </c>
      <c r="E51" t="s">
        <v>52</v>
      </c>
      <c r="F51" t="s">
        <v>160</v>
      </c>
      <c r="G51" s="1">
        <v>44149</v>
      </c>
      <c r="H51" s="1">
        <v>44337</v>
      </c>
      <c r="I51" t="s">
        <v>241</v>
      </c>
      <c r="J51" t="s">
        <v>242</v>
      </c>
      <c r="K51" t="s">
        <v>90</v>
      </c>
      <c r="L51" t="s">
        <v>91</v>
      </c>
      <c r="M51" t="s">
        <v>22</v>
      </c>
    </row>
    <row r="52" spans="1:13" x14ac:dyDescent="0.3">
      <c r="A52" t="s">
        <v>243</v>
      </c>
      <c r="B52" t="s">
        <v>244</v>
      </c>
      <c r="C52" t="s">
        <v>76</v>
      </c>
      <c r="D52" t="s">
        <v>77</v>
      </c>
      <c r="E52" t="s">
        <v>52</v>
      </c>
      <c r="F52" t="s">
        <v>18</v>
      </c>
      <c r="G52" s="1">
        <v>45167</v>
      </c>
      <c r="H52" s="1">
        <v>45400</v>
      </c>
      <c r="I52" t="s">
        <v>245</v>
      </c>
      <c r="J52" t="s">
        <v>246</v>
      </c>
      <c r="K52" t="s">
        <v>21</v>
      </c>
      <c r="M52" t="s">
        <v>22</v>
      </c>
    </row>
    <row r="53" spans="1:13" x14ac:dyDescent="0.3">
      <c r="A53" t="s">
        <v>247</v>
      </c>
      <c r="B53" t="s">
        <v>248</v>
      </c>
      <c r="C53" t="s">
        <v>46</v>
      </c>
      <c r="D53" t="s">
        <v>41</v>
      </c>
      <c r="E53" t="s">
        <v>17</v>
      </c>
      <c r="F53" t="s">
        <v>18</v>
      </c>
      <c r="G53" s="1">
        <v>43585</v>
      </c>
      <c r="H53" s="1">
        <v>43833</v>
      </c>
      <c r="I53" t="s">
        <v>249</v>
      </c>
      <c r="J53" t="s">
        <v>250</v>
      </c>
      <c r="K53" t="s">
        <v>90</v>
      </c>
      <c r="L53" t="s">
        <v>55</v>
      </c>
      <c r="M53" t="s">
        <v>22</v>
      </c>
    </row>
    <row r="54" spans="1:13" x14ac:dyDescent="0.3">
      <c r="A54" t="s">
        <v>251</v>
      </c>
      <c r="B54" t="s">
        <v>252</v>
      </c>
      <c r="C54" t="s">
        <v>181</v>
      </c>
      <c r="D54" t="s">
        <v>41</v>
      </c>
      <c r="E54" t="s">
        <v>17</v>
      </c>
      <c r="F54" t="s">
        <v>160</v>
      </c>
      <c r="G54" s="1">
        <v>45351</v>
      </c>
      <c r="H54" s="1">
        <v>45530</v>
      </c>
      <c r="I54" t="s">
        <v>253</v>
      </c>
      <c r="J54" t="s">
        <v>254</v>
      </c>
      <c r="K54" t="s">
        <v>37</v>
      </c>
      <c r="L54" t="s">
        <v>60</v>
      </c>
      <c r="M54" t="s">
        <v>22</v>
      </c>
    </row>
    <row r="55" spans="1:13" x14ac:dyDescent="0.3">
      <c r="A55" t="s">
        <v>255</v>
      </c>
      <c r="B55" t="s">
        <v>256</v>
      </c>
      <c r="C55" t="s">
        <v>87</v>
      </c>
      <c r="D55" t="s">
        <v>34</v>
      </c>
      <c r="E55" t="s">
        <v>26</v>
      </c>
      <c r="F55" t="s">
        <v>18</v>
      </c>
      <c r="G55" s="1">
        <v>44053</v>
      </c>
      <c r="H55" s="1">
        <v>44255</v>
      </c>
      <c r="I55" t="s">
        <v>257</v>
      </c>
      <c r="J55" t="s">
        <v>258</v>
      </c>
      <c r="K55" t="s">
        <v>37</v>
      </c>
      <c r="L55" t="s">
        <v>60</v>
      </c>
      <c r="M55" t="s">
        <v>22</v>
      </c>
    </row>
    <row r="56" spans="1:13" x14ac:dyDescent="0.3">
      <c r="A56" t="s">
        <v>259</v>
      </c>
      <c r="B56" t="s">
        <v>260</v>
      </c>
      <c r="C56" t="s">
        <v>87</v>
      </c>
      <c r="D56" t="s">
        <v>25</v>
      </c>
      <c r="E56" t="s">
        <v>26</v>
      </c>
      <c r="F56" t="s">
        <v>18</v>
      </c>
      <c r="G56" s="1">
        <v>45419</v>
      </c>
      <c r="H56" s="1">
        <v>45458</v>
      </c>
      <c r="I56" t="s">
        <v>261</v>
      </c>
      <c r="J56" t="s">
        <v>262</v>
      </c>
      <c r="K56" t="s">
        <v>21</v>
      </c>
      <c r="L56" t="s">
        <v>60</v>
      </c>
      <c r="M56" t="s">
        <v>22</v>
      </c>
    </row>
    <row r="57" spans="1:13" x14ac:dyDescent="0.3">
      <c r="A57" t="s">
        <v>263</v>
      </c>
      <c r="B57" t="s">
        <v>264</v>
      </c>
      <c r="C57" t="s">
        <v>181</v>
      </c>
      <c r="D57" t="s">
        <v>41</v>
      </c>
      <c r="F57" t="s">
        <v>151</v>
      </c>
      <c r="G57" s="1">
        <v>45413</v>
      </c>
      <c r="H57" s="1">
        <v>45551</v>
      </c>
      <c r="I57" t="s">
        <v>265</v>
      </c>
      <c r="J57" t="s">
        <v>266</v>
      </c>
      <c r="K57" t="s">
        <v>29</v>
      </c>
      <c r="L57" t="s">
        <v>91</v>
      </c>
      <c r="M57" t="s">
        <v>22</v>
      </c>
    </row>
    <row r="58" spans="1:13" x14ac:dyDescent="0.3">
      <c r="A58" t="s">
        <v>267</v>
      </c>
      <c r="B58" t="s">
        <v>268</v>
      </c>
      <c r="C58" t="s">
        <v>181</v>
      </c>
      <c r="D58" t="s">
        <v>41</v>
      </c>
      <c r="E58" t="s">
        <v>17</v>
      </c>
      <c r="F58" t="s">
        <v>18</v>
      </c>
      <c r="G58" s="1">
        <v>45139</v>
      </c>
      <c r="H58" s="1">
        <v>45146</v>
      </c>
      <c r="I58" t="s">
        <v>269</v>
      </c>
      <c r="J58" t="s">
        <v>270</v>
      </c>
      <c r="K58" t="s">
        <v>37</v>
      </c>
      <c r="M58" t="s">
        <v>22</v>
      </c>
    </row>
    <row r="59" spans="1:13" x14ac:dyDescent="0.3">
      <c r="A59" t="s">
        <v>271</v>
      </c>
      <c r="B59" t="s">
        <v>272</v>
      </c>
      <c r="C59" t="s">
        <v>87</v>
      </c>
      <c r="D59" t="s">
        <v>25</v>
      </c>
      <c r="E59" t="s">
        <v>26</v>
      </c>
      <c r="F59" t="s">
        <v>18</v>
      </c>
      <c r="G59" s="1">
        <v>45221</v>
      </c>
      <c r="H59" s="1">
        <v>45290</v>
      </c>
      <c r="I59" t="s">
        <v>273</v>
      </c>
      <c r="J59" t="s">
        <v>274</v>
      </c>
      <c r="K59" t="s">
        <v>90</v>
      </c>
      <c r="L59" t="s">
        <v>116</v>
      </c>
      <c r="M59" t="s">
        <v>22</v>
      </c>
    </row>
    <row r="60" spans="1:13" x14ac:dyDescent="0.3">
      <c r="A60" t="s">
        <v>275</v>
      </c>
      <c r="B60" t="s">
        <v>276</v>
      </c>
      <c r="C60" t="s">
        <v>76</v>
      </c>
      <c r="D60" t="s">
        <v>51</v>
      </c>
      <c r="E60" t="s">
        <v>52</v>
      </c>
      <c r="F60" t="s">
        <v>18</v>
      </c>
      <c r="G60" s="1">
        <v>44078</v>
      </c>
      <c r="H60" s="1">
        <v>44245</v>
      </c>
      <c r="I60" t="s">
        <v>277</v>
      </c>
      <c r="J60" t="s">
        <v>278</v>
      </c>
      <c r="K60" t="s">
        <v>37</v>
      </c>
      <c r="L60" t="s">
        <v>60</v>
      </c>
      <c r="M60" t="s">
        <v>22</v>
      </c>
    </row>
    <row r="61" spans="1:13" x14ac:dyDescent="0.3">
      <c r="A61" t="s">
        <v>279</v>
      </c>
      <c r="B61" t="s">
        <v>280</v>
      </c>
      <c r="C61" t="s">
        <v>76</v>
      </c>
      <c r="D61" t="s">
        <v>25</v>
      </c>
      <c r="E61" t="s">
        <v>26</v>
      </c>
      <c r="F61" t="s">
        <v>160</v>
      </c>
      <c r="G61" s="1">
        <v>44347</v>
      </c>
      <c r="H61" s="1">
        <v>44539</v>
      </c>
      <c r="I61" t="s">
        <v>281</v>
      </c>
      <c r="J61" t="s">
        <v>282</v>
      </c>
      <c r="K61" t="s">
        <v>29</v>
      </c>
      <c r="L61" t="s">
        <v>55</v>
      </c>
      <c r="M61" t="s">
        <v>22</v>
      </c>
    </row>
    <row r="62" spans="1:13" x14ac:dyDescent="0.3">
      <c r="A62" t="s">
        <v>283</v>
      </c>
      <c r="B62" t="s">
        <v>284</v>
      </c>
      <c r="C62" t="s">
        <v>76</v>
      </c>
      <c r="D62" t="s">
        <v>51</v>
      </c>
      <c r="E62" t="s">
        <v>52</v>
      </c>
      <c r="F62" t="s">
        <v>160</v>
      </c>
      <c r="G62" s="1">
        <v>45471</v>
      </c>
      <c r="H62" s="1">
        <v>45547</v>
      </c>
      <c r="I62" t="s">
        <v>285</v>
      </c>
      <c r="J62" t="s">
        <v>286</v>
      </c>
      <c r="K62" t="s">
        <v>21</v>
      </c>
      <c r="L62" t="s">
        <v>116</v>
      </c>
      <c r="M62" t="s">
        <v>22</v>
      </c>
    </row>
    <row r="63" spans="1:13" x14ac:dyDescent="0.3">
      <c r="A63" t="s">
        <v>287</v>
      </c>
      <c r="B63" t="s">
        <v>288</v>
      </c>
      <c r="C63" t="s">
        <v>46</v>
      </c>
      <c r="D63" t="s">
        <v>34</v>
      </c>
      <c r="E63" t="s">
        <v>26</v>
      </c>
      <c r="F63" t="s">
        <v>160</v>
      </c>
      <c r="G63" s="1">
        <v>45494</v>
      </c>
      <c r="H63" s="1">
        <v>45775</v>
      </c>
      <c r="I63" t="s">
        <v>289</v>
      </c>
      <c r="J63" t="s">
        <v>290</v>
      </c>
      <c r="K63" t="s">
        <v>90</v>
      </c>
      <c r="L63" t="s">
        <v>116</v>
      </c>
      <c r="M63" t="s">
        <v>22</v>
      </c>
    </row>
    <row r="64" spans="1:13" x14ac:dyDescent="0.3">
      <c r="A64" t="s">
        <v>291</v>
      </c>
      <c r="B64" t="s">
        <v>292</v>
      </c>
      <c r="C64" t="s">
        <v>33</v>
      </c>
      <c r="D64" t="s">
        <v>34</v>
      </c>
      <c r="E64" t="s">
        <v>26</v>
      </c>
      <c r="F64" t="s">
        <v>18</v>
      </c>
      <c r="G64" s="1">
        <v>45445</v>
      </c>
      <c r="H64" s="1">
        <v>45698</v>
      </c>
      <c r="I64" t="s">
        <v>293</v>
      </c>
      <c r="J64" t="s">
        <v>294</v>
      </c>
      <c r="K64" t="s">
        <v>21</v>
      </c>
      <c r="M64" t="s">
        <v>22</v>
      </c>
    </row>
    <row r="65" spans="1:13" x14ac:dyDescent="0.3">
      <c r="A65" t="s">
        <v>295</v>
      </c>
      <c r="B65" t="s">
        <v>296</v>
      </c>
      <c r="C65" t="s">
        <v>46</v>
      </c>
      <c r="D65" t="s">
        <v>25</v>
      </c>
      <c r="E65" t="s">
        <v>26</v>
      </c>
      <c r="F65" t="s">
        <v>160</v>
      </c>
      <c r="G65" s="1">
        <v>45311</v>
      </c>
      <c r="H65" s="1">
        <v>45545</v>
      </c>
      <c r="I65" t="s">
        <v>297</v>
      </c>
      <c r="K65" t="s">
        <v>37</v>
      </c>
      <c r="L65" t="s">
        <v>30</v>
      </c>
      <c r="M65" t="s">
        <v>22</v>
      </c>
    </row>
    <row r="66" spans="1:13" x14ac:dyDescent="0.3">
      <c r="A66" t="s">
        <v>298</v>
      </c>
      <c r="B66" t="s">
        <v>299</v>
      </c>
      <c r="C66" t="s">
        <v>76</v>
      </c>
      <c r="D66" t="s">
        <v>34</v>
      </c>
      <c r="E66" t="s">
        <v>26</v>
      </c>
      <c r="F66" t="s">
        <v>151</v>
      </c>
      <c r="G66" s="1">
        <v>43595</v>
      </c>
      <c r="H66" s="1">
        <v>43642</v>
      </c>
      <c r="I66" t="s">
        <v>300</v>
      </c>
      <c r="J66" t="s">
        <v>301</v>
      </c>
      <c r="K66" t="s">
        <v>21</v>
      </c>
      <c r="L66" t="s">
        <v>91</v>
      </c>
      <c r="M66" t="s">
        <v>22</v>
      </c>
    </row>
    <row r="67" spans="1:13" x14ac:dyDescent="0.3">
      <c r="A67" t="s">
        <v>302</v>
      </c>
      <c r="B67" t="s">
        <v>303</v>
      </c>
      <c r="C67" t="s">
        <v>76</v>
      </c>
      <c r="D67" t="s">
        <v>16</v>
      </c>
      <c r="E67" t="s">
        <v>17</v>
      </c>
      <c r="F67" t="s">
        <v>18</v>
      </c>
      <c r="G67" s="1">
        <v>43575</v>
      </c>
      <c r="H67" s="1">
        <v>43666</v>
      </c>
      <c r="I67" t="s">
        <v>304</v>
      </c>
      <c r="J67" t="s">
        <v>305</v>
      </c>
      <c r="K67" t="s">
        <v>37</v>
      </c>
      <c r="L67" t="s">
        <v>116</v>
      </c>
      <c r="M67" t="s">
        <v>22</v>
      </c>
    </row>
    <row r="68" spans="1:13" x14ac:dyDescent="0.3">
      <c r="A68" t="s">
        <v>306</v>
      </c>
      <c r="B68" t="s">
        <v>307</v>
      </c>
      <c r="C68" t="s">
        <v>33</v>
      </c>
      <c r="D68" t="s">
        <v>16</v>
      </c>
      <c r="E68" t="s">
        <v>17</v>
      </c>
      <c r="F68" t="s">
        <v>308</v>
      </c>
      <c r="G68" s="1">
        <v>43608</v>
      </c>
      <c r="H68" s="1">
        <v>43947</v>
      </c>
      <c r="I68" t="s">
        <v>309</v>
      </c>
      <c r="J68" t="s">
        <v>310</v>
      </c>
      <c r="K68" t="s">
        <v>29</v>
      </c>
      <c r="L68" t="s">
        <v>91</v>
      </c>
      <c r="M68" t="s">
        <v>22</v>
      </c>
    </row>
    <row r="69" spans="1:13" x14ac:dyDescent="0.3">
      <c r="A69" t="s">
        <v>311</v>
      </c>
      <c r="B69" t="s">
        <v>312</v>
      </c>
      <c r="C69" t="s">
        <v>33</v>
      </c>
      <c r="D69" t="s">
        <v>51</v>
      </c>
      <c r="E69" t="s">
        <v>52</v>
      </c>
      <c r="F69" t="s">
        <v>160</v>
      </c>
      <c r="G69" s="1">
        <v>44597</v>
      </c>
      <c r="H69" s="1">
        <v>44881</v>
      </c>
      <c r="I69" t="s">
        <v>313</v>
      </c>
      <c r="J69" t="s">
        <v>314</v>
      </c>
      <c r="K69" t="s">
        <v>37</v>
      </c>
      <c r="L69" t="s">
        <v>60</v>
      </c>
      <c r="M69" t="s">
        <v>22</v>
      </c>
    </row>
    <row r="70" spans="1:13" x14ac:dyDescent="0.3">
      <c r="A70" t="s">
        <v>315</v>
      </c>
      <c r="B70" t="s">
        <v>316</v>
      </c>
      <c r="C70" t="s">
        <v>87</v>
      </c>
      <c r="D70" t="s">
        <v>67</v>
      </c>
      <c r="E70" t="s">
        <v>26</v>
      </c>
      <c r="F70" t="s">
        <v>151</v>
      </c>
      <c r="G70" t="s">
        <v>317</v>
      </c>
      <c r="H70" s="1">
        <v>45153</v>
      </c>
      <c r="I70" t="s">
        <v>318</v>
      </c>
      <c r="J70" t="s">
        <v>319</v>
      </c>
      <c r="K70" t="s">
        <v>29</v>
      </c>
      <c r="L70" t="s">
        <v>91</v>
      </c>
      <c r="M70" t="s">
        <v>22</v>
      </c>
    </row>
    <row r="71" spans="1:13" x14ac:dyDescent="0.3">
      <c r="A71" t="s">
        <v>320</v>
      </c>
      <c r="B71" t="s">
        <v>321</v>
      </c>
      <c r="C71" t="s">
        <v>33</v>
      </c>
      <c r="D71" t="s">
        <v>25</v>
      </c>
      <c r="E71" t="s">
        <v>26</v>
      </c>
      <c r="F71" t="s">
        <v>18</v>
      </c>
      <c r="G71" s="1">
        <v>44143</v>
      </c>
      <c r="H71" s="1">
        <v>44169</v>
      </c>
      <c r="I71" t="s">
        <v>322</v>
      </c>
      <c r="J71" t="s">
        <v>323</v>
      </c>
      <c r="K71" t="s">
        <v>37</v>
      </c>
      <c r="L71" t="s">
        <v>30</v>
      </c>
      <c r="M71" t="s">
        <v>22</v>
      </c>
    </row>
    <row r="72" spans="1:13" x14ac:dyDescent="0.3">
      <c r="A72" t="s">
        <v>324</v>
      </c>
      <c r="B72" t="s">
        <v>325</v>
      </c>
      <c r="C72" t="s">
        <v>33</v>
      </c>
      <c r="D72" t="s">
        <v>77</v>
      </c>
      <c r="E72" t="s">
        <v>52</v>
      </c>
      <c r="F72" t="s">
        <v>18</v>
      </c>
      <c r="G72" s="1">
        <v>44312</v>
      </c>
      <c r="H72" s="1">
        <v>44646</v>
      </c>
      <c r="I72" t="s">
        <v>326</v>
      </c>
      <c r="J72" t="s">
        <v>327</v>
      </c>
      <c r="K72" t="s">
        <v>37</v>
      </c>
      <c r="L72" t="s">
        <v>55</v>
      </c>
      <c r="M72" t="s">
        <v>22</v>
      </c>
    </row>
    <row r="73" spans="1:13" x14ac:dyDescent="0.3">
      <c r="A73" t="s">
        <v>328</v>
      </c>
      <c r="B73" t="s">
        <v>329</v>
      </c>
      <c r="C73" t="s">
        <v>15</v>
      </c>
      <c r="D73" t="s">
        <v>51</v>
      </c>
      <c r="E73" t="s">
        <v>52</v>
      </c>
      <c r="F73" t="s">
        <v>160</v>
      </c>
      <c r="G73" s="1">
        <v>43749</v>
      </c>
      <c r="H73" s="1">
        <v>43958</v>
      </c>
      <c r="I73" t="s">
        <v>330</v>
      </c>
      <c r="J73" t="s">
        <v>331</v>
      </c>
      <c r="K73" t="s">
        <v>29</v>
      </c>
      <c r="L73" t="s">
        <v>55</v>
      </c>
      <c r="M73" t="s">
        <v>22</v>
      </c>
    </row>
    <row r="74" spans="1:13" x14ac:dyDescent="0.3">
      <c r="A74" t="s">
        <v>332</v>
      </c>
      <c r="B74" t="s">
        <v>333</v>
      </c>
      <c r="C74" t="s">
        <v>181</v>
      </c>
      <c r="D74" t="s">
        <v>16</v>
      </c>
      <c r="E74" t="s">
        <v>17</v>
      </c>
      <c r="F74" t="s">
        <v>18</v>
      </c>
      <c r="G74" s="1">
        <v>44981</v>
      </c>
      <c r="H74" s="1">
        <v>45264</v>
      </c>
      <c r="I74" t="s">
        <v>334</v>
      </c>
      <c r="J74" t="s">
        <v>335</v>
      </c>
      <c r="K74" t="s">
        <v>37</v>
      </c>
      <c r="L74" t="s">
        <v>91</v>
      </c>
      <c r="M74" t="s">
        <v>22</v>
      </c>
    </row>
    <row r="75" spans="1:13" x14ac:dyDescent="0.3">
      <c r="A75" t="s">
        <v>336</v>
      </c>
      <c r="B75" t="s">
        <v>337</v>
      </c>
      <c r="C75" t="s">
        <v>15</v>
      </c>
      <c r="D75" t="s">
        <v>16</v>
      </c>
      <c r="E75" t="s">
        <v>17</v>
      </c>
      <c r="F75" t="s">
        <v>18</v>
      </c>
      <c r="G75" s="1">
        <v>45181</v>
      </c>
      <c r="H75" s="1">
        <v>45183</v>
      </c>
      <c r="I75" t="s">
        <v>338</v>
      </c>
      <c r="J75" t="s">
        <v>339</v>
      </c>
      <c r="K75" t="s">
        <v>37</v>
      </c>
      <c r="L75" t="s">
        <v>60</v>
      </c>
      <c r="M75" t="s">
        <v>22</v>
      </c>
    </row>
    <row r="76" spans="1:13" x14ac:dyDescent="0.3">
      <c r="A76" t="s">
        <v>340</v>
      </c>
      <c r="B76" t="s">
        <v>341</v>
      </c>
      <c r="C76" t="s">
        <v>181</v>
      </c>
      <c r="D76" t="s">
        <v>16</v>
      </c>
      <c r="E76" t="s">
        <v>17</v>
      </c>
      <c r="F76" t="s">
        <v>18</v>
      </c>
      <c r="G76" s="1">
        <v>45627</v>
      </c>
      <c r="H76" s="1">
        <v>45843</v>
      </c>
      <c r="I76" t="s">
        <v>342</v>
      </c>
      <c r="J76" t="s">
        <v>343</v>
      </c>
      <c r="K76" t="s">
        <v>37</v>
      </c>
      <c r="L76" t="s">
        <v>116</v>
      </c>
      <c r="M76" t="s">
        <v>22</v>
      </c>
    </row>
    <row r="77" spans="1:13" x14ac:dyDescent="0.3">
      <c r="A77" t="s">
        <v>344</v>
      </c>
      <c r="B77" t="s">
        <v>345</v>
      </c>
      <c r="C77" t="s">
        <v>33</v>
      </c>
      <c r="D77" t="s">
        <v>41</v>
      </c>
      <c r="E77" t="s">
        <v>17</v>
      </c>
      <c r="F77" t="s">
        <v>18</v>
      </c>
      <c r="G77" s="1">
        <v>43935</v>
      </c>
      <c r="H77" s="1">
        <v>44018</v>
      </c>
      <c r="I77" t="s">
        <v>346</v>
      </c>
      <c r="J77" t="s">
        <v>347</v>
      </c>
      <c r="K77" t="s">
        <v>90</v>
      </c>
      <c r="L77" t="s">
        <v>116</v>
      </c>
      <c r="M77" t="s">
        <v>22</v>
      </c>
    </row>
    <row r="78" spans="1:13" x14ac:dyDescent="0.3">
      <c r="A78" t="s">
        <v>348</v>
      </c>
      <c r="B78" t="s">
        <v>349</v>
      </c>
      <c r="C78" t="s">
        <v>181</v>
      </c>
      <c r="D78" t="s">
        <v>16</v>
      </c>
      <c r="E78" t="s">
        <v>17</v>
      </c>
      <c r="F78" t="s">
        <v>18</v>
      </c>
      <c r="G78" s="1">
        <v>44155</v>
      </c>
      <c r="H78" s="1">
        <v>44415</v>
      </c>
      <c r="I78" t="s">
        <v>350</v>
      </c>
      <c r="J78" t="s">
        <v>351</v>
      </c>
      <c r="K78" t="s">
        <v>90</v>
      </c>
      <c r="L78" t="s">
        <v>91</v>
      </c>
      <c r="M78" t="s">
        <v>22</v>
      </c>
    </row>
    <row r="79" spans="1:13" x14ac:dyDescent="0.3">
      <c r="A79" t="s">
        <v>352</v>
      </c>
      <c r="B79" t="s">
        <v>353</v>
      </c>
      <c r="C79" t="s">
        <v>15</v>
      </c>
      <c r="D79" t="s">
        <v>34</v>
      </c>
      <c r="E79" t="s">
        <v>26</v>
      </c>
      <c r="F79" t="s">
        <v>18</v>
      </c>
      <c r="G79" s="1">
        <v>45426</v>
      </c>
      <c r="H79" s="1">
        <v>45749</v>
      </c>
      <c r="I79" t="s">
        <v>354</v>
      </c>
      <c r="J79" t="s">
        <v>355</v>
      </c>
      <c r="K79" t="s">
        <v>90</v>
      </c>
      <c r="M79" t="s">
        <v>22</v>
      </c>
    </row>
    <row r="80" spans="1:13" x14ac:dyDescent="0.3">
      <c r="A80" t="s">
        <v>356</v>
      </c>
      <c r="B80" t="s">
        <v>357</v>
      </c>
      <c r="C80" t="s">
        <v>15</v>
      </c>
      <c r="D80" t="s">
        <v>77</v>
      </c>
      <c r="E80" t="s">
        <v>52</v>
      </c>
      <c r="F80" t="s">
        <v>18</v>
      </c>
      <c r="G80" s="1">
        <v>45386</v>
      </c>
      <c r="H80" s="1">
        <v>45750</v>
      </c>
      <c r="I80" t="s">
        <v>358</v>
      </c>
      <c r="J80" t="s">
        <v>359</v>
      </c>
      <c r="K80" t="s">
        <v>21</v>
      </c>
      <c r="L80" t="s">
        <v>30</v>
      </c>
      <c r="M80" t="s">
        <v>22</v>
      </c>
    </row>
    <row r="81" spans="1:13" x14ac:dyDescent="0.3">
      <c r="A81" t="s">
        <v>360</v>
      </c>
      <c r="B81" t="s">
        <v>361</v>
      </c>
      <c r="C81" t="s">
        <v>40</v>
      </c>
      <c r="D81" t="s">
        <v>34</v>
      </c>
      <c r="E81" t="s">
        <v>26</v>
      </c>
      <c r="F81" t="s">
        <v>18</v>
      </c>
      <c r="G81" s="1">
        <v>45037</v>
      </c>
      <c r="H81" s="1">
        <v>45064</v>
      </c>
      <c r="I81" t="s">
        <v>362</v>
      </c>
      <c r="J81" t="s">
        <v>363</v>
      </c>
      <c r="K81" t="s">
        <v>21</v>
      </c>
      <c r="L81" t="s">
        <v>55</v>
      </c>
      <c r="M81" t="s">
        <v>22</v>
      </c>
    </row>
    <row r="82" spans="1:13" x14ac:dyDescent="0.3">
      <c r="A82" t="s">
        <v>364</v>
      </c>
      <c r="B82" t="s">
        <v>365</v>
      </c>
      <c r="C82" t="s">
        <v>33</v>
      </c>
      <c r="D82" t="s">
        <v>16</v>
      </c>
      <c r="E82" t="s">
        <v>17</v>
      </c>
      <c r="F82" t="s">
        <v>18</v>
      </c>
      <c r="G82" s="1">
        <v>45217</v>
      </c>
      <c r="H82" s="1">
        <v>45368</v>
      </c>
      <c r="I82" t="s">
        <v>366</v>
      </c>
      <c r="J82" t="s">
        <v>367</v>
      </c>
      <c r="K82" t="s">
        <v>90</v>
      </c>
      <c r="L82" t="s">
        <v>60</v>
      </c>
      <c r="M82" t="s">
        <v>22</v>
      </c>
    </row>
    <row r="83" spans="1:13" x14ac:dyDescent="0.3">
      <c r="A83" t="s">
        <v>368</v>
      </c>
      <c r="B83" t="s">
        <v>369</v>
      </c>
      <c r="C83" t="s">
        <v>76</v>
      </c>
      <c r="D83" t="s">
        <v>16</v>
      </c>
      <c r="E83" t="s">
        <v>17</v>
      </c>
      <c r="F83" t="s">
        <v>18</v>
      </c>
      <c r="G83" t="s">
        <v>317</v>
      </c>
      <c r="H83" s="1">
        <v>45847</v>
      </c>
      <c r="I83" t="s">
        <v>370</v>
      </c>
      <c r="J83" t="s">
        <v>371</v>
      </c>
      <c r="K83" t="s">
        <v>29</v>
      </c>
      <c r="M83" t="s">
        <v>22</v>
      </c>
    </row>
    <row r="84" spans="1:13" x14ac:dyDescent="0.3">
      <c r="A84" t="s">
        <v>372</v>
      </c>
      <c r="B84" t="s">
        <v>373</v>
      </c>
      <c r="C84" t="s">
        <v>40</v>
      </c>
      <c r="D84" t="s">
        <v>25</v>
      </c>
      <c r="E84" t="s">
        <v>26</v>
      </c>
      <c r="F84" t="s">
        <v>18</v>
      </c>
      <c r="G84" s="1">
        <v>44011</v>
      </c>
      <c r="H84" s="1">
        <v>44176</v>
      </c>
      <c r="I84" t="s">
        <v>374</v>
      </c>
      <c r="K84" t="s">
        <v>21</v>
      </c>
      <c r="M84" t="s">
        <v>22</v>
      </c>
    </row>
    <row r="85" spans="1:13" x14ac:dyDescent="0.3">
      <c r="A85" t="s">
        <v>375</v>
      </c>
      <c r="B85" t="s">
        <v>376</v>
      </c>
      <c r="C85" t="s">
        <v>33</v>
      </c>
      <c r="D85" t="s">
        <v>41</v>
      </c>
      <c r="E85" t="s">
        <v>17</v>
      </c>
      <c r="F85" t="s">
        <v>151</v>
      </c>
      <c r="G85" s="1">
        <v>43634</v>
      </c>
      <c r="H85" s="1">
        <v>43931</v>
      </c>
      <c r="I85" t="s">
        <v>377</v>
      </c>
      <c r="J85" t="s">
        <v>378</v>
      </c>
      <c r="K85" t="s">
        <v>37</v>
      </c>
      <c r="L85" t="s">
        <v>91</v>
      </c>
      <c r="M85" t="s">
        <v>22</v>
      </c>
    </row>
    <row r="86" spans="1:13" x14ac:dyDescent="0.3">
      <c r="A86" t="s">
        <v>379</v>
      </c>
      <c r="B86" t="s">
        <v>380</v>
      </c>
      <c r="C86" t="s">
        <v>46</v>
      </c>
      <c r="D86" t="s">
        <v>41</v>
      </c>
      <c r="E86" t="s">
        <v>17</v>
      </c>
      <c r="F86" t="s">
        <v>18</v>
      </c>
      <c r="G86" s="1">
        <v>45063</v>
      </c>
      <c r="H86" s="1">
        <v>45305</v>
      </c>
      <c r="I86" t="s">
        <v>381</v>
      </c>
      <c r="J86" t="s">
        <v>382</v>
      </c>
      <c r="K86" t="s">
        <v>21</v>
      </c>
      <c r="L86" t="s">
        <v>60</v>
      </c>
      <c r="M86" t="s">
        <v>22</v>
      </c>
    </row>
    <row r="87" spans="1:13" x14ac:dyDescent="0.3">
      <c r="A87" t="s">
        <v>383</v>
      </c>
      <c r="B87" t="s">
        <v>384</v>
      </c>
      <c r="C87" t="s">
        <v>40</v>
      </c>
      <c r="D87" t="s">
        <v>16</v>
      </c>
      <c r="E87" t="s">
        <v>17</v>
      </c>
      <c r="F87" t="s">
        <v>18</v>
      </c>
      <c r="G87" s="1">
        <v>44084</v>
      </c>
      <c r="H87" s="1">
        <v>44378</v>
      </c>
      <c r="I87" t="s">
        <v>385</v>
      </c>
      <c r="J87" t="s">
        <v>386</v>
      </c>
      <c r="K87" t="s">
        <v>29</v>
      </c>
      <c r="L87" t="s">
        <v>30</v>
      </c>
      <c r="M87" t="s">
        <v>22</v>
      </c>
    </row>
    <row r="88" spans="1:13" x14ac:dyDescent="0.3">
      <c r="A88" t="s">
        <v>387</v>
      </c>
      <c r="B88" t="s">
        <v>388</v>
      </c>
      <c r="C88" t="s">
        <v>181</v>
      </c>
      <c r="D88" t="s">
        <v>41</v>
      </c>
      <c r="E88" t="s">
        <v>17</v>
      </c>
      <c r="F88" t="s">
        <v>18</v>
      </c>
      <c r="G88" s="1">
        <v>43569</v>
      </c>
      <c r="H88" s="1">
        <v>43872</v>
      </c>
      <c r="I88" t="s">
        <v>389</v>
      </c>
      <c r="J88" t="s">
        <v>390</v>
      </c>
      <c r="K88" t="s">
        <v>21</v>
      </c>
      <c r="L88" t="s">
        <v>60</v>
      </c>
      <c r="M88" t="s">
        <v>22</v>
      </c>
    </row>
    <row r="89" spans="1:13" x14ac:dyDescent="0.3">
      <c r="A89" t="s">
        <v>391</v>
      </c>
      <c r="B89" t="s">
        <v>392</v>
      </c>
      <c r="C89" t="s">
        <v>76</v>
      </c>
      <c r="D89" t="s">
        <v>25</v>
      </c>
      <c r="E89" t="s">
        <v>26</v>
      </c>
      <c r="F89" t="s">
        <v>151</v>
      </c>
      <c r="G89" s="1">
        <v>44725</v>
      </c>
      <c r="H89" s="1">
        <v>44847</v>
      </c>
      <c r="I89" t="s">
        <v>393</v>
      </c>
      <c r="J89" t="s">
        <v>394</v>
      </c>
      <c r="K89" t="s">
        <v>90</v>
      </c>
      <c r="L89" t="s">
        <v>60</v>
      </c>
      <c r="M89" t="s">
        <v>22</v>
      </c>
    </row>
    <row r="90" spans="1:13" x14ac:dyDescent="0.3">
      <c r="A90" t="s">
        <v>395</v>
      </c>
      <c r="B90" t="s">
        <v>396</v>
      </c>
      <c r="C90" t="s">
        <v>87</v>
      </c>
      <c r="D90" t="s">
        <v>16</v>
      </c>
      <c r="E90" t="s">
        <v>17</v>
      </c>
      <c r="F90" t="s">
        <v>18</v>
      </c>
      <c r="G90" s="1">
        <v>44749</v>
      </c>
      <c r="H90" s="1">
        <v>44937</v>
      </c>
      <c r="I90" t="s">
        <v>397</v>
      </c>
      <c r="J90" t="s">
        <v>398</v>
      </c>
      <c r="K90" t="s">
        <v>21</v>
      </c>
      <c r="L90" t="s">
        <v>55</v>
      </c>
      <c r="M90" t="s">
        <v>22</v>
      </c>
    </row>
    <row r="91" spans="1:13" x14ac:dyDescent="0.3">
      <c r="A91" t="s">
        <v>399</v>
      </c>
      <c r="B91" t="s">
        <v>400</v>
      </c>
      <c r="C91" t="s">
        <v>40</v>
      </c>
      <c r="D91" t="s">
        <v>34</v>
      </c>
      <c r="E91" t="s">
        <v>26</v>
      </c>
      <c r="F91" t="s">
        <v>18</v>
      </c>
      <c r="G91" s="1">
        <v>44491</v>
      </c>
      <c r="H91" s="1">
        <v>44504</v>
      </c>
      <c r="I91" t="s">
        <v>401</v>
      </c>
      <c r="J91" t="s">
        <v>402</v>
      </c>
      <c r="K91" t="s">
        <v>90</v>
      </c>
      <c r="M91" t="s">
        <v>22</v>
      </c>
    </row>
    <row r="92" spans="1:13" x14ac:dyDescent="0.3">
      <c r="A92" t="s">
        <v>403</v>
      </c>
      <c r="B92" t="s">
        <v>404</v>
      </c>
      <c r="C92" t="s">
        <v>87</v>
      </c>
      <c r="D92" t="s">
        <v>34</v>
      </c>
      <c r="E92" t="s">
        <v>26</v>
      </c>
      <c r="F92" t="s">
        <v>18</v>
      </c>
      <c r="G92" s="1">
        <v>44458</v>
      </c>
      <c r="H92" s="1">
        <v>44624</v>
      </c>
      <c r="I92" t="s">
        <v>405</v>
      </c>
      <c r="J92" t="s">
        <v>406</v>
      </c>
      <c r="K92" t="s">
        <v>21</v>
      </c>
      <c r="L92" t="s">
        <v>116</v>
      </c>
      <c r="M92" t="s">
        <v>22</v>
      </c>
    </row>
    <row r="93" spans="1:13" x14ac:dyDescent="0.3">
      <c r="A93" t="s">
        <v>407</v>
      </c>
      <c r="B93" t="s">
        <v>408</v>
      </c>
      <c r="C93" t="s">
        <v>87</v>
      </c>
      <c r="D93" t="s">
        <v>67</v>
      </c>
      <c r="E93" t="s">
        <v>26</v>
      </c>
      <c r="F93" t="s">
        <v>18</v>
      </c>
      <c r="G93" s="1">
        <v>44020</v>
      </c>
      <c r="H93" s="1">
        <v>44221</v>
      </c>
      <c r="I93" t="s">
        <v>409</v>
      </c>
      <c r="J93" t="s">
        <v>410</v>
      </c>
      <c r="K93" t="s">
        <v>21</v>
      </c>
      <c r="L93" t="s">
        <v>60</v>
      </c>
      <c r="M93" t="s">
        <v>22</v>
      </c>
    </row>
    <row r="94" spans="1:13" x14ac:dyDescent="0.3">
      <c r="A94" t="s">
        <v>411</v>
      </c>
      <c r="B94" t="s">
        <v>412</v>
      </c>
      <c r="C94" t="s">
        <v>181</v>
      </c>
      <c r="D94" t="s">
        <v>77</v>
      </c>
      <c r="E94" t="s">
        <v>52</v>
      </c>
      <c r="F94" t="s">
        <v>18</v>
      </c>
      <c r="G94" s="1">
        <v>44175</v>
      </c>
      <c r="H94" s="1">
        <v>44459</v>
      </c>
      <c r="I94" t="s">
        <v>413</v>
      </c>
      <c r="J94" t="s">
        <v>414</v>
      </c>
      <c r="K94" t="s">
        <v>29</v>
      </c>
      <c r="L94" t="s">
        <v>55</v>
      </c>
      <c r="M94" t="s">
        <v>22</v>
      </c>
    </row>
    <row r="95" spans="1:13" x14ac:dyDescent="0.3">
      <c r="A95" t="s">
        <v>415</v>
      </c>
      <c r="B95" t="s">
        <v>416</v>
      </c>
      <c r="C95" t="s">
        <v>33</v>
      </c>
      <c r="D95" t="s">
        <v>77</v>
      </c>
      <c r="E95" t="s">
        <v>52</v>
      </c>
      <c r="F95" t="s">
        <v>18</v>
      </c>
      <c r="G95" s="1">
        <v>44301</v>
      </c>
      <c r="H95" s="1">
        <v>44511</v>
      </c>
      <c r="I95" t="s">
        <v>417</v>
      </c>
      <c r="J95" t="s">
        <v>418</v>
      </c>
      <c r="K95" t="s">
        <v>90</v>
      </c>
      <c r="M95" t="s">
        <v>22</v>
      </c>
    </row>
    <row r="96" spans="1:13" x14ac:dyDescent="0.3">
      <c r="A96" t="s">
        <v>419</v>
      </c>
      <c r="B96" t="s">
        <v>420</v>
      </c>
      <c r="C96" t="s">
        <v>87</v>
      </c>
      <c r="D96" t="s">
        <v>51</v>
      </c>
      <c r="E96" t="s">
        <v>52</v>
      </c>
      <c r="F96" t="s">
        <v>18</v>
      </c>
      <c r="G96" s="1">
        <v>43632</v>
      </c>
      <c r="H96" s="1">
        <v>43674</v>
      </c>
      <c r="I96" t="s">
        <v>421</v>
      </c>
      <c r="J96" t="s">
        <v>422</v>
      </c>
      <c r="K96" t="s">
        <v>90</v>
      </c>
      <c r="L96" t="s">
        <v>30</v>
      </c>
      <c r="M96" t="s">
        <v>22</v>
      </c>
    </row>
    <row r="97" spans="1:13" x14ac:dyDescent="0.3">
      <c r="A97" t="s">
        <v>423</v>
      </c>
      <c r="B97" t="s">
        <v>424</v>
      </c>
      <c r="C97" t="s">
        <v>46</v>
      </c>
      <c r="D97" t="s">
        <v>77</v>
      </c>
      <c r="E97" t="s">
        <v>52</v>
      </c>
      <c r="F97" t="s">
        <v>18</v>
      </c>
      <c r="G97" s="1">
        <v>43643</v>
      </c>
      <c r="H97" s="1">
        <v>44000</v>
      </c>
      <c r="I97" t="s">
        <v>425</v>
      </c>
      <c r="J97" t="s">
        <v>426</v>
      </c>
      <c r="K97" t="s">
        <v>37</v>
      </c>
      <c r="L97" t="s">
        <v>30</v>
      </c>
      <c r="M97" t="s">
        <v>22</v>
      </c>
    </row>
    <row r="98" spans="1:13" x14ac:dyDescent="0.3">
      <c r="A98" t="s">
        <v>427</v>
      </c>
      <c r="B98" t="s">
        <v>428</v>
      </c>
      <c r="C98" t="s">
        <v>181</v>
      </c>
      <c r="D98" t="s">
        <v>34</v>
      </c>
      <c r="E98" t="s">
        <v>26</v>
      </c>
      <c r="F98" t="s">
        <v>18</v>
      </c>
      <c r="G98" s="1">
        <v>44517</v>
      </c>
      <c r="H98" s="1">
        <v>44572</v>
      </c>
      <c r="I98" t="s">
        <v>429</v>
      </c>
      <c r="J98" t="s">
        <v>430</v>
      </c>
      <c r="K98" t="s">
        <v>21</v>
      </c>
      <c r="L98" t="s">
        <v>30</v>
      </c>
      <c r="M98" t="s">
        <v>22</v>
      </c>
    </row>
    <row r="99" spans="1:13" x14ac:dyDescent="0.3">
      <c r="A99" t="s">
        <v>431</v>
      </c>
      <c r="B99" t="s">
        <v>432</v>
      </c>
      <c r="C99" t="s">
        <v>40</v>
      </c>
      <c r="D99" t="s">
        <v>67</v>
      </c>
      <c r="E99" t="s">
        <v>26</v>
      </c>
      <c r="F99" t="s">
        <v>18</v>
      </c>
      <c r="G99" s="1">
        <v>44419</v>
      </c>
      <c r="H99" s="1">
        <v>44500</v>
      </c>
      <c r="I99" t="s">
        <v>433</v>
      </c>
      <c r="J99" t="s">
        <v>434</v>
      </c>
      <c r="K99" t="s">
        <v>37</v>
      </c>
      <c r="L99" t="s">
        <v>116</v>
      </c>
      <c r="M99" t="s">
        <v>22</v>
      </c>
    </row>
    <row r="100" spans="1:13" x14ac:dyDescent="0.3">
      <c r="A100" t="s">
        <v>435</v>
      </c>
      <c r="B100" t="s">
        <v>436</v>
      </c>
      <c r="C100" t="s">
        <v>33</v>
      </c>
      <c r="D100" t="s">
        <v>51</v>
      </c>
      <c r="E100" t="s">
        <v>52</v>
      </c>
      <c r="F100" t="s">
        <v>151</v>
      </c>
      <c r="G100" s="1">
        <v>45568</v>
      </c>
      <c r="H100" s="1">
        <v>45699</v>
      </c>
      <c r="I100" t="s">
        <v>437</v>
      </c>
      <c r="J100" t="s">
        <v>438</v>
      </c>
      <c r="K100" t="s">
        <v>21</v>
      </c>
      <c r="L100" t="s">
        <v>30</v>
      </c>
      <c r="M100" t="s">
        <v>22</v>
      </c>
    </row>
    <row r="101" spans="1:13" x14ac:dyDescent="0.3">
      <c r="A101" t="s">
        <v>439</v>
      </c>
      <c r="B101" t="s">
        <v>440</v>
      </c>
      <c r="C101" t="s">
        <v>40</v>
      </c>
      <c r="D101" t="s">
        <v>25</v>
      </c>
      <c r="E101" t="s">
        <v>26</v>
      </c>
      <c r="F101" t="s">
        <v>18</v>
      </c>
      <c r="G101" s="1">
        <v>45234</v>
      </c>
      <c r="H101" s="1">
        <v>45267</v>
      </c>
      <c r="I101" t="s">
        <v>441</v>
      </c>
      <c r="J101" t="s">
        <v>442</v>
      </c>
      <c r="K101" t="s">
        <v>90</v>
      </c>
      <c r="L101" t="s">
        <v>116</v>
      </c>
      <c r="M101" t="s">
        <v>22</v>
      </c>
    </row>
    <row r="102" spans="1:13" x14ac:dyDescent="0.3">
      <c r="A102" t="s">
        <v>443</v>
      </c>
      <c r="B102" t="s">
        <v>444</v>
      </c>
      <c r="C102" t="s">
        <v>40</v>
      </c>
      <c r="D102" t="s">
        <v>41</v>
      </c>
      <c r="E102" t="s">
        <v>17</v>
      </c>
      <c r="F102" t="s">
        <v>160</v>
      </c>
      <c r="G102" s="1">
        <v>43689</v>
      </c>
      <c r="H102" s="1">
        <v>43694</v>
      </c>
      <c r="I102" t="s">
        <v>445</v>
      </c>
      <c r="J102" t="s">
        <v>446</v>
      </c>
      <c r="K102" t="s">
        <v>21</v>
      </c>
      <c r="L102" t="s">
        <v>30</v>
      </c>
      <c r="M102" t="s">
        <v>22</v>
      </c>
    </row>
    <row r="103" spans="1:13" x14ac:dyDescent="0.3">
      <c r="A103" t="s">
        <v>447</v>
      </c>
      <c r="B103" t="s">
        <v>448</v>
      </c>
      <c r="C103" t="s">
        <v>15</v>
      </c>
      <c r="D103" t="s">
        <v>41</v>
      </c>
      <c r="E103" t="s">
        <v>17</v>
      </c>
      <c r="F103" t="s">
        <v>160</v>
      </c>
      <c r="G103" s="1">
        <v>45594</v>
      </c>
      <c r="H103" s="1">
        <v>45924</v>
      </c>
      <c r="I103" t="s">
        <v>449</v>
      </c>
      <c r="J103" t="s">
        <v>450</v>
      </c>
      <c r="K103" t="s">
        <v>29</v>
      </c>
      <c r="M103" t="s">
        <v>22</v>
      </c>
    </row>
    <row r="104" spans="1:13" x14ac:dyDescent="0.3">
      <c r="A104" t="s">
        <v>451</v>
      </c>
      <c r="B104" t="s">
        <v>452</v>
      </c>
      <c r="C104" t="s">
        <v>453</v>
      </c>
      <c r="D104" t="s">
        <v>16</v>
      </c>
      <c r="E104" t="s">
        <v>17</v>
      </c>
      <c r="F104" t="s">
        <v>18</v>
      </c>
      <c r="G104" s="1">
        <v>45362</v>
      </c>
      <c r="H104" s="1">
        <v>45528</v>
      </c>
      <c r="I104" t="s">
        <v>454</v>
      </c>
      <c r="J104" t="s">
        <v>455</v>
      </c>
      <c r="K104" t="s">
        <v>21</v>
      </c>
      <c r="L104" t="s">
        <v>55</v>
      </c>
      <c r="M104" t="s">
        <v>22</v>
      </c>
    </row>
    <row r="105" spans="1:13" x14ac:dyDescent="0.3">
      <c r="A105" t="s">
        <v>456</v>
      </c>
      <c r="B105" t="s">
        <v>457</v>
      </c>
      <c r="C105" t="s">
        <v>40</v>
      </c>
      <c r="D105" t="s">
        <v>25</v>
      </c>
      <c r="E105" t="s">
        <v>26</v>
      </c>
      <c r="F105" t="s">
        <v>18</v>
      </c>
      <c r="G105" s="1">
        <v>44198</v>
      </c>
      <c r="H105" s="1">
        <v>44345</v>
      </c>
      <c r="I105" t="s">
        <v>458</v>
      </c>
      <c r="J105" t="s">
        <v>459</v>
      </c>
      <c r="K105" t="s">
        <v>37</v>
      </c>
      <c r="L105" t="s">
        <v>116</v>
      </c>
      <c r="M105" t="s">
        <v>22</v>
      </c>
    </row>
    <row r="106" spans="1:13" x14ac:dyDescent="0.3">
      <c r="A106" t="s">
        <v>460</v>
      </c>
      <c r="B106" t="s">
        <v>461</v>
      </c>
      <c r="C106" t="s">
        <v>46</v>
      </c>
      <c r="D106" t="s">
        <v>34</v>
      </c>
      <c r="E106" t="s">
        <v>26</v>
      </c>
      <c r="F106" t="s">
        <v>151</v>
      </c>
      <c r="G106" s="1">
        <v>45464</v>
      </c>
      <c r="H106" s="1">
        <v>45582</v>
      </c>
      <c r="I106" t="s">
        <v>177</v>
      </c>
      <c r="J106" t="s">
        <v>462</v>
      </c>
      <c r="K106" t="s">
        <v>90</v>
      </c>
      <c r="L106" t="s">
        <v>30</v>
      </c>
      <c r="M106" t="s">
        <v>22</v>
      </c>
    </row>
    <row r="107" spans="1:13" x14ac:dyDescent="0.3">
      <c r="A107" t="s">
        <v>463</v>
      </c>
      <c r="B107" t="s">
        <v>464</v>
      </c>
      <c r="C107" t="s">
        <v>33</v>
      </c>
      <c r="D107" t="s">
        <v>16</v>
      </c>
      <c r="E107" t="s">
        <v>17</v>
      </c>
      <c r="F107" t="s">
        <v>18</v>
      </c>
      <c r="G107" s="1">
        <v>44235</v>
      </c>
      <c r="H107" s="1">
        <v>44454</v>
      </c>
      <c r="I107" t="s">
        <v>465</v>
      </c>
      <c r="J107" t="s">
        <v>466</v>
      </c>
      <c r="K107" t="s">
        <v>21</v>
      </c>
      <c r="L107" t="s">
        <v>30</v>
      </c>
      <c r="M107" t="s">
        <v>22</v>
      </c>
    </row>
    <row r="108" spans="1:13" x14ac:dyDescent="0.3">
      <c r="A108" t="s">
        <v>467</v>
      </c>
      <c r="B108" t="s">
        <v>468</v>
      </c>
      <c r="C108" t="s">
        <v>87</v>
      </c>
      <c r="D108" t="s">
        <v>16</v>
      </c>
      <c r="E108" t="s">
        <v>17</v>
      </c>
      <c r="F108" t="s">
        <v>151</v>
      </c>
      <c r="G108" s="1">
        <v>44003</v>
      </c>
      <c r="H108" s="1">
        <v>44186</v>
      </c>
      <c r="I108" t="s">
        <v>469</v>
      </c>
      <c r="J108" t="s">
        <v>470</v>
      </c>
      <c r="K108" t="s">
        <v>37</v>
      </c>
      <c r="L108" t="s">
        <v>30</v>
      </c>
      <c r="M108" t="s">
        <v>22</v>
      </c>
    </row>
    <row r="109" spans="1:13" x14ac:dyDescent="0.3">
      <c r="A109" t="s">
        <v>471</v>
      </c>
      <c r="B109" t="s">
        <v>472</v>
      </c>
      <c r="C109" t="s">
        <v>46</v>
      </c>
      <c r="D109" t="s">
        <v>41</v>
      </c>
      <c r="E109" t="s">
        <v>17</v>
      </c>
      <c r="F109" t="s">
        <v>473</v>
      </c>
      <c r="G109" s="1">
        <v>44180</v>
      </c>
      <c r="H109" s="1">
        <v>44325</v>
      </c>
      <c r="I109" t="s">
        <v>474</v>
      </c>
      <c r="J109" t="s">
        <v>475</v>
      </c>
      <c r="K109" t="s">
        <v>21</v>
      </c>
      <c r="M109" t="s">
        <v>22</v>
      </c>
    </row>
    <row r="110" spans="1:13" x14ac:dyDescent="0.3">
      <c r="A110" t="s">
        <v>476</v>
      </c>
      <c r="B110" t="s">
        <v>477</v>
      </c>
      <c r="C110" t="s">
        <v>181</v>
      </c>
      <c r="D110" t="s">
        <v>25</v>
      </c>
      <c r="E110" t="s">
        <v>26</v>
      </c>
      <c r="F110" t="s">
        <v>18</v>
      </c>
      <c r="G110" s="1">
        <v>44821</v>
      </c>
      <c r="H110" s="1">
        <v>45098</v>
      </c>
      <c r="I110" t="s">
        <v>177</v>
      </c>
      <c r="J110" t="s">
        <v>478</v>
      </c>
      <c r="K110" t="s">
        <v>90</v>
      </c>
      <c r="L110" t="s">
        <v>55</v>
      </c>
      <c r="M110" t="s">
        <v>22</v>
      </c>
    </row>
    <row r="111" spans="1:13" x14ac:dyDescent="0.3">
      <c r="A111" t="s">
        <v>479</v>
      </c>
      <c r="B111" t="s">
        <v>480</v>
      </c>
      <c r="C111" t="s">
        <v>87</v>
      </c>
      <c r="D111" t="s">
        <v>25</v>
      </c>
      <c r="E111" t="s">
        <v>26</v>
      </c>
      <c r="F111" t="s">
        <v>18</v>
      </c>
      <c r="G111" s="1">
        <v>44083</v>
      </c>
      <c r="H111" s="1">
        <v>44090</v>
      </c>
      <c r="I111" t="s">
        <v>481</v>
      </c>
      <c r="J111" t="s">
        <v>482</v>
      </c>
      <c r="K111" t="s">
        <v>29</v>
      </c>
      <c r="L111" t="s">
        <v>30</v>
      </c>
      <c r="M111" t="s">
        <v>22</v>
      </c>
    </row>
    <row r="112" spans="1:13" x14ac:dyDescent="0.3">
      <c r="A112" t="s">
        <v>483</v>
      </c>
      <c r="B112" t="s">
        <v>484</v>
      </c>
      <c r="C112" t="s">
        <v>76</v>
      </c>
      <c r="D112" t="s">
        <v>16</v>
      </c>
      <c r="E112" t="s">
        <v>17</v>
      </c>
      <c r="F112" t="s">
        <v>160</v>
      </c>
      <c r="G112" s="1">
        <v>45006</v>
      </c>
      <c r="H112" s="1">
        <v>45086</v>
      </c>
      <c r="I112" t="s">
        <v>485</v>
      </c>
      <c r="J112" t="s">
        <v>486</v>
      </c>
      <c r="K112" t="s">
        <v>90</v>
      </c>
      <c r="L112" t="s">
        <v>60</v>
      </c>
      <c r="M112" t="s">
        <v>22</v>
      </c>
    </row>
    <row r="113" spans="1:13" x14ac:dyDescent="0.3">
      <c r="A113" t="s">
        <v>487</v>
      </c>
      <c r="B113" t="s">
        <v>488</v>
      </c>
      <c r="C113" t="s">
        <v>40</v>
      </c>
      <c r="D113" t="s">
        <v>67</v>
      </c>
      <c r="E113" t="s">
        <v>26</v>
      </c>
      <c r="F113" t="s">
        <v>18</v>
      </c>
      <c r="G113" s="1">
        <v>45056</v>
      </c>
      <c r="H113" s="1">
        <v>45180</v>
      </c>
      <c r="I113" t="s">
        <v>489</v>
      </c>
      <c r="J113" t="s">
        <v>490</v>
      </c>
      <c r="K113" t="s">
        <v>29</v>
      </c>
      <c r="M113" t="s">
        <v>22</v>
      </c>
    </row>
    <row r="114" spans="1:13" x14ac:dyDescent="0.3">
      <c r="A114" t="s">
        <v>491</v>
      </c>
      <c r="B114" t="s">
        <v>492</v>
      </c>
      <c r="C114" t="s">
        <v>181</v>
      </c>
      <c r="D114" t="s">
        <v>77</v>
      </c>
      <c r="E114" t="s">
        <v>52</v>
      </c>
      <c r="F114" t="s">
        <v>18</v>
      </c>
      <c r="G114" s="1">
        <v>44720</v>
      </c>
      <c r="H114" s="1">
        <v>45059</v>
      </c>
      <c r="I114" t="s">
        <v>493</v>
      </c>
      <c r="J114" t="s">
        <v>494</v>
      </c>
      <c r="K114" t="s">
        <v>21</v>
      </c>
      <c r="L114" t="s">
        <v>91</v>
      </c>
      <c r="M114" t="s">
        <v>22</v>
      </c>
    </row>
    <row r="115" spans="1:13" x14ac:dyDescent="0.3">
      <c r="A115" t="s">
        <v>495</v>
      </c>
      <c r="B115" t="s">
        <v>496</v>
      </c>
      <c r="C115" t="s">
        <v>46</v>
      </c>
      <c r="D115" t="s">
        <v>77</v>
      </c>
      <c r="E115" t="s">
        <v>52</v>
      </c>
      <c r="F115" t="s">
        <v>18</v>
      </c>
      <c r="G115" s="1">
        <v>45022</v>
      </c>
      <c r="H115" s="1">
        <v>45065</v>
      </c>
      <c r="I115" t="s">
        <v>497</v>
      </c>
      <c r="J115" t="s">
        <v>498</v>
      </c>
      <c r="K115" t="s">
        <v>37</v>
      </c>
      <c r="M115" t="s">
        <v>22</v>
      </c>
    </row>
    <row r="116" spans="1:13" x14ac:dyDescent="0.3">
      <c r="A116" t="s">
        <v>499</v>
      </c>
      <c r="B116" t="s">
        <v>500</v>
      </c>
      <c r="C116" t="s">
        <v>501</v>
      </c>
      <c r="D116" t="s">
        <v>67</v>
      </c>
      <c r="E116" t="s">
        <v>26</v>
      </c>
      <c r="F116" t="s">
        <v>18</v>
      </c>
      <c r="G116" s="1">
        <v>43976</v>
      </c>
      <c r="H116" s="1">
        <v>44129</v>
      </c>
      <c r="I116" t="s">
        <v>502</v>
      </c>
      <c r="J116" t="s">
        <v>503</v>
      </c>
      <c r="K116" t="s">
        <v>21</v>
      </c>
      <c r="L116" t="s">
        <v>116</v>
      </c>
      <c r="M116" t="s">
        <v>22</v>
      </c>
    </row>
    <row r="117" spans="1:13" x14ac:dyDescent="0.3">
      <c r="A117" t="s">
        <v>504</v>
      </c>
      <c r="B117" t="s">
        <v>505</v>
      </c>
      <c r="C117" t="s">
        <v>87</v>
      </c>
      <c r="D117" t="s">
        <v>34</v>
      </c>
      <c r="E117" t="s">
        <v>26</v>
      </c>
      <c r="F117" t="s">
        <v>18</v>
      </c>
      <c r="G117" s="1">
        <v>43553</v>
      </c>
      <c r="H117" s="1">
        <v>43578</v>
      </c>
      <c r="I117" t="s">
        <v>506</v>
      </c>
      <c r="J117" t="s">
        <v>507</v>
      </c>
      <c r="K117" t="s">
        <v>37</v>
      </c>
      <c r="L117" t="s">
        <v>91</v>
      </c>
      <c r="M117" t="s">
        <v>22</v>
      </c>
    </row>
    <row r="118" spans="1:13" x14ac:dyDescent="0.3">
      <c r="A118" t="s">
        <v>508</v>
      </c>
      <c r="B118" t="s">
        <v>509</v>
      </c>
      <c r="C118" t="s">
        <v>40</v>
      </c>
      <c r="D118" t="s">
        <v>34</v>
      </c>
      <c r="E118" t="s">
        <v>26</v>
      </c>
      <c r="F118" t="s">
        <v>18</v>
      </c>
      <c r="G118" s="1">
        <v>44933</v>
      </c>
      <c r="H118" s="1">
        <v>44965</v>
      </c>
      <c r="I118" t="s">
        <v>510</v>
      </c>
      <c r="J118" t="s">
        <v>511</v>
      </c>
      <c r="K118" t="s">
        <v>37</v>
      </c>
      <c r="L118" t="s">
        <v>30</v>
      </c>
      <c r="M118" t="s">
        <v>22</v>
      </c>
    </row>
    <row r="119" spans="1:13" x14ac:dyDescent="0.3">
      <c r="A119" t="s">
        <v>512</v>
      </c>
      <c r="B119" t="s">
        <v>513</v>
      </c>
      <c r="C119" t="s">
        <v>33</v>
      </c>
      <c r="D119" t="s">
        <v>34</v>
      </c>
      <c r="E119" t="s">
        <v>26</v>
      </c>
      <c r="F119" t="s">
        <v>18</v>
      </c>
      <c r="G119" s="1">
        <v>45409</v>
      </c>
      <c r="H119" s="1">
        <v>45427</v>
      </c>
      <c r="I119" t="s">
        <v>514</v>
      </c>
      <c r="J119" t="s">
        <v>515</v>
      </c>
      <c r="K119" t="s">
        <v>37</v>
      </c>
      <c r="M119" t="s">
        <v>22</v>
      </c>
    </row>
    <row r="120" spans="1:13" x14ac:dyDescent="0.3">
      <c r="A120" t="s">
        <v>516</v>
      </c>
      <c r="B120" t="s">
        <v>517</v>
      </c>
      <c r="C120" t="s">
        <v>46</v>
      </c>
      <c r="D120" t="s">
        <v>34</v>
      </c>
      <c r="E120" t="s">
        <v>26</v>
      </c>
      <c r="F120" t="s">
        <v>18</v>
      </c>
      <c r="G120" s="1">
        <v>45295</v>
      </c>
      <c r="H120" s="1">
        <v>45484</v>
      </c>
      <c r="I120" t="s">
        <v>518</v>
      </c>
      <c r="J120" t="s">
        <v>519</v>
      </c>
      <c r="K120" t="s">
        <v>37</v>
      </c>
      <c r="L120" t="s">
        <v>30</v>
      </c>
      <c r="M120" t="s">
        <v>22</v>
      </c>
    </row>
    <row r="121" spans="1:13" x14ac:dyDescent="0.3">
      <c r="A121" t="s">
        <v>520</v>
      </c>
      <c r="B121" t="s">
        <v>521</v>
      </c>
      <c r="C121" t="s">
        <v>15</v>
      </c>
      <c r="D121" t="s">
        <v>67</v>
      </c>
      <c r="E121" t="s">
        <v>26</v>
      </c>
      <c r="F121" t="s">
        <v>151</v>
      </c>
      <c r="G121" s="1">
        <v>45090</v>
      </c>
      <c r="H121" s="1">
        <v>45257</v>
      </c>
      <c r="I121" t="s">
        <v>522</v>
      </c>
      <c r="J121" t="s">
        <v>523</v>
      </c>
      <c r="K121" t="s">
        <v>21</v>
      </c>
      <c r="L121" t="s">
        <v>30</v>
      </c>
      <c r="M121" t="s">
        <v>22</v>
      </c>
    </row>
    <row r="122" spans="1:13" x14ac:dyDescent="0.3">
      <c r="A122" t="s">
        <v>524</v>
      </c>
      <c r="B122" t="s">
        <v>525</v>
      </c>
      <c r="C122" t="s">
        <v>87</v>
      </c>
      <c r="D122" t="s">
        <v>77</v>
      </c>
      <c r="E122" t="s">
        <v>52</v>
      </c>
      <c r="F122" t="s">
        <v>18</v>
      </c>
      <c r="G122" s="1">
        <v>44397</v>
      </c>
      <c r="H122" s="1">
        <v>44610</v>
      </c>
      <c r="I122" t="s">
        <v>526</v>
      </c>
      <c r="J122" t="s">
        <v>527</v>
      </c>
      <c r="K122" t="s">
        <v>21</v>
      </c>
      <c r="L122" t="s">
        <v>116</v>
      </c>
      <c r="M122" t="s">
        <v>22</v>
      </c>
    </row>
    <row r="123" spans="1:13" x14ac:dyDescent="0.3">
      <c r="A123" t="s">
        <v>528</v>
      </c>
      <c r="B123" t="s">
        <v>529</v>
      </c>
      <c r="C123" t="s">
        <v>15</v>
      </c>
      <c r="D123" t="s">
        <v>16</v>
      </c>
      <c r="E123" t="s">
        <v>17</v>
      </c>
      <c r="F123" t="s">
        <v>160</v>
      </c>
      <c r="G123" s="1">
        <v>44874</v>
      </c>
      <c r="H123" s="1">
        <v>45020</v>
      </c>
      <c r="I123" t="s">
        <v>530</v>
      </c>
      <c r="J123" t="s">
        <v>531</v>
      </c>
      <c r="K123" t="s">
        <v>90</v>
      </c>
      <c r="M123" t="s">
        <v>22</v>
      </c>
    </row>
    <row r="124" spans="1:13" x14ac:dyDescent="0.3">
      <c r="A124" t="s">
        <v>532</v>
      </c>
      <c r="B124" t="s">
        <v>533</v>
      </c>
      <c r="C124" t="s">
        <v>181</v>
      </c>
      <c r="D124" t="s">
        <v>77</v>
      </c>
      <c r="E124" t="s">
        <v>52</v>
      </c>
      <c r="F124" t="s">
        <v>18</v>
      </c>
      <c r="G124" s="1">
        <v>45017</v>
      </c>
      <c r="H124" s="1">
        <v>45196</v>
      </c>
      <c r="I124" t="s">
        <v>534</v>
      </c>
      <c r="J124" t="s">
        <v>535</v>
      </c>
      <c r="K124" t="s">
        <v>90</v>
      </c>
      <c r="L124" t="s">
        <v>30</v>
      </c>
      <c r="M124" t="s">
        <v>22</v>
      </c>
    </row>
    <row r="125" spans="1:13" x14ac:dyDescent="0.3">
      <c r="A125" t="s">
        <v>536</v>
      </c>
      <c r="B125" t="s">
        <v>537</v>
      </c>
      <c r="C125" t="s">
        <v>538</v>
      </c>
      <c r="D125" t="s">
        <v>51</v>
      </c>
      <c r="E125" t="s">
        <v>52</v>
      </c>
      <c r="F125" t="s">
        <v>18</v>
      </c>
      <c r="G125" s="1">
        <v>43563</v>
      </c>
      <c r="H125" s="1">
        <v>43880</v>
      </c>
      <c r="I125" t="s">
        <v>539</v>
      </c>
      <c r="J125" t="s">
        <v>540</v>
      </c>
      <c r="K125" t="s">
        <v>37</v>
      </c>
      <c r="L125" t="s">
        <v>91</v>
      </c>
      <c r="M125" t="s">
        <v>22</v>
      </c>
    </row>
    <row r="126" spans="1:13" x14ac:dyDescent="0.3">
      <c r="A126" t="s">
        <v>541</v>
      </c>
      <c r="B126" t="s">
        <v>542</v>
      </c>
      <c r="C126" t="s">
        <v>46</v>
      </c>
      <c r="D126" t="s">
        <v>34</v>
      </c>
      <c r="E126" t="s">
        <v>26</v>
      </c>
      <c r="F126" t="s">
        <v>308</v>
      </c>
      <c r="G126" s="1">
        <v>45023</v>
      </c>
      <c r="H126" s="1">
        <v>45098</v>
      </c>
      <c r="I126" t="s">
        <v>543</v>
      </c>
      <c r="J126" t="s">
        <v>544</v>
      </c>
      <c r="K126" t="s">
        <v>90</v>
      </c>
      <c r="L126" t="s">
        <v>55</v>
      </c>
      <c r="M126" t="s">
        <v>22</v>
      </c>
    </row>
    <row r="127" spans="1:13" x14ac:dyDescent="0.3">
      <c r="A127" t="s">
        <v>545</v>
      </c>
      <c r="C127" t="s">
        <v>87</v>
      </c>
      <c r="D127" t="s">
        <v>16</v>
      </c>
      <c r="E127" t="s">
        <v>17</v>
      </c>
      <c r="F127" t="s">
        <v>18</v>
      </c>
      <c r="G127" s="1">
        <v>43505</v>
      </c>
      <c r="H127" s="1">
        <v>43676</v>
      </c>
      <c r="I127" t="s">
        <v>546</v>
      </c>
      <c r="J127" t="s">
        <v>547</v>
      </c>
      <c r="K127" t="s">
        <v>29</v>
      </c>
      <c r="L127" t="s">
        <v>60</v>
      </c>
      <c r="M127" t="s">
        <v>22</v>
      </c>
    </row>
    <row r="128" spans="1:13" x14ac:dyDescent="0.3">
      <c r="A128" t="s">
        <v>548</v>
      </c>
      <c r="B128" t="s">
        <v>549</v>
      </c>
      <c r="C128" t="s">
        <v>87</v>
      </c>
      <c r="D128" t="s">
        <v>34</v>
      </c>
      <c r="E128" t="s">
        <v>26</v>
      </c>
      <c r="F128" t="s">
        <v>18</v>
      </c>
      <c r="G128" s="1">
        <v>44712</v>
      </c>
      <c r="H128" s="1">
        <v>44872</v>
      </c>
      <c r="I128" t="s">
        <v>550</v>
      </c>
      <c r="J128" t="s">
        <v>551</v>
      </c>
      <c r="K128" t="s">
        <v>29</v>
      </c>
      <c r="L128" t="s">
        <v>91</v>
      </c>
      <c r="M128" t="s">
        <v>22</v>
      </c>
    </row>
    <row r="129" spans="1:13" x14ac:dyDescent="0.3">
      <c r="A129" t="s">
        <v>552</v>
      </c>
      <c r="B129" t="s">
        <v>553</v>
      </c>
      <c r="C129" t="s">
        <v>46</v>
      </c>
      <c r="D129" t="s">
        <v>67</v>
      </c>
      <c r="E129" t="s">
        <v>26</v>
      </c>
      <c r="F129" t="s">
        <v>554</v>
      </c>
      <c r="G129" s="1">
        <v>45099</v>
      </c>
      <c r="H129" s="1">
        <v>45229</v>
      </c>
      <c r="I129" t="s">
        <v>555</v>
      </c>
      <c r="J129" t="s">
        <v>556</v>
      </c>
      <c r="K129" t="s">
        <v>21</v>
      </c>
      <c r="L129" t="s">
        <v>60</v>
      </c>
      <c r="M129" t="s">
        <v>22</v>
      </c>
    </row>
    <row r="130" spans="1:13" x14ac:dyDescent="0.3">
      <c r="A130" t="s">
        <v>557</v>
      </c>
      <c r="B130" t="s">
        <v>558</v>
      </c>
      <c r="C130" t="s">
        <v>15</v>
      </c>
      <c r="D130" t="s">
        <v>34</v>
      </c>
      <c r="E130" t="s">
        <v>26</v>
      </c>
      <c r="F130" t="s">
        <v>151</v>
      </c>
      <c r="G130" s="1">
        <v>44890</v>
      </c>
      <c r="H130" s="1">
        <v>45070</v>
      </c>
      <c r="I130" t="s">
        <v>559</v>
      </c>
      <c r="J130" t="s">
        <v>560</v>
      </c>
      <c r="K130" t="s">
        <v>37</v>
      </c>
      <c r="L130" t="s">
        <v>91</v>
      </c>
      <c r="M130" t="s">
        <v>22</v>
      </c>
    </row>
    <row r="131" spans="1:13" x14ac:dyDescent="0.3">
      <c r="A131" t="s">
        <v>561</v>
      </c>
      <c r="B131" t="s">
        <v>562</v>
      </c>
      <c r="C131" t="s">
        <v>40</v>
      </c>
      <c r="D131" t="s">
        <v>16</v>
      </c>
      <c r="E131" t="s">
        <v>17</v>
      </c>
      <c r="F131" t="s">
        <v>18</v>
      </c>
      <c r="G131" s="1">
        <v>44482</v>
      </c>
      <c r="H131" s="1">
        <v>44563</v>
      </c>
      <c r="I131" t="s">
        <v>563</v>
      </c>
      <c r="J131" t="s">
        <v>564</v>
      </c>
      <c r="K131" t="s">
        <v>37</v>
      </c>
      <c r="L131" t="s">
        <v>55</v>
      </c>
      <c r="M131" t="s">
        <v>22</v>
      </c>
    </row>
    <row r="132" spans="1:13" x14ac:dyDescent="0.3">
      <c r="A132" t="s">
        <v>565</v>
      </c>
      <c r="B132" t="s">
        <v>566</v>
      </c>
      <c r="C132" t="s">
        <v>15</v>
      </c>
      <c r="D132" t="s">
        <v>25</v>
      </c>
      <c r="E132" t="s">
        <v>26</v>
      </c>
      <c r="F132" t="s">
        <v>160</v>
      </c>
      <c r="G132" s="1">
        <v>45397</v>
      </c>
      <c r="H132" s="1">
        <v>45704</v>
      </c>
      <c r="I132" t="s">
        <v>567</v>
      </c>
      <c r="J132" t="s">
        <v>568</v>
      </c>
      <c r="K132" t="s">
        <v>90</v>
      </c>
      <c r="L132" t="s">
        <v>116</v>
      </c>
      <c r="M132" t="s">
        <v>22</v>
      </c>
    </row>
    <row r="133" spans="1:13" x14ac:dyDescent="0.3">
      <c r="A133" t="s">
        <v>569</v>
      </c>
      <c r="B133" t="s">
        <v>570</v>
      </c>
      <c r="C133" t="s">
        <v>46</v>
      </c>
      <c r="D133" t="s">
        <v>51</v>
      </c>
      <c r="E133" t="s">
        <v>52</v>
      </c>
      <c r="F133" t="s">
        <v>18</v>
      </c>
      <c r="G133" s="1">
        <v>43634</v>
      </c>
      <c r="H133" s="1">
        <v>43872</v>
      </c>
      <c r="I133" t="s">
        <v>571</v>
      </c>
      <c r="J133" t="s">
        <v>572</v>
      </c>
      <c r="K133" t="s">
        <v>21</v>
      </c>
      <c r="L133" t="s">
        <v>30</v>
      </c>
      <c r="M133" t="s">
        <v>22</v>
      </c>
    </row>
    <row r="134" spans="1:13" x14ac:dyDescent="0.3">
      <c r="A134" t="s">
        <v>573</v>
      </c>
      <c r="B134" t="s">
        <v>574</v>
      </c>
      <c r="C134" t="s">
        <v>33</v>
      </c>
      <c r="D134" t="s">
        <v>25</v>
      </c>
      <c r="E134" t="s">
        <v>26</v>
      </c>
      <c r="F134" t="s">
        <v>18</v>
      </c>
      <c r="G134" s="1">
        <v>43950</v>
      </c>
      <c r="H134" s="1">
        <v>44223</v>
      </c>
      <c r="I134" t="s">
        <v>575</v>
      </c>
      <c r="J134" t="s">
        <v>576</v>
      </c>
      <c r="K134" t="s">
        <v>90</v>
      </c>
      <c r="M134" t="s">
        <v>22</v>
      </c>
    </row>
    <row r="135" spans="1:13" x14ac:dyDescent="0.3">
      <c r="A135" t="s">
        <v>577</v>
      </c>
      <c r="B135" t="s">
        <v>578</v>
      </c>
      <c r="C135" t="s">
        <v>33</v>
      </c>
      <c r="D135" t="s">
        <v>41</v>
      </c>
      <c r="E135" t="s">
        <v>17</v>
      </c>
      <c r="F135" t="s">
        <v>18</v>
      </c>
      <c r="G135" s="1">
        <v>45590</v>
      </c>
      <c r="H135" s="1">
        <v>45875</v>
      </c>
      <c r="I135" t="s">
        <v>579</v>
      </c>
      <c r="J135" t="s">
        <v>580</v>
      </c>
      <c r="K135" t="s">
        <v>21</v>
      </c>
      <c r="L135" t="s">
        <v>116</v>
      </c>
      <c r="M135" t="s">
        <v>22</v>
      </c>
    </row>
    <row r="136" spans="1:13" x14ac:dyDescent="0.3">
      <c r="A136" t="s">
        <v>581</v>
      </c>
      <c r="B136" t="s">
        <v>582</v>
      </c>
      <c r="C136" t="s">
        <v>181</v>
      </c>
      <c r="D136" t="s">
        <v>77</v>
      </c>
      <c r="E136" t="s">
        <v>52</v>
      </c>
      <c r="F136" t="s">
        <v>18</v>
      </c>
      <c r="G136" s="1">
        <v>45018</v>
      </c>
      <c r="H136" s="1">
        <v>45160</v>
      </c>
      <c r="I136" t="s">
        <v>583</v>
      </c>
      <c r="J136" t="s">
        <v>584</v>
      </c>
      <c r="K136" t="s">
        <v>90</v>
      </c>
      <c r="L136" t="s">
        <v>30</v>
      </c>
      <c r="M136" t="s">
        <v>22</v>
      </c>
    </row>
    <row r="137" spans="1:13" x14ac:dyDescent="0.3">
      <c r="A137" t="s">
        <v>585</v>
      </c>
      <c r="B137" t="s">
        <v>586</v>
      </c>
      <c r="C137" t="s">
        <v>46</v>
      </c>
      <c r="D137" t="s">
        <v>67</v>
      </c>
      <c r="E137" t="s">
        <v>26</v>
      </c>
      <c r="F137" t="s">
        <v>18</v>
      </c>
      <c r="G137" s="1">
        <v>44897</v>
      </c>
      <c r="H137" s="1">
        <v>45010</v>
      </c>
      <c r="I137" t="s">
        <v>587</v>
      </c>
      <c r="J137" t="s">
        <v>588</v>
      </c>
      <c r="K137" t="s">
        <v>29</v>
      </c>
      <c r="L137" t="s">
        <v>116</v>
      </c>
      <c r="M137" t="s">
        <v>22</v>
      </c>
    </row>
    <row r="138" spans="1:13" x14ac:dyDescent="0.3">
      <c r="A138" t="s">
        <v>589</v>
      </c>
      <c r="B138" t="s">
        <v>590</v>
      </c>
      <c r="C138" t="s">
        <v>46</v>
      </c>
      <c r="D138" t="s">
        <v>67</v>
      </c>
      <c r="E138" t="s">
        <v>26</v>
      </c>
      <c r="F138" t="s">
        <v>18</v>
      </c>
      <c r="G138" s="1">
        <v>43856</v>
      </c>
      <c r="H138" s="1">
        <v>44077</v>
      </c>
      <c r="I138" t="s">
        <v>591</v>
      </c>
      <c r="J138" t="s">
        <v>592</v>
      </c>
      <c r="K138" t="s">
        <v>29</v>
      </c>
      <c r="M138" t="s">
        <v>22</v>
      </c>
    </row>
    <row r="139" spans="1:13" x14ac:dyDescent="0.3">
      <c r="A139" t="s">
        <v>593</v>
      </c>
      <c r="B139" t="s">
        <v>594</v>
      </c>
      <c r="C139" t="s">
        <v>181</v>
      </c>
      <c r="D139" t="s">
        <v>67</v>
      </c>
      <c r="E139" t="s">
        <v>26</v>
      </c>
      <c r="F139" t="s">
        <v>18</v>
      </c>
      <c r="G139" s="1">
        <v>45111</v>
      </c>
      <c r="H139" s="1">
        <v>45130</v>
      </c>
      <c r="I139" t="s">
        <v>595</v>
      </c>
      <c r="J139" t="s">
        <v>596</v>
      </c>
      <c r="K139" t="s">
        <v>37</v>
      </c>
      <c r="L139" t="s">
        <v>60</v>
      </c>
      <c r="M139" t="s">
        <v>22</v>
      </c>
    </row>
    <row r="140" spans="1:13" x14ac:dyDescent="0.3">
      <c r="A140" t="s">
        <v>597</v>
      </c>
      <c r="B140" t="s">
        <v>598</v>
      </c>
      <c r="C140" t="s">
        <v>76</v>
      </c>
      <c r="D140" t="s">
        <v>41</v>
      </c>
      <c r="E140" t="s">
        <v>17</v>
      </c>
      <c r="F140" t="s">
        <v>18</v>
      </c>
      <c r="G140" s="1">
        <v>45245</v>
      </c>
      <c r="H140" s="1">
        <v>45304</v>
      </c>
      <c r="J140" t="s">
        <v>599</v>
      </c>
      <c r="K140" t="s">
        <v>29</v>
      </c>
      <c r="M140" t="s">
        <v>22</v>
      </c>
    </row>
    <row r="141" spans="1:13" x14ac:dyDescent="0.3">
      <c r="A141" t="s">
        <v>600</v>
      </c>
      <c r="B141" t="s">
        <v>601</v>
      </c>
      <c r="C141" t="s">
        <v>602</v>
      </c>
      <c r="D141" t="s">
        <v>41</v>
      </c>
      <c r="E141" t="s">
        <v>17</v>
      </c>
      <c r="F141" t="s">
        <v>18</v>
      </c>
      <c r="G141" s="1">
        <v>44907</v>
      </c>
      <c r="H141" s="1">
        <v>45088</v>
      </c>
      <c r="I141" t="s">
        <v>603</v>
      </c>
      <c r="J141" t="s">
        <v>604</v>
      </c>
      <c r="K141" t="s">
        <v>29</v>
      </c>
      <c r="L141" t="s">
        <v>60</v>
      </c>
      <c r="M141" t="s">
        <v>22</v>
      </c>
    </row>
    <row r="142" spans="1:13" x14ac:dyDescent="0.3">
      <c r="A142" t="s">
        <v>605</v>
      </c>
      <c r="B142" t="s">
        <v>606</v>
      </c>
      <c r="C142" t="s">
        <v>181</v>
      </c>
      <c r="D142" t="s">
        <v>41</v>
      </c>
      <c r="E142" t="s">
        <v>17</v>
      </c>
      <c r="F142" t="s">
        <v>18</v>
      </c>
      <c r="G142" s="1">
        <v>45457</v>
      </c>
      <c r="H142" s="1">
        <v>45555</v>
      </c>
      <c r="I142" t="s">
        <v>607</v>
      </c>
      <c r="J142" t="s">
        <v>608</v>
      </c>
      <c r="K142" t="s">
        <v>37</v>
      </c>
      <c r="L142" t="s">
        <v>60</v>
      </c>
      <c r="M142" t="s">
        <v>22</v>
      </c>
    </row>
    <row r="143" spans="1:13" x14ac:dyDescent="0.3">
      <c r="A143" t="s">
        <v>609</v>
      </c>
      <c r="B143" t="s">
        <v>610</v>
      </c>
      <c r="C143" t="s">
        <v>453</v>
      </c>
      <c r="D143" t="s">
        <v>25</v>
      </c>
      <c r="E143" t="s">
        <v>26</v>
      </c>
      <c r="F143" t="s">
        <v>160</v>
      </c>
      <c r="G143" s="1">
        <v>45538</v>
      </c>
      <c r="H143" s="1">
        <v>45732</v>
      </c>
      <c r="I143" t="s">
        <v>611</v>
      </c>
      <c r="J143" t="s">
        <v>612</v>
      </c>
      <c r="K143" t="s">
        <v>29</v>
      </c>
      <c r="L143" t="s">
        <v>91</v>
      </c>
      <c r="M143" t="s">
        <v>22</v>
      </c>
    </row>
    <row r="144" spans="1:13" x14ac:dyDescent="0.3">
      <c r="A144" t="s">
        <v>613</v>
      </c>
      <c r="B144" t="s">
        <v>614</v>
      </c>
      <c r="C144" t="s">
        <v>87</v>
      </c>
      <c r="D144" t="s">
        <v>51</v>
      </c>
      <c r="E144" t="s">
        <v>52</v>
      </c>
      <c r="F144" t="s">
        <v>615</v>
      </c>
      <c r="G144" s="1">
        <v>44192</v>
      </c>
      <c r="H144" s="1">
        <v>44425</v>
      </c>
      <c r="I144" t="s">
        <v>616</v>
      </c>
      <c r="J144" t="s">
        <v>617</v>
      </c>
      <c r="K144" t="s">
        <v>90</v>
      </c>
      <c r="L144" t="s">
        <v>60</v>
      </c>
      <c r="M144" t="s">
        <v>22</v>
      </c>
    </row>
    <row r="145" spans="1:13" x14ac:dyDescent="0.3">
      <c r="A145" t="s">
        <v>618</v>
      </c>
      <c r="B145" t="s">
        <v>619</v>
      </c>
      <c r="C145" t="s">
        <v>76</v>
      </c>
      <c r="D145" t="s">
        <v>51</v>
      </c>
      <c r="E145" t="s">
        <v>52</v>
      </c>
      <c r="F145" t="s">
        <v>18</v>
      </c>
      <c r="G145" s="1">
        <v>43967</v>
      </c>
      <c r="H145" s="1">
        <v>44103</v>
      </c>
      <c r="I145" t="s">
        <v>620</v>
      </c>
      <c r="J145" t="s">
        <v>621</v>
      </c>
      <c r="K145" t="s">
        <v>37</v>
      </c>
      <c r="L145" t="s">
        <v>60</v>
      </c>
      <c r="M145" t="s">
        <v>22</v>
      </c>
    </row>
    <row r="146" spans="1:13" x14ac:dyDescent="0.3">
      <c r="A146" t="s">
        <v>622</v>
      </c>
      <c r="B146" t="s">
        <v>623</v>
      </c>
      <c r="C146" t="s">
        <v>15</v>
      </c>
      <c r="D146" t="s">
        <v>67</v>
      </c>
      <c r="E146" t="s">
        <v>26</v>
      </c>
      <c r="F146" t="s">
        <v>18</v>
      </c>
      <c r="G146" s="1">
        <v>45105</v>
      </c>
      <c r="H146" s="1">
        <v>45287</v>
      </c>
      <c r="I146" t="s">
        <v>624</v>
      </c>
      <c r="J146" t="s">
        <v>625</v>
      </c>
      <c r="K146" t="s">
        <v>21</v>
      </c>
      <c r="L146" t="s">
        <v>91</v>
      </c>
      <c r="M146" t="s">
        <v>22</v>
      </c>
    </row>
    <row r="147" spans="1:13" x14ac:dyDescent="0.3">
      <c r="A147" t="s">
        <v>626</v>
      </c>
      <c r="C147" t="s">
        <v>33</v>
      </c>
      <c r="D147" t="s">
        <v>34</v>
      </c>
      <c r="E147" t="s">
        <v>26</v>
      </c>
      <c r="F147" t="s">
        <v>160</v>
      </c>
      <c r="G147" s="1">
        <v>44026</v>
      </c>
      <c r="I147" t="s">
        <v>627</v>
      </c>
      <c r="J147" t="s">
        <v>628</v>
      </c>
      <c r="K147" t="s">
        <v>29</v>
      </c>
      <c r="L147" t="s">
        <v>30</v>
      </c>
      <c r="M147" t="s">
        <v>22</v>
      </c>
    </row>
    <row r="148" spans="1:13" x14ac:dyDescent="0.3">
      <c r="A148" t="s">
        <v>629</v>
      </c>
      <c r="B148" t="s">
        <v>630</v>
      </c>
      <c r="C148" t="s">
        <v>76</v>
      </c>
      <c r="D148" t="s">
        <v>51</v>
      </c>
      <c r="E148" t="s">
        <v>52</v>
      </c>
      <c r="F148" t="s">
        <v>151</v>
      </c>
      <c r="G148" s="1">
        <v>45654</v>
      </c>
      <c r="H148" s="1">
        <v>45738</v>
      </c>
      <c r="I148" t="s">
        <v>631</v>
      </c>
      <c r="J148" t="s">
        <v>632</v>
      </c>
      <c r="K148" t="s">
        <v>37</v>
      </c>
      <c r="L148" t="s">
        <v>91</v>
      </c>
      <c r="M148" t="s">
        <v>22</v>
      </c>
    </row>
    <row r="149" spans="1:13" x14ac:dyDescent="0.3">
      <c r="A149" t="s">
        <v>633</v>
      </c>
      <c r="B149" t="s">
        <v>634</v>
      </c>
      <c r="C149" t="s">
        <v>87</v>
      </c>
      <c r="D149" t="s">
        <v>67</v>
      </c>
      <c r="E149" t="s">
        <v>26</v>
      </c>
      <c r="F149" t="s">
        <v>18</v>
      </c>
      <c r="G149" s="1">
        <v>44461</v>
      </c>
      <c r="H149" s="1">
        <v>44531</v>
      </c>
      <c r="I149" t="s">
        <v>635</v>
      </c>
      <c r="K149" t="s">
        <v>37</v>
      </c>
      <c r="L149" t="s">
        <v>116</v>
      </c>
      <c r="M149" t="s">
        <v>22</v>
      </c>
    </row>
    <row r="150" spans="1:13" x14ac:dyDescent="0.3">
      <c r="A150" t="s">
        <v>636</v>
      </c>
      <c r="B150" t="s">
        <v>637</v>
      </c>
      <c r="C150" t="s">
        <v>76</v>
      </c>
      <c r="D150" t="s">
        <v>16</v>
      </c>
      <c r="E150" t="s">
        <v>17</v>
      </c>
      <c r="F150" t="s">
        <v>18</v>
      </c>
      <c r="G150" s="1">
        <v>44931</v>
      </c>
      <c r="H150" s="1">
        <v>45029</v>
      </c>
      <c r="I150" t="s">
        <v>638</v>
      </c>
      <c r="J150" t="s">
        <v>639</v>
      </c>
      <c r="K150" t="s">
        <v>37</v>
      </c>
      <c r="L150" t="s">
        <v>55</v>
      </c>
      <c r="M150" t="s">
        <v>22</v>
      </c>
    </row>
    <row r="151" spans="1:13" x14ac:dyDescent="0.3">
      <c r="A151" t="s">
        <v>640</v>
      </c>
      <c r="B151" t="s">
        <v>641</v>
      </c>
      <c r="C151" t="s">
        <v>15</v>
      </c>
      <c r="D151" t="s">
        <v>16</v>
      </c>
      <c r="E151" t="s">
        <v>17</v>
      </c>
      <c r="F151" t="s">
        <v>18</v>
      </c>
      <c r="G151" s="1">
        <v>44902</v>
      </c>
      <c r="H151" s="1">
        <v>45265</v>
      </c>
      <c r="I151" t="s">
        <v>642</v>
      </c>
      <c r="J151" t="s">
        <v>643</v>
      </c>
      <c r="K151" t="s">
        <v>37</v>
      </c>
      <c r="L151" t="s">
        <v>91</v>
      </c>
      <c r="M151" t="s">
        <v>22</v>
      </c>
    </row>
    <row r="152" spans="1:13" x14ac:dyDescent="0.3">
      <c r="A152" t="s">
        <v>644</v>
      </c>
      <c r="B152" t="s">
        <v>645</v>
      </c>
      <c r="C152" t="s">
        <v>76</v>
      </c>
      <c r="D152" t="s">
        <v>67</v>
      </c>
      <c r="E152" t="s">
        <v>26</v>
      </c>
      <c r="F152" t="s">
        <v>18</v>
      </c>
      <c r="G152" s="1">
        <v>44824</v>
      </c>
      <c r="H152" s="1">
        <v>45138</v>
      </c>
      <c r="I152" t="s">
        <v>646</v>
      </c>
      <c r="J152" t="s">
        <v>647</v>
      </c>
      <c r="K152" t="s">
        <v>29</v>
      </c>
      <c r="M152" t="s">
        <v>22</v>
      </c>
    </row>
    <row r="153" spans="1:13" x14ac:dyDescent="0.3">
      <c r="A153" t="s">
        <v>648</v>
      </c>
      <c r="B153" t="s">
        <v>649</v>
      </c>
      <c r="C153" t="s">
        <v>87</v>
      </c>
      <c r="D153" t="s">
        <v>77</v>
      </c>
      <c r="E153" t="s">
        <v>52</v>
      </c>
      <c r="F153" t="s">
        <v>18</v>
      </c>
      <c r="G153" s="1">
        <v>44230</v>
      </c>
      <c r="H153" s="1">
        <v>44508</v>
      </c>
      <c r="I153" t="s">
        <v>650</v>
      </c>
      <c r="J153" t="s">
        <v>651</v>
      </c>
      <c r="K153" t="s">
        <v>21</v>
      </c>
      <c r="L153" t="s">
        <v>116</v>
      </c>
      <c r="M153" t="s">
        <v>22</v>
      </c>
    </row>
    <row r="154" spans="1:13" x14ac:dyDescent="0.3">
      <c r="A154" t="s">
        <v>652</v>
      </c>
      <c r="B154" t="s">
        <v>653</v>
      </c>
      <c r="C154" t="s">
        <v>87</v>
      </c>
      <c r="D154" t="s">
        <v>77</v>
      </c>
      <c r="E154" t="s">
        <v>52</v>
      </c>
      <c r="F154" t="s">
        <v>160</v>
      </c>
      <c r="G154" s="1">
        <v>44780</v>
      </c>
      <c r="H154" s="1">
        <v>44917</v>
      </c>
      <c r="I154" t="s">
        <v>654</v>
      </c>
      <c r="J154" t="s">
        <v>655</v>
      </c>
      <c r="K154" t="s">
        <v>37</v>
      </c>
      <c r="L154" t="s">
        <v>30</v>
      </c>
      <c r="M154" t="s">
        <v>22</v>
      </c>
    </row>
    <row r="155" spans="1:13" x14ac:dyDescent="0.3">
      <c r="A155" t="s">
        <v>656</v>
      </c>
      <c r="C155" t="s">
        <v>76</v>
      </c>
      <c r="D155" t="s">
        <v>51</v>
      </c>
      <c r="E155" t="s">
        <v>52</v>
      </c>
      <c r="F155" t="s">
        <v>160</v>
      </c>
      <c r="G155" s="1">
        <v>45641</v>
      </c>
      <c r="H155" s="1">
        <v>45738</v>
      </c>
      <c r="I155" t="s">
        <v>657</v>
      </c>
      <c r="J155" t="s">
        <v>658</v>
      </c>
      <c r="K155" t="s">
        <v>37</v>
      </c>
      <c r="L155" t="s">
        <v>55</v>
      </c>
      <c r="M155" t="s">
        <v>22</v>
      </c>
    </row>
    <row r="156" spans="1:13" x14ac:dyDescent="0.3">
      <c r="A156" t="s">
        <v>659</v>
      </c>
      <c r="B156" t="s">
        <v>660</v>
      </c>
      <c r="C156" t="s">
        <v>538</v>
      </c>
      <c r="D156" t="s">
        <v>25</v>
      </c>
      <c r="E156" t="s">
        <v>26</v>
      </c>
      <c r="F156" t="s">
        <v>18</v>
      </c>
      <c r="G156" s="1">
        <v>44619</v>
      </c>
      <c r="H156" s="1">
        <v>44749</v>
      </c>
      <c r="I156" t="s">
        <v>661</v>
      </c>
      <c r="J156" t="s">
        <v>662</v>
      </c>
      <c r="K156" t="s">
        <v>29</v>
      </c>
      <c r="L156" t="s">
        <v>91</v>
      </c>
      <c r="M156" t="s">
        <v>22</v>
      </c>
    </row>
    <row r="157" spans="1:13" x14ac:dyDescent="0.3">
      <c r="A157" t="s">
        <v>663</v>
      </c>
      <c r="B157" t="s">
        <v>664</v>
      </c>
      <c r="C157" t="s">
        <v>76</v>
      </c>
      <c r="D157" t="s">
        <v>51</v>
      </c>
      <c r="E157" t="s">
        <v>52</v>
      </c>
      <c r="F157" t="s">
        <v>160</v>
      </c>
      <c r="G157" s="1">
        <v>45086</v>
      </c>
      <c r="H157" s="1">
        <v>45386</v>
      </c>
      <c r="I157" t="s">
        <v>665</v>
      </c>
      <c r="J157" t="s">
        <v>666</v>
      </c>
      <c r="K157" t="s">
        <v>29</v>
      </c>
      <c r="L157" t="s">
        <v>116</v>
      </c>
      <c r="M157" t="s">
        <v>22</v>
      </c>
    </row>
    <row r="158" spans="1:13" x14ac:dyDescent="0.3">
      <c r="A158" t="s">
        <v>667</v>
      </c>
      <c r="B158" t="s">
        <v>668</v>
      </c>
      <c r="C158" t="s">
        <v>87</v>
      </c>
      <c r="D158" t="s">
        <v>41</v>
      </c>
      <c r="E158" t="s">
        <v>17</v>
      </c>
      <c r="F158" t="s">
        <v>18</v>
      </c>
      <c r="G158" s="1">
        <v>45051</v>
      </c>
      <c r="H158" s="1">
        <v>45338</v>
      </c>
      <c r="I158" t="s">
        <v>669</v>
      </c>
      <c r="J158" t="s">
        <v>670</v>
      </c>
      <c r="K158" t="s">
        <v>29</v>
      </c>
      <c r="M158" t="s">
        <v>22</v>
      </c>
    </row>
    <row r="159" spans="1:13" x14ac:dyDescent="0.3">
      <c r="A159" t="s">
        <v>671</v>
      </c>
      <c r="B159" t="s">
        <v>672</v>
      </c>
      <c r="C159" t="s">
        <v>87</v>
      </c>
      <c r="D159" t="s">
        <v>51</v>
      </c>
      <c r="E159" t="s">
        <v>52</v>
      </c>
      <c r="F159" t="s">
        <v>160</v>
      </c>
      <c r="G159" s="1">
        <v>43813</v>
      </c>
      <c r="H159" s="1">
        <v>43839</v>
      </c>
      <c r="I159" t="s">
        <v>673</v>
      </c>
      <c r="J159" t="s">
        <v>674</v>
      </c>
      <c r="K159" t="s">
        <v>90</v>
      </c>
      <c r="M159" t="s">
        <v>22</v>
      </c>
    </row>
    <row r="160" spans="1:13" x14ac:dyDescent="0.3">
      <c r="A160" t="s">
        <v>675</v>
      </c>
      <c r="B160" t="s">
        <v>676</v>
      </c>
      <c r="C160" t="s">
        <v>76</v>
      </c>
      <c r="D160" t="s">
        <v>67</v>
      </c>
      <c r="E160" t="s">
        <v>26</v>
      </c>
      <c r="F160" t="s">
        <v>160</v>
      </c>
      <c r="G160" s="1">
        <v>45001</v>
      </c>
      <c r="H160" s="1">
        <v>45264</v>
      </c>
      <c r="I160" t="s">
        <v>677</v>
      </c>
      <c r="K160" t="s">
        <v>21</v>
      </c>
      <c r="L160" t="s">
        <v>60</v>
      </c>
      <c r="M160" t="s">
        <v>22</v>
      </c>
    </row>
    <row r="161" spans="1:13" x14ac:dyDescent="0.3">
      <c r="A161" t="s">
        <v>678</v>
      </c>
      <c r="B161" t="s">
        <v>679</v>
      </c>
      <c r="C161" t="s">
        <v>181</v>
      </c>
      <c r="D161" t="s">
        <v>25</v>
      </c>
      <c r="E161" t="s">
        <v>26</v>
      </c>
      <c r="F161" t="s">
        <v>18</v>
      </c>
      <c r="G161" s="1">
        <v>45244</v>
      </c>
      <c r="H161" s="1">
        <v>45410</v>
      </c>
      <c r="I161" t="s">
        <v>680</v>
      </c>
      <c r="J161" t="s">
        <v>681</v>
      </c>
      <c r="K161" t="s">
        <v>29</v>
      </c>
      <c r="L161" t="s">
        <v>91</v>
      </c>
      <c r="M161" t="s">
        <v>22</v>
      </c>
    </row>
    <row r="162" spans="1:13" x14ac:dyDescent="0.3">
      <c r="A162" t="s">
        <v>682</v>
      </c>
      <c r="B162" t="s">
        <v>683</v>
      </c>
      <c r="C162" t="s">
        <v>40</v>
      </c>
      <c r="D162" t="s">
        <v>77</v>
      </c>
      <c r="E162" t="s">
        <v>52</v>
      </c>
      <c r="F162" t="s">
        <v>160</v>
      </c>
      <c r="G162" s="1">
        <v>45533</v>
      </c>
      <c r="H162" s="1">
        <v>45579</v>
      </c>
      <c r="I162" t="s">
        <v>684</v>
      </c>
      <c r="J162" t="s">
        <v>685</v>
      </c>
      <c r="K162" t="s">
        <v>29</v>
      </c>
      <c r="L162" t="s">
        <v>30</v>
      </c>
      <c r="M162" t="s">
        <v>22</v>
      </c>
    </row>
    <row r="163" spans="1:13" x14ac:dyDescent="0.3">
      <c r="A163" t="s">
        <v>686</v>
      </c>
      <c r="B163" t="s">
        <v>687</v>
      </c>
      <c r="C163" t="s">
        <v>33</v>
      </c>
      <c r="D163" t="s">
        <v>34</v>
      </c>
      <c r="E163" t="s">
        <v>26</v>
      </c>
      <c r="F163" t="s">
        <v>18</v>
      </c>
      <c r="G163" s="1">
        <v>43955</v>
      </c>
      <c r="H163" s="1">
        <v>44146</v>
      </c>
      <c r="I163" t="s">
        <v>688</v>
      </c>
      <c r="J163" t="s">
        <v>689</v>
      </c>
      <c r="K163" t="s">
        <v>29</v>
      </c>
      <c r="L163" t="s">
        <v>55</v>
      </c>
      <c r="M163" t="s">
        <v>22</v>
      </c>
    </row>
    <row r="164" spans="1:13" x14ac:dyDescent="0.3">
      <c r="A164" t="s">
        <v>690</v>
      </c>
      <c r="B164" t="s">
        <v>691</v>
      </c>
      <c r="C164" t="s">
        <v>76</v>
      </c>
      <c r="D164" t="s">
        <v>16</v>
      </c>
      <c r="E164" t="s">
        <v>17</v>
      </c>
      <c r="F164" t="s">
        <v>18</v>
      </c>
      <c r="G164" s="1">
        <v>45327</v>
      </c>
      <c r="H164" s="1">
        <v>45496</v>
      </c>
      <c r="I164" t="s">
        <v>692</v>
      </c>
      <c r="J164" t="s">
        <v>693</v>
      </c>
      <c r="K164" t="s">
        <v>29</v>
      </c>
      <c r="M164" t="s">
        <v>22</v>
      </c>
    </row>
    <row r="165" spans="1:13" x14ac:dyDescent="0.3">
      <c r="A165" t="s">
        <v>694</v>
      </c>
      <c r="B165" t="s">
        <v>695</v>
      </c>
      <c r="C165" t="s">
        <v>46</v>
      </c>
      <c r="D165" t="s">
        <v>16</v>
      </c>
      <c r="E165" t="s">
        <v>17</v>
      </c>
      <c r="F165" t="s">
        <v>18</v>
      </c>
      <c r="G165" s="1">
        <v>45464</v>
      </c>
      <c r="H165" s="1">
        <v>45583</v>
      </c>
      <c r="I165" t="s">
        <v>696</v>
      </c>
      <c r="J165" t="s">
        <v>697</v>
      </c>
      <c r="K165" t="s">
        <v>21</v>
      </c>
      <c r="M165" t="s">
        <v>22</v>
      </c>
    </row>
    <row r="166" spans="1:13" x14ac:dyDescent="0.3">
      <c r="A166" t="s">
        <v>698</v>
      </c>
      <c r="B166" t="s">
        <v>699</v>
      </c>
      <c r="C166" t="s">
        <v>46</v>
      </c>
      <c r="D166" t="s">
        <v>67</v>
      </c>
      <c r="E166" t="s">
        <v>26</v>
      </c>
      <c r="F166" t="s">
        <v>18</v>
      </c>
      <c r="G166" s="1">
        <v>45083</v>
      </c>
      <c r="H166" s="1">
        <v>45218</v>
      </c>
      <c r="I166" t="s">
        <v>700</v>
      </c>
      <c r="J166" t="s">
        <v>701</v>
      </c>
      <c r="K166" t="s">
        <v>21</v>
      </c>
      <c r="L166" t="s">
        <v>30</v>
      </c>
      <c r="M166" t="s">
        <v>22</v>
      </c>
    </row>
    <row r="167" spans="1:13" x14ac:dyDescent="0.3">
      <c r="A167" t="s">
        <v>702</v>
      </c>
      <c r="B167" t="s">
        <v>703</v>
      </c>
      <c r="C167" t="s">
        <v>46</v>
      </c>
      <c r="D167" t="s">
        <v>51</v>
      </c>
      <c r="E167" t="s">
        <v>52</v>
      </c>
      <c r="F167" t="s">
        <v>18</v>
      </c>
      <c r="G167" s="1">
        <v>44202</v>
      </c>
      <c r="H167" s="1">
        <v>44215</v>
      </c>
      <c r="I167" t="s">
        <v>704</v>
      </c>
      <c r="J167" t="s">
        <v>705</v>
      </c>
      <c r="K167" t="s">
        <v>90</v>
      </c>
      <c r="L167" t="s">
        <v>116</v>
      </c>
      <c r="M167" t="s">
        <v>22</v>
      </c>
    </row>
    <row r="168" spans="1:13" x14ac:dyDescent="0.3">
      <c r="A168" t="s">
        <v>706</v>
      </c>
      <c r="B168" t="s">
        <v>707</v>
      </c>
      <c r="C168" t="s">
        <v>40</v>
      </c>
      <c r="D168" t="s">
        <v>34</v>
      </c>
      <c r="E168" t="s">
        <v>26</v>
      </c>
      <c r="F168" t="s">
        <v>18</v>
      </c>
      <c r="G168" s="1">
        <v>45033</v>
      </c>
      <c r="H168" s="1">
        <v>45240</v>
      </c>
      <c r="I168" t="s">
        <v>708</v>
      </c>
      <c r="J168" t="s">
        <v>709</v>
      </c>
      <c r="K168" t="s">
        <v>37</v>
      </c>
      <c r="M168" t="s">
        <v>22</v>
      </c>
    </row>
    <row r="169" spans="1:13" x14ac:dyDescent="0.3">
      <c r="A169" t="s">
        <v>710</v>
      </c>
      <c r="B169" t="s">
        <v>711</v>
      </c>
      <c r="C169" t="s">
        <v>76</v>
      </c>
      <c r="D169" t="s">
        <v>51</v>
      </c>
      <c r="E169" t="s">
        <v>52</v>
      </c>
      <c r="F169" t="s">
        <v>18</v>
      </c>
      <c r="G169" s="1">
        <v>43937</v>
      </c>
      <c r="H169" s="1">
        <v>44009</v>
      </c>
      <c r="I169" t="s">
        <v>712</v>
      </c>
      <c r="J169" t="s">
        <v>713</v>
      </c>
      <c r="K169" t="s">
        <v>37</v>
      </c>
      <c r="M169" t="s">
        <v>22</v>
      </c>
    </row>
    <row r="170" spans="1:13" x14ac:dyDescent="0.3">
      <c r="A170" t="s">
        <v>714</v>
      </c>
      <c r="B170" t="s">
        <v>715</v>
      </c>
      <c r="C170" t="s">
        <v>76</v>
      </c>
      <c r="D170" t="s">
        <v>41</v>
      </c>
      <c r="E170" t="s">
        <v>17</v>
      </c>
      <c r="F170" t="s">
        <v>18</v>
      </c>
      <c r="G170" s="1">
        <v>45311</v>
      </c>
      <c r="H170" s="1">
        <v>45479</v>
      </c>
      <c r="I170" t="s">
        <v>716</v>
      </c>
      <c r="J170" t="s">
        <v>717</v>
      </c>
      <c r="K170" t="s">
        <v>37</v>
      </c>
      <c r="L170" t="s">
        <v>91</v>
      </c>
      <c r="M170" t="s">
        <v>22</v>
      </c>
    </row>
    <row r="171" spans="1:13" x14ac:dyDescent="0.3">
      <c r="A171" t="s">
        <v>718</v>
      </c>
      <c r="B171" t="s">
        <v>719</v>
      </c>
      <c r="C171" t="s">
        <v>15</v>
      </c>
      <c r="D171" t="s">
        <v>77</v>
      </c>
      <c r="E171" t="s">
        <v>52</v>
      </c>
      <c r="F171" t="s">
        <v>18</v>
      </c>
      <c r="G171" s="1">
        <v>43733</v>
      </c>
      <c r="H171" s="1">
        <v>43938</v>
      </c>
      <c r="I171" t="s">
        <v>720</v>
      </c>
      <c r="J171" t="s">
        <v>721</v>
      </c>
      <c r="K171" t="s">
        <v>90</v>
      </c>
      <c r="L171" t="s">
        <v>55</v>
      </c>
      <c r="M171" t="s">
        <v>22</v>
      </c>
    </row>
    <row r="172" spans="1:13" x14ac:dyDescent="0.3">
      <c r="A172" t="s">
        <v>722</v>
      </c>
      <c r="B172" t="s">
        <v>723</v>
      </c>
      <c r="C172" t="s">
        <v>87</v>
      </c>
      <c r="D172" t="s">
        <v>51</v>
      </c>
      <c r="E172" t="s">
        <v>52</v>
      </c>
      <c r="F172" t="s">
        <v>18</v>
      </c>
      <c r="G172" s="1">
        <v>43763</v>
      </c>
      <c r="H172" s="1">
        <v>43767</v>
      </c>
      <c r="I172" t="s">
        <v>724</v>
      </c>
      <c r="J172" t="s">
        <v>725</v>
      </c>
      <c r="K172" t="s">
        <v>90</v>
      </c>
      <c r="L172" t="s">
        <v>91</v>
      </c>
      <c r="M172" t="s">
        <v>22</v>
      </c>
    </row>
    <row r="173" spans="1:13" x14ac:dyDescent="0.3">
      <c r="A173" t="s">
        <v>726</v>
      </c>
      <c r="B173" t="s">
        <v>727</v>
      </c>
      <c r="C173" t="s">
        <v>46</v>
      </c>
      <c r="D173" t="s">
        <v>16</v>
      </c>
      <c r="E173" t="s">
        <v>17</v>
      </c>
      <c r="F173" t="s">
        <v>18</v>
      </c>
      <c r="G173" s="1">
        <v>43724</v>
      </c>
      <c r="H173" s="1">
        <v>43827</v>
      </c>
      <c r="I173" t="s">
        <v>728</v>
      </c>
      <c r="J173" t="s">
        <v>729</v>
      </c>
      <c r="K173" t="s">
        <v>21</v>
      </c>
      <c r="L173" t="s">
        <v>116</v>
      </c>
      <c r="M173" t="s">
        <v>22</v>
      </c>
    </row>
    <row r="174" spans="1:13" x14ac:dyDescent="0.3">
      <c r="A174" t="s">
        <v>730</v>
      </c>
      <c r="B174" t="s">
        <v>731</v>
      </c>
      <c r="C174" t="s">
        <v>87</v>
      </c>
      <c r="D174" t="s">
        <v>16</v>
      </c>
      <c r="E174" t="s">
        <v>17</v>
      </c>
      <c r="F174" t="s">
        <v>18</v>
      </c>
      <c r="G174" s="1">
        <v>44890</v>
      </c>
      <c r="H174" s="1">
        <v>44950</v>
      </c>
      <c r="I174" t="s">
        <v>732</v>
      </c>
      <c r="J174" t="s">
        <v>733</v>
      </c>
      <c r="K174" t="s">
        <v>21</v>
      </c>
      <c r="L174" t="s">
        <v>91</v>
      </c>
      <c r="M174" t="s">
        <v>22</v>
      </c>
    </row>
    <row r="175" spans="1:13" x14ac:dyDescent="0.3">
      <c r="A175" t="s">
        <v>734</v>
      </c>
      <c r="B175" t="s">
        <v>735</v>
      </c>
      <c r="C175" t="s">
        <v>82</v>
      </c>
      <c r="D175" t="s">
        <v>77</v>
      </c>
      <c r="E175" t="s">
        <v>52</v>
      </c>
      <c r="F175" t="s">
        <v>151</v>
      </c>
      <c r="G175" s="1">
        <v>44474</v>
      </c>
      <c r="H175" s="1">
        <v>44729</v>
      </c>
      <c r="I175" t="s">
        <v>736</v>
      </c>
      <c r="J175" t="s">
        <v>737</v>
      </c>
      <c r="K175" t="s">
        <v>90</v>
      </c>
      <c r="L175" t="s">
        <v>116</v>
      </c>
      <c r="M175" t="s">
        <v>22</v>
      </c>
    </row>
    <row r="176" spans="1:13" x14ac:dyDescent="0.3">
      <c r="A176" t="s">
        <v>738</v>
      </c>
      <c r="B176" t="s">
        <v>739</v>
      </c>
      <c r="C176" t="s">
        <v>87</v>
      </c>
      <c r="D176" t="s">
        <v>16</v>
      </c>
      <c r="E176" t="s">
        <v>17</v>
      </c>
      <c r="F176" t="s">
        <v>18</v>
      </c>
      <c r="G176" t="s">
        <v>317</v>
      </c>
      <c r="H176" s="1">
        <v>45663</v>
      </c>
      <c r="I176" t="s">
        <v>740</v>
      </c>
      <c r="J176" t="s">
        <v>741</v>
      </c>
      <c r="K176" t="s">
        <v>21</v>
      </c>
      <c r="L176" t="s">
        <v>60</v>
      </c>
      <c r="M176" t="s">
        <v>22</v>
      </c>
    </row>
    <row r="177" spans="1:13" x14ac:dyDescent="0.3">
      <c r="A177" t="s">
        <v>742</v>
      </c>
      <c r="B177" t="s">
        <v>743</v>
      </c>
      <c r="C177" t="s">
        <v>181</v>
      </c>
      <c r="D177" t="s">
        <v>16</v>
      </c>
      <c r="E177" t="s">
        <v>17</v>
      </c>
      <c r="F177" t="s">
        <v>18</v>
      </c>
      <c r="G177" s="1">
        <v>44897</v>
      </c>
      <c r="H177" s="1">
        <v>44910</v>
      </c>
      <c r="I177" t="s">
        <v>744</v>
      </c>
      <c r="J177" t="s">
        <v>745</v>
      </c>
      <c r="K177" t="s">
        <v>21</v>
      </c>
      <c r="L177" t="s">
        <v>91</v>
      </c>
      <c r="M177" t="s">
        <v>22</v>
      </c>
    </row>
    <row r="178" spans="1:13" x14ac:dyDescent="0.3">
      <c r="A178" t="s">
        <v>746</v>
      </c>
      <c r="B178" t="s">
        <v>747</v>
      </c>
      <c r="C178" t="s">
        <v>40</v>
      </c>
      <c r="D178" t="s">
        <v>34</v>
      </c>
      <c r="E178" t="s">
        <v>26</v>
      </c>
      <c r="F178" t="s">
        <v>18</v>
      </c>
      <c r="G178" s="1">
        <v>43860</v>
      </c>
      <c r="H178" s="1">
        <v>44127</v>
      </c>
      <c r="I178" t="s">
        <v>748</v>
      </c>
      <c r="J178" t="s">
        <v>749</v>
      </c>
      <c r="K178" t="s">
        <v>37</v>
      </c>
      <c r="L178" t="s">
        <v>55</v>
      </c>
      <c r="M178" t="s">
        <v>22</v>
      </c>
    </row>
    <row r="179" spans="1:13" x14ac:dyDescent="0.3">
      <c r="A179" t="s">
        <v>750</v>
      </c>
      <c r="B179" t="s">
        <v>751</v>
      </c>
      <c r="C179" t="s">
        <v>15</v>
      </c>
      <c r="D179" t="s">
        <v>51</v>
      </c>
      <c r="E179" t="s">
        <v>52</v>
      </c>
      <c r="F179" t="s">
        <v>18</v>
      </c>
      <c r="G179" s="1">
        <v>44530</v>
      </c>
      <c r="H179" s="1">
        <v>44646</v>
      </c>
      <c r="I179" t="s">
        <v>752</v>
      </c>
      <c r="J179" t="s">
        <v>753</v>
      </c>
      <c r="K179" t="s">
        <v>29</v>
      </c>
      <c r="L179" t="s">
        <v>60</v>
      </c>
      <c r="M179" t="s">
        <v>22</v>
      </c>
    </row>
    <row r="180" spans="1:13" x14ac:dyDescent="0.3">
      <c r="A180" t="s">
        <v>754</v>
      </c>
      <c r="B180" t="s">
        <v>755</v>
      </c>
      <c r="C180" t="s">
        <v>15</v>
      </c>
      <c r="D180" t="s">
        <v>34</v>
      </c>
      <c r="E180" t="s">
        <v>26</v>
      </c>
      <c r="F180" t="s">
        <v>18</v>
      </c>
      <c r="G180" s="1">
        <v>43961</v>
      </c>
      <c r="H180" s="1">
        <v>44250</v>
      </c>
      <c r="I180" t="s">
        <v>756</v>
      </c>
      <c r="J180" t="s">
        <v>757</v>
      </c>
      <c r="K180" t="s">
        <v>21</v>
      </c>
      <c r="M180" t="s">
        <v>22</v>
      </c>
    </row>
    <row r="181" spans="1:13" x14ac:dyDescent="0.3">
      <c r="A181" t="s">
        <v>758</v>
      </c>
      <c r="B181" t="s">
        <v>759</v>
      </c>
      <c r="C181" t="s">
        <v>87</v>
      </c>
      <c r="D181" t="s">
        <v>77</v>
      </c>
      <c r="E181" t="s">
        <v>52</v>
      </c>
      <c r="F181" t="s">
        <v>18</v>
      </c>
      <c r="G181" s="1">
        <v>45023</v>
      </c>
      <c r="H181" s="1">
        <v>45295</v>
      </c>
      <c r="I181" t="s">
        <v>760</v>
      </c>
      <c r="J181" t="s">
        <v>761</v>
      </c>
      <c r="K181" t="s">
        <v>29</v>
      </c>
      <c r="L181" t="s">
        <v>60</v>
      </c>
      <c r="M181" t="s">
        <v>22</v>
      </c>
    </row>
    <row r="182" spans="1:13" x14ac:dyDescent="0.3">
      <c r="A182" t="s">
        <v>762</v>
      </c>
      <c r="B182" t="s">
        <v>763</v>
      </c>
      <c r="C182" t="s">
        <v>181</v>
      </c>
      <c r="D182" t="s">
        <v>51</v>
      </c>
      <c r="E182" t="s">
        <v>52</v>
      </c>
      <c r="F182" t="s">
        <v>160</v>
      </c>
      <c r="G182" s="1">
        <v>44315</v>
      </c>
      <c r="H182" s="1">
        <v>44668</v>
      </c>
      <c r="I182" t="s">
        <v>764</v>
      </c>
      <c r="J182" t="s">
        <v>765</v>
      </c>
      <c r="K182" t="s">
        <v>21</v>
      </c>
      <c r="L182" t="s">
        <v>116</v>
      </c>
      <c r="M182" t="s">
        <v>22</v>
      </c>
    </row>
    <row r="183" spans="1:13" x14ac:dyDescent="0.3">
      <c r="A183" t="s">
        <v>766</v>
      </c>
      <c r="B183" t="s">
        <v>767</v>
      </c>
      <c r="C183" t="s">
        <v>538</v>
      </c>
      <c r="D183" t="s">
        <v>16</v>
      </c>
      <c r="E183" t="s">
        <v>17</v>
      </c>
      <c r="F183" t="s">
        <v>18</v>
      </c>
      <c r="G183" s="1">
        <v>45342</v>
      </c>
      <c r="H183" s="1">
        <v>45348</v>
      </c>
      <c r="I183" t="s">
        <v>768</v>
      </c>
      <c r="J183" t="s">
        <v>769</v>
      </c>
      <c r="K183" t="s">
        <v>21</v>
      </c>
      <c r="L183" t="s">
        <v>60</v>
      </c>
      <c r="M183" t="s">
        <v>22</v>
      </c>
    </row>
    <row r="184" spans="1:13" x14ac:dyDescent="0.3">
      <c r="A184" t="s">
        <v>770</v>
      </c>
      <c r="B184" t="s">
        <v>771</v>
      </c>
      <c r="C184" t="s">
        <v>87</v>
      </c>
      <c r="D184" t="s">
        <v>77</v>
      </c>
      <c r="E184" t="s">
        <v>52</v>
      </c>
      <c r="F184" t="s">
        <v>18</v>
      </c>
      <c r="G184" s="1">
        <v>45480</v>
      </c>
      <c r="H184" s="1">
        <v>45692</v>
      </c>
      <c r="I184" t="s">
        <v>772</v>
      </c>
      <c r="J184" t="s">
        <v>773</v>
      </c>
      <c r="K184" t="s">
        <v>37</v>
      </c>
      <c r="L184" t="s">
        <v>60</v>
      </c>
      <c r="M184" t="s">
        <v>22</v>
      </c>
    </row>
    <row r="185" spans="1:13" x14ac:dyDescent="0.3">
      <c r="A185" t="s">
        <v>774</v>
      </c>
      <c r="B185" t="s">
        <v>775</v>
      </c>
      <c r="C185" t="s">
        <v>76</v>
      </c>
      <c r="D185" t="s">
        <v>77</v>
      </c>
      <c r="E185" t="s">
        <v>52</v>
      </c>
      <c r="F185" t="s">
        <v>18</v>
      </c>
      <c r="G185" s="1">
        <v>45387</v>
      </c>
      <c r="H185" s="1">
        <v>45680</v>
      </c>
      <c r="I185" t="s">
        <v>776</v>
      </c>
      <c r="J185" t="s">
        <v>777</v>
      </c>
      <c r="K185" t="s">
        <v>29</v>
      </c>
      <c r="L185" t="s">
        <v>116</v>
      </c>
      <c r="M185" t="s">
        <v>22</v>
      </c>
    </row>
    <row r="186" spans="1:13" x14ac:dyDescent="0.3">
      <c r="A186" t="s">
        <v>778</v>
      </c>
      <c r="B186" t="s">
        <v>779</v>
      </c>
      <c r="C186" t="s">
        <v>33</v>
      </c>
      <c r="D186" t="s">
        <v>25</v>
      </c>
      <c r="E186" t="s">
        <v>26</v>
      </c>
      <c r="F186" t="s">
        <v>18</v>
      </c>
      <c r="G186" s="1">
        <v>44162</v>
      </c>
      <c r="H186" s="1">
        <v>44354</v>
      </c>
      <c r="J186" t="s">
        <v>780</v>
      </c>
      <c r="K186" t="s">
        <v>90</v>
      </c>
      <c r="L186" t="s">
        <v>116</v>
      </c>
      <c r="M186" t="s">
        <v>22</v>
      </c>
    </row>
    <row r="187" spans="1:13" x14ac:dyDescent="0.3">
      <c r="A187" t="s">
        <v>781</v>
      </c>
      <c r="B187" t="s">
        <v>782</v>
      </c>
      <c r="C187" t="s">
        <v>87</v>
      </c>
      <c r="D187" t="s">
        <v>34</v>
      </c>
      <c r="E187" t="s">
        <v>26</v>
      </c>
      <c r="F187" t="s">
        <v>554</v>
      </c>
      <c r="G187" s="1">
        <v>44751</v>
      </c>
      <c r="H187" s="1">
        <v>45115</v>
      </c>
      <c r="I187" t="s">
        <v>783</v>
      </c>
      <c r="J187" t="s">
        <v>784</v>
      </c>
      <c r="K187" t="s">
        <v>37</v>
      </c>
      <c r="L187" t="s">
        <v>55</v>
      </c>
      <c r="M187" t="s">
        <v>22</v>
      </c>
    </row>
    <row r="188" spans="1:13" x14ac:dyDescent="0.3">
      <c r="A188" t="s">
        <v>785</v>
      </c>
      <c r="B188" t="s">
        <v>786</v>
      </c>
      <c r="C188" t="s">
        <v>15</v>
      </c>
      <c r="D188" t="s">
        <v>34</v>
      </c>
      <c r="E188" t="s">
        <v>26</v>
      </c>
      <c r="F188" t="s">
        <v>160</v>
      </c>
      <c r="G188" s="1">
        <v>44247</v>
      </c>
      <c r="H188" s="1">
        <v>44291</v>
      </c>
      <c r="I188" t="s">
        <v>787</v>
      </c>
      <c r="J188" t="s">
        <v>788</v>
      </c>
      <c r="K188" t="s">
        <v>37</v>
      </c>
      <c r="L188" t="s">
        <v>30</v>
      </c>
      <c r="M188" t="s">
        <v>22</v>
      </c>
    </row>
    <row r="189" spans="1:13" x14ac:dyDescent="0.3">
      <c r="A189" t="s">
        <v>789</v>
      </c>
      <c r="B189" t="s">
        <v>790</v>
      </c>
      <c r="C189" t="s">
        <v>40</v>
      </c>
      <c r="D189" t="s">
        <v>51</v>
      </c>
      <c r="E189" t="s">
        <v>52</v>
      </c>
      <c r="F189" t="s">
        <v>18</v>
      </c>
      <c r="G189" s="1">
        <v>45023</v>
      </c>
      <c r="H189" s="1">
        <v>45202</v>
      </c>
      <c r="I189" t="s">
        <v>791</v>
      </c>
      <c r="J189" t="s">
        <v>792</v>
      </c>
      <c r="K189" t="s">
        <v>29</v>
      </c>
      <c r="L189" t="s">
        <v>60</v>
      </c>
      <c r="M189" t="s">
        <v>22</v>
      </c>
    </row>
    <row r="190" spans="1:13" x14ac:dyDescent="0.3">
      <c r="A190" t="s">
        <v>793</v>
      </c>
      <c r="B190" t="s">
        <v>794</v>
      </c>
      <c r="C190" t="s">
        <v>40</v>
      </c>
      <c r="D190" t="s">
        <v>41</v>
      </c>
      <c r="E190" t="s">
        <v>17</v>
      </c>
      <c r="F190" t="s">
        <v>160</v>
      </c>
      <c r="G190" s="1">
        <v>44221</v>
      </c>
      <c r="H190" s="1">
        <v>44316</v>
      </c>
      <c r="I190" t="s">
        <v>795</v>
      </c>
      <c r="J190" t="s">
        <v>796</v>
      </c>
      <c r="K190" t="s">
        <v>90</v>
      </c>
      <c r="M190" t="s">
        <v>22</v>
      </c>
    </row>
    <row r="191" spans="1:13" x14ac:dyDescent="0.3">
      <c r="A191" t="s">
        <v>797</v>
      </c>
      <c r="B191" t="s">
        <v>798</v>
      </c>
      <c r="C191" t="s">
        <v>15</v>
      </c>
      <c r="D191" t="s">
        <v>16</v>
      </c>
      <c r="E191" t="s">
        <v>17</v>
      </c>
      <c r="F191" t="s">
        <v>18</v>
      </c>
      <c r="G191" s="1">
        <v>45163</v>
      </c>
      <c r="H191" s="1">
        <v>45485</v>
      </c>
      <c r="I191" t="s">
        <v>799</v>
      </c>
      <c r="J191" t="s">
        <v>800</v>
      </c>
      <c r="K191" t="s">
        <v>21</v>
      </c>
      <c r="L191" t="s">
        <v>30</v>
      </c>
      <c r="M191" t="s">
        <v>22</v>
      </c>
    </row>
    <row r="192" spans="1:13" x14ac:dyDescent="0.3">
      <c r="A192" t="s">
        <v>801</v>
      </c>
      <c r="B192" t="s">
        <v>802</v>
      </c>
      <c r="C192" t="s">
        <v>181</v>
      </c>
      <c r="D192" t="s">
        <v>77</v>
      </c>
      <c r="E192" t="s">
        <v>52</v>
      </c>
      <c r="F192" t="s">
        <v>18</v>
      </c>
      <c r="G192" s="1">
        <v>45284</v>
      </c>
      <c r="H192" s="1">
        <v>45614</v>
      </c>
      <c r="I192" t="s">
        <v>803</v>
      </c>
      <c r="J192" t="s">
        <v>804</v>
      </c>
      <c r="K192" t="s">
        <v>37</v>
      </c>
      <c r="L192" t="s">
        <v>60</v>
      </c>
      <c r="M192" t="s">
        <v>22</v>
      </c>
    </row>
    <row r="193" spans="1:13" x14ac:dyDescent="0.3">
      <c r="A193" t="s">
        <v>805</v>
      </c>
      <c r="B193" t="s">
        <v>806</v>
      </c>
      <c r="C193" t="s">
        <v>33</v>
      </c>
      <c r="D193" t="s">
        <v>67</v>
      </c>
      <c r="E193" t="s">
        <v>26</v>
      </c>
      <c r="F193" t="s">
        <v>18</v>
      </c>
      <c r="G193" s="1">
        <v>44319</v>
      </c>
      <c r="H193" s="1">
        <v>44614</v>
      </c>
      <c r="I193" t="s">
        <v>807</v>
      </c>
      <c r="J193" t="s">
        <v>808</v>
      </c>
      <c r="K193" t="s">
        <v>90</v>
      </c>
      <c r="L193" t="s">
        <v>55</v>
      </c>
      <c r="M193" t="s">
        <v>22</v>
      </c>
    </row>
    <row r="194" spans="1:13" x14ac:dyDescent="0.3">
      <c r="A194" t="s">
        <v>809</v>
      </c>
      <c r="B194" t="s">
        <v>810</v>
      </c>
      <c r="C194" t="s">
        <v>15</v>
      </c>
      <c r="D194" t="s">
        <v>67</v>
      </c>
      <c r="E194" t="s">
        <v>26</v>
      </c>
      <c r="F194" t="s">
        <v>18</v>
      </c>
      <c r="G194" s="1">
        <v>43502</v>
      </c>
      <c r="H194" s="1">
        <v>43560</v>
      </c>
      <c r="I194" t="s">
        <v>811</v>
      </c>
      <c r="J194" t="s">
        <v>812</v>
      </c>
      <c r="K194" t="s">
        <v>37</v>
      </c>
      <c r="M194" t="s">
        <v>22</v>
      </c>
    </row>
    <row r="195" spans="1:13" x14ac:dyDescent="0.3">
      <c r="A195" t="s">
        <v>813</v>
      </c>
      <c r="B195" t="s">
        <v>814</v>
      </c>
      <c r="C195" t="s">
        <v>46</v>
      </c>
      <c r="D195" t="s">
        <v>25</v>
      </c>
      <c r="E195" t="s">
        <v>26</v>
      </c>
      <c r="F195" t="s">
        <v>151</v>
      </c>
      <c r="G195" s="1">
        <v>43748</v>
      </c>
      <c r="H195" s="1">
        <v>43986</v>
      </c>
      <c r="J195" t="s">
        <v>815</v>
      </c>
      <c r="K195" t="s">
        <v>29</v>
      </c>
      <c r="L195" t="s">
        <v>60</v>
      </c>
      <c r="M195" t="s">
        <v>22</v>
      </c>
    </row>
    <row r="196" spans="1:13" x14ac:dyDescent="0.3">
      <c r="A196" t="s">
        <v>816</v>
      </c>
      <c r="B196" t="s">
        <v>817</v>
      </c>
      <c r="C196" t="s">
        <v>87</v>
      </c>
      <c r="D196" t="s">
        <v>41</v>
      </c>
      <c r="E196" t="s">
        <v>17</v>
      </c>
      <c r="F196" t="s">
        <v>18</v>
      </c>
      <c r="G196" s="1">
        <v>45468</v>
      </c>
      <c r="H196" s="1">
        <v>45669</v>
      </c>
      <c r="I196" t="s">
        <v>818</v>
      </c>
      <c r="J196" t="s">
        <v>819</v>
      </c>
      <c r="K196" t="s">
        <v>90</v>
      </c>
      <c r="L196" t="s">
        <v>91</v>
      </c>
      <c r="M196" t="s">
        <v>22</v>
      </c>
    </row>
    <row r="197" spans="1:13" x14ac:dyDescent="0.3">
      <c r="A197" t="s">
        <v>820</v>
      </c>
      <c r="B197" t="s">
        <v>821</v>
      </c>
      <c r="C197" t="s">
        <v>40</v>
      </c>
      <c r="D197" t="s">
        <v>34</v>
      </c>
      <c r="E197" t="s">
        <v>26</v>
      </c>
      <c r="F197" t="s">
        <v>18</v>
      </c>
      <c r="G197" s="1">
        <v>45623</v>
      </c>
      <c r="H197" s="1">
        <v>45710</v>
      </c>
      <c r="I197" t="s">
        <v>822</v>
      </c>
      <c r="J197" t="s">
        <v>823</v>
      </c>
      <c r="K197" t="s">
        <v>29</v>
      </c>
      <c r="L197" t="s">
        <v>116</v>
      </c>
      <c r="M197" t="s">
        <v>22</v>
      </c>
    </row>
    <row r="198" spans="1:13" x14ac:dyDescent="0.3">
      <c r="A198" t="s">
        <v>824</v>
      </c>
      <c r="B198" t="s">
        <v>825</v>
      </c>
      <c r="C198" t="s">
        <v>15</v>
      </c>
      <c r="D198" t="s">
        <v>51</v>
      </c>
      <c r="E198" t="s">
        <v>52</v>
      </c>
      <c r="F198" t="s">
        <v>151</v>
      </c>
      <c r="G198" s="1">
        <v>44353</v>
      </c>
      <c r="H198" s="1">
        <v>44582</v>
      </c>
      <c r="I198" t="s">
        <v>826</v>
      </c>
      <c r="J198" t="s">
        <v>827</v>
      </c>
      <c r="K198" t="s">
        <v>21</v>
      </c>
      <c r="L198" t="s">
        <v>55</v>
      </c>
      <c r="M198" t="s">
        <v>22</v>
      </c>
    </row>
    <row r="199" spans="1:13" x14ac:dyDescent="0.3">
      <c r="A199" t="s">
        <v>828</v>
      </c>
      <c r="B199" t="s">
        <v>829</v>
      </c>
      <c r="C199" t="s">
        <v>87</v>
      </c>
      <c r="D199" t="s">
        <v>77</v>
      </c>
      <c r="E199" t="s">
        <v>52</v>
      </c>
      <c r="F199" t="s">
        <v>160</v>
      </c>
      <c r="G199" s="1">
        <v>45027</v>
      </c>
      <c r="H199" s="1">
        <v>45224</v>
      </c>
      <c r="I199" t="s">
        <v>830</v>
      </c>
      <c r="J199" t="s">
        <v>831</v>
      </c>
      <c r="K199" t="s">
        <v>90</v>
      </c>
      <c r="L199" t="s">
        <v>55</v>
      </c>
      <c r="M199" t="s">
        <v>22</v>
      </c>
    </row>
    <row r="200" spans="1:13" x14ac:dyDescent="0.3">
      <c r="A200" t="s">
        <v>832</v>
      </c>
      <c r="B200" t="s">
        <v>833</v>
      </c>
      <c r="C200" t="s">
        <v>33</v>
      </c>
      <c r="D200" t="s">
        <v>77</v>
      </c>
      <c r="E200" t="s">
        <v>52</v>
      </c>
      <c r="F200" t="s">
        <v>18</v>
      </c>
      <c r="G200" s="1">
        <v>43776</v>
      </c>
      <c r="H200" s="1">
        <v>44103</v>
      </c>
      <c r="I200" t="s">
        <v>834</v>
      </c>
      <c r="J200" t="s">
        <v>835</v>
      </c>
      <c r="K200" t="s">
        <v>21</v>
      </c>
      <c r="M200" t="s">
        <v>22</v>
      </c>
    </row>
    <row r="201" spans="1:13" x14ac:dyDescent="0.3">
      <c r="A201" t="s">
        <v>836</v>
      </c>
      <c r="B201" t="s">
        <v>837</v>
      </c>
      <c r="C201" t="s">
        <v>46</v>
      </c>
      <c r="D201" t="s">
        <v>67</v>
      </c>
      <c r="E201" t="s">
        <v>26</v>
      </c>
      <c r="F201" t="s">
        <v>18</v>
      </c>
      <c r="G201" s="1">
        <v>44411</v>
      </c>
      <c r="H201" s="1">
        <v>44716</v>
      </c>
      <c r="I201" t="s">
        <v>838</v>
      </c>
      <c r="J201" t="s">
        <v>839</v>
      </c>
      <c r="K201" t="s">
        <v>90</v>
      </c>
      <c r="L201" t="s">
        <v>116</v>
      </c>
      <c r="M201" t="s">
        <v>22</v>
      </c>
    </row>
    <row r="202" spans="1:13" x14ac:dyDescent="0.3">
      <c r="A202" t="s">
        <v>840</v>
      </c>
      <c r="B202" t="s">
        <v>841</v>
      </c>
      <c r="C202" t="s">
        <v>15</v>
      </c>
      <c r="D202" t="s">
        <v>51</v>
      </c>
      <c r="E202" t="s">
        <v>52</v>
      </c>
      <c r="F202" t="s">
        <v>18</v>
      </c>
      <c r="G202" s="1">
        <v>44494</v>
      </c>
      <c r="H202" s="1">
        <v>44520</v>
      </c>
      <c r="I202" t="s">
        <v>842</v>
      </c>
      <c r="J202" t="s">
        <v>843</v>
      </c>
      <c r="K202" t="s">
        <v>29</v>
      </c>
      <c r="L202" t="s">
        <v>60</v>
      </c>
      <c r="M202" t="s">
        <v>22</v>
      </c>
    </row>
    <row r="203" spans="1:13" x14ac:dyDescent="0.3">
      <c r="A203" t="s">
        <v>844</v>
      </c>
      <c r="B203" t="s">
        <v>845</v>
      </c>
      <c r="C203" t="s">
        <v>87</v>
      </c>
      <c r="D203" t="s">
        <v>51</v>
      </c>
      <c r="E203" t="s">
        <v>52</v>
      </c>
      <c r="F203" t="s">
        <v>18</v>
      </c>
      <c r="G203" s="1">
        <v>45632</v>
      </c>
      <c r="H203" s="1">
        <v>45636</v>
      </c>
      <c r="I203" t="s">
        <v>846</v>
      </c>
      <c r="J203" t="s">
        <v>847</v>
      </c>
      <c r="K203" t="s">
        <v>90</v>
      </c>
      <c r="L203" t="s">
        <v>55</v>
      </c>
      <c r="M203" t="s">
        <v>22</v>
      </c>
    </row>
    <row r="204" spans="1:13" x14ac:dyDescent="0.3">
      <c r="A204" t="s">
        <v>848</v>
      </c>
      <c r="B204" t="s">
        <v>849</v>
      </c>
      <c r="C204" t="s">
        <v>76</v>
      </c>
      <c r="D204" t="s">
        <v>41</v>
      </c>
      <c r="E204" t="s">
        <v>17</v>
      </c>
      <c r="F204" t="s">
        <v>18</v>
      </c>
      <c r="G204" s="1">
        <v>45401</v>
      </c>
      <c r="H204" s="1">
        <v>45464</v>
      </c>
      <c r="I204" t="s">
        <v>850</v>
      </c>
      <c r="J204" t="s">
        <v>851</v>
      </c>
      <c r="K204" t="s">
        <v>37</v>
      </c>
      <c r="L204" t="s">
        <v>30</v>
      </c>
      <c r="M204" t="s">
        <v>22</v>
      </c>
    </row>
    <row r="205" spans="1:13" x14ac:dyDescent="0.3">
      <c r="A205" t="s">
        <v>852</v>
      </c>
      <c r="B205" t="s">
        <v>853</v>
      </c>
      <c r="C205" t="s">
        <v>181</v>
      </c>
      <c r="D205" t="s">
        <v>51</v>
      </c>
      <c r="E205" t="s">
        <v>52</v>
      </c>
      <c r="F205" t="s">
        <v>151</v>
      </c>
      <c r="G205" s="1">
        <v>45591</v>
      </c>
      <c r="H205" s="1">
        <v>45736</v>
      </c>
      <c r="I205" t="s">
        <v>854</v>
      </c>
      <c r="J205" t="s">
        <v>855</v>
      </c>
      <c r="K205" t="s">
        <v>37</v>
      </c>
      <c r="M205" t="s">
        <v>22</v>
      </c>
    </row>
    <row r="206" spans="1:13" x14ac:dyDescent="0.3">
      <c r="A206" t="s">
        <v>856</v>
      </c>
      <c r="B206" t="s">
        <v>857</v>
      </c>
      <c r="C206" t="s">
        <v>76</v>
      </c>
      <c r="D206" t="s">
        <v>16</v>
      </c>
      <c r="E206" t="s">
        <v>17</v>
      </c>
      <c r="F206" t="s">
        <v>18</v>
      </c>
      <c r="G206" s="1">
        <v>44240</v>
      </c>
      <c r="H206" s="1">
        <v>44514</v>
      </c>
      <c r="I206" t="s">
        <v>858</v>
      </c>
      <c r="J206" t="s">
        <v>859</v>
      </c>
      <c r="K206" t="s">
        <v>29</v>
      </c>
      <c r="L206" t="s">
        <v>55</v>
      </c>
      <c r="M206" t="s">
        <v>22</v>
      </c>
    </row>
    <row r="207" spans="1:13" x14ac:dyDescent="0.3">
      <c r="A207" t="s">
        <v>860</v>
      </c>
      <c r="B207" t="s">
        <v>861</v>
      </c>
      <c r="C207" t="s">
        <v>33</v>
      </c>
      <c r="D207" t="s">
        <v>41</v>
      </c>
      <c r="E207" t="s">
        <v>17</v>
      </c>
      <c r="F207" t="s">
        <v>18</v>
      </c>
      <c r="G207" s="1">
        <v>44691</v>
      </c>
      <c r="H207" s="1">
        <v>44994</v>
      </c>
      <c r="I207" t="s">
        <v>862</v>
      </c>
      <c r="J207" t="s">
        <v>210</v>
      </c>
      <c r="K207" t="s">
        <v>21</v>
      </c>
      <c r="M207" t="s">
        <v>22</v>
      </c>
    </row>
    <row r="208" spans="1:13" x14ac:dyDescent="0.3">
      <c r="A208" t="s">
        <v>863</v>
      </c>
      <c r="B208" t="s">
        <v>864</v>
      </c>
      <c r="C208" t="s">
        <v>181</v>
      </c>
      <c r="D208" t="s">
        <v>41</v>
      </c>
      <c r="E208" t="s">
        <v>17</v>
      </c>
      <c r="F208" t="s">
        <v>18</v>
      </c>
      <c r="G208" s="1">
        <v>44101</v>
      </c>
      <c r="H208" s="1">
        <v>44242</v>
      </c>
      <c r="J208" t="s">
        <v>865</v>
      </c>
      <c r="K208" t="s">
        <v>90</v>
      </c>
      <c r="M208" t="s">
        <v>22</v>
      </c>
    </row>
    <row r="209" spans="1:13" x14ac:dyDescent="0.3">
      <c r="A209" t="s">
        <v>866</v>
      </c>
      <c r="B209" t="s">
        <v>867</v>
      </c>
      <c r="C209" t="s">
        <v>40</v>
      </c>
      <c r="D209" t="s">
        <v>51</v>
      </c>
      <c r="E209" t="s">
        <v>52</v>
      </c>
      <c r="F209" t="s">
        <v>18</v>
      </c>
      <c r="G209" s="1">
        <v>44627</v>
      </c>
      <c r="H209" s="1">
        <v>44799</v>
      </c>
      <c r="I209" t="s">
        <v>868</v>
      </c>
      <c r="J209" t="s">
        <v>869</v>
      </c>
      <c r="K209" t="s">
        <v>21</v>
      </c>
      <c r="L209" t="s">
        <v>116</v>
      </c>
      <c r="M209" t="s">
        <v>22</v>
      </c>
    </row>
    <row r="210" spans="1:13" x14ac:dyDescent="0.3">
      <c r="A210" t="s">
        <v>870</v>
      </c>
      <c r="B210" t="s">
        <v>871</v>
      </c>
      <c r="C210" t="s">
        <v>15</v>
      </c>
      <c r="D210" t="s">
        <v>25</v>
      </c>
      <c r="E210" t="s">
        <v>26</v>
      </c>
      <c r="F210" t="s">
        <v>18</v>
      </c>
      <c r="G210" s="1">
        <v>44236</v>
      </c>
      <c r="H210" s="1">
        <v>44249</v>
      </c>
      <c r="I210" t="s">
        <v>872</v>
      </c>
      <c r="J210" t="s">
        <v>873</v>
      </c>
      <c r="K210" t="s">
        <v>37</v>
      </c>
      <c r="M210" t="s">
        <v>22</v>
      </c>
    </row>
    <row r="211" spans="1:13" x14ac:dyDescent="0.3">
      <c r="A211" t="s">
        <v>874</v>
      </c>
      <c r="B211" t="s">
        <v>875</v>
      </c>
      <c r="C211" t="s">
        <v>40</v>
      </c>
      <c r="D211" t="s">
        <v>67</v>
      </c>
      <c r="E211" t="s">
        <v>26</v>
      </c>
      <c r="F211" t="s">
        <v>18</v>
      </c>
      <c r="G211" s="1">
        <v>44684</v>
      </c>
      <c r="H211" s="1">
        <v>44998</v>
      </c>
      <c r="I211" t="s">
        <v>876</v>
      </c>
      <c r="J211" t="s">
        <v>877</v>
      </c>
      <c r="K211" t="s">
        <v>37</v>
      </c>
      <c r="L211" t="s">
        <v>116</v>
      </c>
      <c r="M211" t="s">
        <v>22</v>
      </c>
    </row>
    <row r="212" spans="1:13" x14ac:dyDescent="0.3">
      <c r="A212" t="s">
        <v>878</v>
      </c>
      <c r="B212" t="s">
        <v>879</v>
      </c>
      <c r="C212" t="s">
        <v>15</v>
      </c>
      <c r="D212" t="s">
        <v>34</v>
      </c>
      <c r="E212" t="s">
        <v>26</v>
      </c>
      <c r="F212" t="s">
        <v>151</v>
      </c>
      <c r="G212" s="1">
        <v>45500</v>
      </c>
      <c r="H212" s="1">
        <v>45646</v>
      </c>
      <c r="I212" t="s">
        <v>880</v>
      </c>
      <c r="J212" t="s">
        <v>881</v>
      </c>
      <c r="K212" t="s">
        <v>37</v>
      </c>
      <c r="M212" t="s">
        <v>22</v>
      </c>
    </row>
    <row r="213" spans="1:13" x14ac:dyDescent="0.3">
      <c r="A213" t="s">
        <v>882</v>
      </c>
      <c r="B213" t="s">
        <v>883</v>
      </c>
      <c r="C213" t="s">
        <v>46</v>
      </c>
      <c r="D213" t="s">
        <v>16</v>
      </c>
      <c r="E213" t="s">
        <v>17</v>
      </c>
      <c r="F213" t="s">
        <v>18</v>
      </c>
      <c r="G213" s="1">
        <v>44869</v>
      </c>
      <c r="H213" s="1">
        <v>45194</v>
      </c>
      <c r="I213" t="s">
        <v>884</v>
      </c>
      <c r="K213" t="s">
        <v>29</v>
      </c>
      <c r="L213" t="s">
        <v>55</v>
      </c>
      <c r="M213" t="s">
        <v>22</v>
      </c>
    </row>
    <row r="214" spans="1:13" x14ac:dyDescent="0.3">
      <c r="A214" t="s">
        <v>885</v>
      </c>
      <c r="B214" t="s">
        <v>886</v>
      </c>
      <c r="C214" t="s">
        <v>40</v>
      </c>
      <c r="D214" t="s">
        <v>25</v>
      </c>
      <c r="E214" t="s">
        <v>26</v>
      </c>
      <c r="F214" t="s">
        <v>160</v>
      </c>
      <c r="G214" s="1">
        <v>44630</v>
      </c>
      <c r="I214" t="s">
        <v>887</v>
      </c>
      <c r="J214" t="s">
        <v>888</v>
      </c>
      <c r="K214" t="s">
        <v>29</v>
      </c>
      <c r="L214" t="s">
        <v>55</v>
      </c>
      <c r="M214" t="s">
        <v>22</v>
      </c>
    </row>
    <row r="215" spans="1:13" x14ac:dyDescent="0.3">
      <c r="A215" t="s">
        <v>889</v>
      </c>
      <c r="B215" t="s">
        <v>890</v>
      </c>
      <c r="C215" t="s">
        <v>76</v>
      </c>
      <c r="D215" t="s">
        <v>41</v>
      </c>
      <c r="E215" t="s">
        <v>17</v>
      </c>
      <c r="F215" t="s">
        <v>18</v>
      </c>
      <c r="G215" s="1">
        <v>44590</v>
      </c>
      <c r="H215" s="1">
        <v>44815</v>
      </c>
      <c r="I215" t="s">
        <v>891</v>
      </c>
      <c r="J215" t="s">
        <v>892</v>
      </c>
      <c r="K215" t="s">
        <v>90</v>
      </c>
      <c r="L215" t="s">
        <v>30</v>
      </c>
      <c r="M215" t="s">
        <v>22</v>
      </c>
    </row>
    <row r="216" spans="1:13" x14ac:dyDescent="0.3">
      <c r="A216" t="s">
        <v>893</v>
      </c>
      <c r="B216" t="s">
        <v>894</v>
      </c>
      <c r="C216" t="s">
        <v>46</v>
      </c>
      <c r="D216" t="s">
        <v>77</v>
      </c>
      <c r="E216" t="s">
        <v>52</v>
      </c>
      <c r="F216" t="s">
        <v>18</v>
      </c>
      <c r="G216" s="1">
        <v>45369</v>
      </c>
      <c r="H216" s="1">
        <v>45686</v>
      </c>
      <c r="I216" t="s">
        <v>895</v>
      </c>
      <c r="J216" t="s">
        <v>681</v>
      </c>
      <c r="K216" t="s">
        <v>90</v>
      </c>
      <c r="L216" t="s">
        <v>60</v>
      </c>
      <c r="M216" t="s">
        <v>22</v>
      </c>
    </row>
    <row r="217" spans="1:13" x14ac:dyDescent="0.3">
      <c r="A217" t="s">
        <v>896</v>
      </c>
      <c r="B217" t="s">
        <v>897</v>
      </c>
      <c r="C217" t="s">
        <v>87</v>
      </c>
      <c r="D217" t="s">
        <v>67</v>
      </c>
      <c r="E217" t="s">
        <v>26</v>
      </c>
      <c r="F217" t="s">
        <v>18</v>
      </c>
      <c r="G217" s="1">
        <v>43599</v>
      </c>
      <c r="H217" s="1">
        <v>43717</v>
      </c>
      <c r="I217" t="s">
        <v>898</v>
      </c>
      <c r="J217" t="s">
        <v>899</v>
      </c>
      <c r="K217" t="s">
        <v>21</v>
      </c>
      <c r="L217" t="s">
        <v>60</v>
      </c>
      <c r="M217" t="s">
        <v>22</v>
      </c>
    </row>
    <row r="218" spans="1:13" x14ac:dyDescent="0.3">
      <c r="A218" t="s">
        <v>900</v>
      </c>
      <c r="B218" t="s">
        <v>901</v>
      </c>
      <c r="C218" t="s">
        <v>87</v>
      </c>
      <c r="D218" t="s">
        <v>51</v>
      </c>
      <c r="E218" t="s">
        <v>52</v>
      </c>
      <c r="F218" t="s">
        <v>160</v>
      </c>
      <c r="G218" s="1">
        <v>44694</v>
      </c>
      <c r="H218" s="1">
        <v>44822</v>
      </c>
      <c r="I218" t="s">
        <v>902</v>
      </c>
      <c r="J218" t="s">
        <v>367</v>
      </c>
      <c r="K218" t="s">
        <v>21</v>
      </c>
      <c r="L218" t="s">
        <v>60</v>
      </c>
      <c r="M218" t="s">
        <v>22</v>
      </c>
    </row>
    <row r="219" spans="1:13" x14ac:dyDescent="0.3">
      <c r="A219" t="s">
        <v>903</v>
      </c>
      <c r="B219" t="s">
        <v>904</v>
      </c>
      <c r="C219" t="s">
        <v>76</v>
      </c>
      <c r="D219" t="s">
        <v>41</v>
      </c>
      <c r="E219" t="s">
        <v>17</v>
      </c>
      <c r="F219" t="s">
        <v>160</v>
      </c>
      <c r="G219" s="1">
        <v>43476</v>
      </c>
      <c r="H219" s="1">
        <v>43498</v>
      </c>
      <c r="I219" t="s">
        <v>905</v>
      </c>
      <c r="J219" t="s">
        <v>906</v>
      </c>
      <c r="K219" t="s">
        <v>90</v>
      </c>
      <c r="L219" t="s">
        <v>30</v>
      </c>
      <c r="M219" t="s">
        <v>22</v>
      </c>
    </row>
    <row r="220" spans="1:13" x14ac:dyDescent="0.3">
      <c r="A220" t="s">
        <v>907</v>
      </c>
      <c r="B220" t="s">
        <v>908</v>
      </c>
      <c r="C220" t="s">
        <v>15</v>
      </c>
      <c r="D220" t="s">
        <v>77</v>
      </c>
      <c r="E220" t="s">
        <v>52</v>
      </c>
      <c r="F220" t="s">
        <v>18</v>
      </c>
      <c r="G220" s="1">
        <v>43810</v>
      </c>
      <c r="H220" s="1">
        <v>44108</v>
      </c>
      <c r="I220" t="s">
        <v>909</v>
      </c>
      <c r="J220" t="s">
        <v>910</v>
      </c>
      <c r="K220" t="s">
        <v>90</v>
      </c>
      <c r="L220" t="s">
        <v>60</v>
      </c>
      <c r="M220" t="s">
        <v>22</v>
      </c>
    </row>
    <row r="221" spans="1:13" x14ac:dyDescent="0.3">
      <c r="A221" t="s">
        <v>911</v>
      </c>
      <c r="B221" t="s">
        <v>912</v>
      </c>
      <c r="C221" t="s">
        <v>87</v>
      </c>
      <c r="D221" t="s">
        <v>34</v>
      </c>
      <c r="E221" t="s">
        <v>26</v>
      </c>
      <c r="F221" t="s">
        <v>18</v>
      </c>
      <c r="G221" s="1">
        <v>43965</v>
      </c>
      <c r="H221" s="1">
        <v>44238</v>
      </c>
      <c r="I221" t="s">
        <v>913</v>
      </c>
      <c r="J221" t="s">
        <v>914</v>
      </c>
      <c r="K221" t="s">
        <v>21</v>
      </c>
      <c r="L221" t="s">
        <v>60</v>
      </c>
      <c r="M221" t="s">
        <v>22</v>
      </c>
    </row>
    <row r="222" spans="1:13" x14ac:dyDescent="0.3">
      <c r="A222" t="s">
        <v>915</v>
      </c>
      <c r="B222" t="s">
        <v>188</v>
      </c>
      <c r="C222" t="s">
        <v>46</v>
      </c>
      <c r="D222" t="s">
        <v>34</v>
      </c>
      <c r="E222" t="s">
        <v>26</v>
      </c>
      <c r="F222" t="s">
        <v>160</v>
      </c>
      <c r="G222" s="1">
        <v>44740</v>
      </c>
      <c r="H222" s="1">
        <v>45038</v>
      </c>
      <c r="I222" t="s">
        <v>916</v>
      </c>
      <c r="J222" t="s">
        <v>917</v>
      </c>
      <c r="K222" t="s">
        <v>37</v>
      </c>
      <c r="L222" t="s">
        <v>30</v>
      </c>
      <c r="M222" t="s">
        <v>22</v>
      </c>
    </row>
    <row r="223" spans="1:13" x14ac:dyDescent="0.3">
      <c r="A223" t="s">
        <v>918</v>
      </c>
      <c r="B223" t="s">
        <v>919</v>
      </c>
      <c r="C223" t="s">
        <v>15</v>
      </c>
      <c r="D223" t="s">
        <v>67</v>
      </c>
      <c r="E223" t="s">
        <v>26</v>
      </c>
      <c r="F223" t="s">
        <v>160</v>
      </c>
      <c r="G223" s="1">
        <v>44343</v>
      </c>
      <c r="H223" s="1">
        <v>44456</v>
      </c>
      <c r="I223" t="s">
        <v>920</v>
      </c>
      <c r="J223" t="s">
        <v>921</v>
      </c>
      <c r="K223" t="s">
        <v>29</v>
      </c>
      <c r="M223" t="s">
        <v>22</v>
      </c>
    </row>
    <row r="224" spans="1:13" x14ac:dyDescent="0.3">
      <c r="A224" t="s">
        <v>922</v>
      </c>
      <c r="B224" t="s">
        <v>923</v>
      </c>
      <c r="C224" t="s">
        <v>33</v>
      </c>
      <c r="D224" t="s">
        <v>16</v>
      </c>
      <c r="E224" t="s">
        <v>17</v>
      </c>
      <c r="F224" t="s">
        <v>160</v>
      </c>
      <c r="G224" s="1">
        <v>44119</v>
      </c>
      <c r="H224" s="1">
        <v>44476</v>
      </c>
      <c r="I224" t="s">
        <v>924</v>
      </c>
      <c r="J224" t="s">
        <v>925</v>
      </c>
      <c r="K224" t="s">
        <v>29</v>
      </c>
      <c r="L224" t="s">
        <v>55</v>
      </c>
      <c r="M224" t="s">
        <v>22</v>
      </c>
    </row>
    <row r="225" spans="1:13" x14ac:dyDescent="0.3">
      <c r="A225" t="s">
        <v>926</v>
      </c>
      <c r="B225" t="s">
        <v>927</v>
      </c>
      <c r="C225" t="s">
        <v>33</v>
      </c>
      <c r="D225" t="s">
        <v>16</v>
      </c>
      <c r="E225" t="s">
        <v>17</v>
      </c>
      <c r="F225" t="s">
        <v>18</v>
      </c>
      <c r="G225" s="1">
        <v>45651</v>
      </c>
      <c r="H225" s="1">
        <v>45845</v>
      </c>
      <c r="I225" t="s">
        <v>928</v>
      </c>
      <c r="J225" t="s">
        <v>929</v>
      </c>
      <c r="K225" t="s">
        <v>90</v>
      </c>
      <c r="L225" t="s">
        <v>91</v>
      </c>
      <c r="M225" t="s">
        <v>22</v>
      </c>
    </row>
    <row r="226" spans="1:13" x14ac:dyDescent="0.3">
      <c r="A226" t="s">
        <v>930</v>
      </c>
      <c r="B226" t="s">
        <v>931</v>
      </c>
      <c r="C226" t="s">
        <v>76</v>
      </c>
      <c r="D226" t="s">
        <v>16</v>
      </c>
      <c r="E226" t="s">
        <v>17</v>
      </c>
      <c r="F226" t="s">
        <v>18</v>
      </c>
      <c r="G226" s="1">
        <v>45150</v>
      </c>
      <c r="H226" s="1">
        <v>45200</v>
      </c>
      <c r="I226" t="s">
        <v>932</v>
      </c>
      <c r="J226" t="s">
        <v>933</v>
      </c>
      <c r="K226" t="s">
        <v>21</v>
      </c>
      <c r="L226" t="s">
        <v>116</v>
      </c>
      <c r="M226" t="s">
        <v>22</v>
      </c>
    </row>
    <row r="227" spans="1:13" x14ac:dyDescent="0.3">
      <c r="A227" t="s">
        <v>934</v>
      </c>
      <c r="B227" t="s">
        <v>935</v>
      </c>
      <c r="C227" t="s">
        <v>87</v>
      </c>
      <c r="D227" t="s">
        <v>77</v>
      </c>
      <c r="E227" t="s">
        <v>52</v>
      </c>
      <c r="F227" t="s">
        <v>160</v>
      </c>
      <c r="G227" s="1">
        <v>43842</v>
      </c>
      <c r="H227" s="1">
        <v>44011</v>
      </c>
      <c r="I227" t="s">
        <v>936</v>
      </c>
      <c r="J227" t="s">
        <v>937</v>
      </c>
      <c r="K227" t="s">
        <v>21</v>
      </c>
      <c r="L227" t="s">
        <v>60</v>
      </c>
      <c r="M227" t="s">
        <v>22</v>
      </c>
    </row>
    <row r="228" spans="1:13" x14ac:dyDescent="0.3">
      <c r="A228" t="s">
        <v>938</v>
      </c>
      <c r="B228" t="s">
        <v>939</v>
      </c>
      <c r="C228" t="s">
        <v>87</v>
      </c>
      <c r="D228" t="s">
        <v>25</v>
      </c>
      <c r="E228" t="s">
        <v>26</v>
      </c>
      <c r="F228" t="s">
        <v>160</v>
      </c>
      <c r="G228" s="1">
        <v>43804</v>
      </c>
      <c r="H228" s="1">
        <v>44059</v>
      </c>
      <c r="I228" t="s">
        <v>940</v>
      </c>
      <c r="J228" t="s">
        <v>941</v>
      </c>
      <c r="K228" t="s">
        <v>90</v>
      </c>
      <c r="L228" t="s">
        <v>91</v>
      </c>
      <c r="M228" t="s">
        <v>22</v>
      </c>
    </row>
    <row r="229" spans="1:13" x14ac:dyDescent="0.3">
      <c r="A229" t="s">
        <v>942</v>
      </c>
      <c r="B229" t="s">
        <v>943</v>
      </c>
      <c r="C229" t="s">
        <v>87</v>
      </c>
      <c r="D229" t="s">
        <v>25</v>
      </c>
      <c r="E229" t="s">
        <v>26</v>
      </c>
      <c r="F229" t="s">
        <v>18</v>
      </c>
      <c r="G229" s="1">
        <v>44553</v>
      </c>
      <c r="H229" s="1">
        <v>44888</v>
      </c>
      <c r="I229" t="s">
        <v>944</v>
      </c>
      <c r="J229" t="s">
        <v>254</v>
      </c>
      <c r="K229" t="s">
        <v>90</v>
      </c>
      <c r="L229" t="s">
        <v>91</v>
      </c>
      <c r="M229" t="s">
        <v>22</v>
      </c>
    </row>
    <row r="230" spans="1:13" x14ac:dyDescent="0.3">
      <c r="A230" t="s">
        <v>945</v>
      </c>
      <c r="B230" t="s">
        <v>946</v>
      </c>
      <c r="C230" t="s">
        <v>87</v>
      </c>
      <c r="D230" t="s">
        <v>51</v>
      </c>
      <c r="E230" t="s">
        <v>52</v>
      </c>
      <c r="F230" t="s">
        <v>151</v>
      </c>
      <c r="G230" s="1">
        <v>44294</v>
      </c>
      <c r="H230" s="1">
        <v>44465</v>
      </c>
      <c r="I230" t="s">
        <v>947</v>
      </c>
      <c r="J230" t="s">
        <v>948</v>
      </c>
      <c r="K230" t="s">
        <v>90</v>
      </c>
      <c r="L230" t="s">
        <v>116</v>
      </c>
      <c r="M230" t="s">
        <v>22</v>
      </c>
    </row>
    <row r="231" spans="1:13" x14ac:dyDescent="0.3">
      <c r="A231" t="s">
        <v>949</v>
      </c>
      <c r="B231" t="s">
        <v>950</v>
      </c>
      <c r="C231" t="s">
        <v>76</v>
      </c>
      <c r="D231" t="s">
        <v>25</v>
      </c>
      <c r="E231" t="s">
        <v>26</v>
      </c>
      <c r="F231" t="s">
        <v>18</v>
      </c>
      <c r="G231" s="1">
        <v>44651</v>
      </c>
      <c r="H231" s="1">
        <v>44691</v>
      </c>
      <c r="I231" t="s">
        <v>951</v>
      </c>
      <c r="J231" t="s">
        <v>952</v>
      </c>
      <c r="K231" t="s">
        <v>21</v>
      </c>
      <c r="L231" t="s">
        <v>116</v>
      </c>
      <c r="M231" t="s">
        <v>22</v>
      </c>
    </row>
    <row r="232" spans="1:13" x14ac:dyDescent="0.3">
      <c r="A232" t="s">
        <v>953</v>
      </c>
      <c r="B232" t="s">
        <v>954</v>
      </c>
      <c r="C232" t="s">
        <v>181</v>
      </c>
      <c r="D232" t="s">
        <v>51</v>
      </c>
      <c r="E232" t="s">
        <v>52</v>
      </c>
      <c r="F232" t="s">
        <v>18</v>
      </c>
      <c r="G232" s="1">
        <v>43796</v>
      </c>
      <c r="H232" s="1">
        <v>43866</v>
      </c>
      <c r="I232" t="s">
        <v>955</v>
      </c>
      <c r="J232" t="s">
        <v>956</v>
      </c>
      <c r="K232" t="s">
        <v>21</v>
      </c>
      <c r="M232" t="s">
        <v>22</v>
      </c>
    </row>
    <row r="233" spans="1:13" x14ac:dyDescent="0.3">
      <c r="A233" t="s">
        <v>957</v>
      </c>
      <c r="B233" t="s">
        <v>958</v>
      </c>
      <c r="C233" t="s">
        <v>87</v>
      </c>
      <c r="D233" t="s">
        <v>67</v>
      </c>
      <c r="E233" t="s">
        <v>26</v>
      </c>
      <c r="F233" t="s">
        <v>18</v>
      </c>
      <c r="G233" s="1">
        <v>45344</v>
      </c>
      <c r="H233" s="1">
        <v>45703</v>
      </c>
      <c r="I233" t="s">
        <v>959</v>
      </c>
      <c r="J233" t="s">
        <v>960</v>
      </c>
      <c r="K233" t="s">
        <v>37</v>
      </c>
      <c r="L233" t="s">
        <v>55</v>
      </c>
      <c r="M233" t="s">
        <v>22</v>
      </c>
    </row>
    <row r="234" spans="1:13" x14ac:dyDescent="0.3">
      <c r="A234" t="s">
        <v>961</v>
      </c>
      <c r="B234" t="s">
        <v>962</v>
      </c>
      <c r="C234" t="s">
        <v>33</v>
      </c>
      <c r="D234" t="s">
        <v>34</v>
      </c>
      <c r="E234" t="s">
        <v>26</v>
      </c>
      <c r="F234" t="s">
        <v>18</v>
      </c>
      <c r="G234" s="1">
        <v>45535</v>
      </c>
      <c r="H234" s="1">
        <v>45591</v>
      </c>
      <c r="I234" t="s">
        <v>963</v>
      </c>
      <c r="J234" t="s">
        <v>964</v>
      </c>
      <c r="K234" t="s">
        <v>29</v>
      </c>
      <c r="M234" t="s">
        <v>22</v>
      </c>
    </row>
    <row r="235" spans="1:13" x14ac:dyDescent="0.3">
      <c r="A235" t="s">
        <v>965</v>
      </c>
      <c r="B235" t="s">
        <v>966</v>
      </c>
      <c r="C235" t="s">
        <v>33</v>
      </c>
      <c r="D235" t="s">
        <v>51</v>
      </c>
      <c r="E235" t="s">
        <v>52</v>
      </c>
      <c r="F235" t="s">
        <v>18</v>
      </c>
      <c r="G235" s="1">
        <v>44707</v>
      </c>
      <c r="H235" s="1">
        <v>44866</v>
      </c>
      <c r="I235" t="s">
        <v>967</v>
      </c>
      <c r="J235" t="s">
        <v>968</v>
      </c>
      <c r="K235" t="s">
        <v>90</v>
      </c>
      <c r="L235" t="s">
        <v>55</v>
      </c>
      <c r="M235" t="s">
        <v>22</v>
      </c>
    </row>
    <row r="236" spans="1:13" x14ac:dyDescent="0.3">
      <c r="A236" t="s">
        <v>969</v>
      </c>
      <c r="B236" t="s">
        <v>970</v>
      </c>
      <c r="C236" t="s">
        <v>971</v>
      </c>
      <c r="D236" t="s">
        <v>41</v>
      </c>
      <c r="E236" t="s">
        <v>17</v>
      </c>
      <c r="F236" t="s">
        <v>18</v>
      </c>
      <c r="G236" s="1">
        <v>44253</v>
      </c>
      <c r="H236" s="1">
        <v>44493</v>
      </c>
      <c r="I236" t="s">
        <v>972</v>
      </c>
      <c r="J236" t="s">
        <v>973</v>
      </c>
      <c r="K236" t="s">
        <v>37</v>
      </c>
      <c r="L236" t="s">
        <v>91</v>
      </c>
      <c r="M236" t="s">
        <v>22</v>
      </c>
    </row>
    <row r="237" spans="1:13" x14ac:dyDescent="0.3">
      <c r="A237" t="s">
        <v>974</v>
      </c>
      <c r="B237" t="s">
        <v>975</v>
      </c>
      <c r="C237" t="s">
        <v>15</v>
      </c>
      <c r="D237" t="s">
        <v>67</v>
      </c>
      <c r="E237" t="s">
        <v>26</v>
      </c>
      <c r="F237" t="s">
        <v>18</v>
      </c>
      <c r="G237" s="1">
        <v>44784</v>
      </c>
      <c r="H237" s="1">
        <v>44880</v>
      </c>
      <c r="I237" t="s">
        <v>976</v>
      </c>
      <c r="J237" t="s">
        <v>977</v>
      </c>
      <c r="K237" t="s">
        <v>37</v>
      </c>
      <c r="L237" t="s">
        <v>30</v>
      </c>
      <c r="M237" t="s">
        <v>22</v>
      </c>
    </row>
    <row r="238" spans="1:13" x14ac:dyDescent="0.3">
      <c r="A238" t="s">
        <v>978</v>
      </c>
      <c r="B238" t="s">
        <v>979</v>
      </c>
      <c r="C238" t="s">
        <v>40</v>
      </c>
      <c r="D238" t="s">
        <v>16</v>
      </c>
      <c r="E238" t="s">
        <v>17</v>
      </c>
      <c r="F238" t="s">
        <v>160</v>
      </c>
      <c r="G238" s="1">
        <v>44472</v>
      </c>
      <c r="H238" s="1">
        <v>44737</v>
      </c>
      <c r="I238" t="s">
        <v>980</v>
      </c>
      <c r="J238" t="s">
        <v>796</v>
      </c>
      <c r="K238" t="s">
        <v>90</v>
      </c>
      <c r="L238" t="s">
        <v>91</v>
      </c>
      <c r="M238" t="s">
        <v>22</v>
      </c>
    </row>
    <row r="239" spans="1:13" x14ac:dyDescent="0.3">
      <c r="A239" t="s">
        <v>981</v>
      </c>
      <c r="B239" t="s">
        <v>982</v>
      </c>
      <c r="C239" t="s">
        <v>33</v>
      </c>
      <c r="D239" t="s">
        <v>16</v>
      </c>
      <c r="E239" t="s">
        <v>17</v>
      </c>
      <c r="F239" t="s">
        <v>151</v>
      </c>
      <c r="G239" s="1">
        <v>44963</v>
      </c>
      <c r="H239" s="1">
        <v>45036</v>
      </c>
      <c r="I239" t="s">
        <v>983</v>
      </c>
      <c r="J239" t="s">
        <v>984</v>
      </c>
      <c r="K239" t="s">
        <v>21</v>
      </c>
      <c r="L239" t="s">
        <v>91</v>
      </c>
      <c r="M239" t="s">
        <v>22</v>
      </c>
    </row>
    <row r="240" spans="1:13" x14ac:dyDescent="0.3">
      <c r="A240" t="s">
        <v>985</v>
      </c>
      <c r="B240" t="s">
        <v>986</v>
      </c>
      <c r="C240" t="s">
        <v>87</v>
      </c>
      <c r="D240" t="s">
        <v>41</v>
      </c>
      <c r="E240" t="s">
        <v>17</v>
      </c>
      <c r="F240" t="s">
        <v>18</v>
      </c>
      <c r="G240" s="1">
        <v>44084</v>
      </c>
      <c r="H240" s="1">
        <v>44088</v>
      </c>
      <c r="I240" t="s">
        <v>987</v>
      </c>
      <c r="J240" t="s">
        <v>988</v>
      </c>
      <c r="K240" t="s">
        <v>21</v>
      </c>
      <c r="L240" t="s">
        <v>116</v>
      </c>
      <c r="M240" t="s">
        <v>22</v>
      </c>
    </row>
    <row r="241" spans="1:13" x14ac:dyDescent="0.3">
      <c r="A241" t="s">
        <v>989</v>
      </c>
      <c r="B241" t="s">
        <v>990</v>
      </c>
      <c r="C241" t="s">
        <v>87</v>
      </c>
      <c r="D241" t="s">
        <v>51</v>
      </c>
      <c r="E241" t="s">
        <v>52</v>
      </c>
      <c r="F241" t="s">
        <v>18</v>
      </c>
      <c r="G241" s="1">
        <v>44744</v>
      </c>
      <c r="H241" s="1">
        <v>45071</v>
      </c>
      <c r="I241" t="s">
        <v>991</v>
      </c>
      <c r="J241" t="s">
        <v>992</v>
      </c>
      <c r="K241" t="s">
        <v>37</v>
      </c>
      <c r="L241" t="s">
        <v>55</v>
      </c>
      <c r="M241" t="s">
        <v>22</v>
      </c>
    </row>
    <row r="242" spans="1:13" x14ac:dyDescent="0.3">
      <c r="A242" t="s">
        <v>993</v>
      </c>
      <c r="B242" t="s">
        <v>400</v>
      </c>
      <c r="C242" t="s">
        <v>87</v>
      </c>
      <c r="D242" t="s">
        <v>25</v>
      </c>
      <c r="E242" t="s">
        <v>26</v>
      </c>
      <c r="F242" t="s">
        <v>18</v>
      </c>
      <c r="G242" s="1">
        <v>45335</v>
      </c>
      <c r="H242" s="1">
        <v>45512</v>
      </c>
      <c r="I242" t="s">
        <v>994</v>
      </c>
      <c r="J242" t="s">
        <v>995</v>
      </c>
      <c r="K242" t="s">
        <v>37</v>
      </c>
      <c r="L242" t="s">
        <v>30</v>
      </c>
      <c r="M242" t="s">
        <v>22</v>
      </c>
    </row>
    <row r="243" spans="1:13" x14ac:dyDescent="0.3">
      <c r="A243" t="s">
        <v>996</v>
      </c>
      <c r="B243" t="s">
        <v>997</v>
      </c>
      <c r="C243" t="s">
        <v>87</v>
      </c>
      <c r="D243" t="s">
        <v>25</v>
      </c>
      <c r="E243" t="s">
        <v>26</v>
      </c>
      <c r="F243" t="s">
        <v>18</v>
      </c>
      <c r="G243" s="1">
        <v>44456</v>
      </c>
      <c r="H243" s="1">
        <v>44646</v>
      </c>
      <c r="I243" t="s">
        <v>998</v>
      </c>
      <c r="J243" t="s">
        <v>999</v>
      </c>
      <c r="K243" t="s">
        <v>37</v>
      </c>
      <c r="L243" t="s">
        <v>30</v>
      </c>
      <c r="M243" t="s">
        <v>22</v>
      </c>
    </row>
    <row r="244" spans="1:13" x14ac:dyDescent="0.3">
      <c r="A244" t="s">
        <v>1000</v>
      </c>
      <c r="B244" t="s">
        <v>1001</v>
      </c>
      <c r="C244" t="s">
        <v>76</v>
      </c>
      <c r="D244" t="s">
        <v>25</v>
      </c>
      <c r="E244" t="s">
        <v>26</v>
      </c>
      <c r="F244" t="s">
        <v>160</v>
      </c>
      <c r="G244" s="1">
        <v>43976</v>
      </c>
      <c r="H244" s="1">
        <v>44205</v>
      </c>
      <c r="I244" t="s">
        <v>1002</v>
      </c>
      <c r="J244" t="s">
        <v>1003</v>
      </c>
      <c r="K244" t="s">
        <v>21</v>
      </c>
      <c r="L244" t="s">
        <v>116</v>
      </c>
      <c r="M244" t="s">
        <v>22</v>
      </c>
    </row>
    <row r="245" spans="1:13" x14ac:dyDescent="0.3">
      <c r="A245" t="s">
        <v>1004</v>
      </c>
      <c r="B245" t="s">
        <v>1005</v>
      </c>
      <c r="C245" t="s">
        <v>181</v>
      </c>
      <c r="D245" t="s">
        <v>34</v>
      </c>
      <c r="E245" t="s">
        <v>26</v>
      </c>
      <c r="F245" t="s">
        <v>18</v>
      </c>
      <c r="G245" s="1">
        <v>44306</v>
      </c>
      <c r="H245" s="1">
        <v>44584</v>
      </c>
      <c r="I245" t="s">
        <v>1006</v>
      </c>
      <c r="J245" t="s">
        <v>1007</v>
      </c>
      <c r="K245" t="s">
        <v>29</v>
      </c>
      <c r="M245" t="s">
        <v>22</v>
      </c>
    </row>
    <row r="246" spans="1:13" x14ac:dyDescent="0.3">
      <c r="A246" t="s">
        <v>1008</v>
      </c>
      <c r="B246" t="s">
        <v>1009</v>
      </c>
      <c r="C246" t="s">
        <v>76</v>
      </c>
      <c r="D246" t="s">
        <v>67</v>
      </c>
      <c r="E246" t="s">
        <v>26</v>
      </c>
      <c r="F246" t="s">
        <v>160</v>
      </c>
      <c r="G246" s="1">
        <v>43715</v>
      </c>
      <c r="H246" s="1">
        <v>43875</v>
      </c>
      <c r="I246" t="s">
        <v>1010</v>
      </c>
      <c r="J246" t="s">
        <v>1011</v>
      </c>
      <c r="K246" t="s">
        <v>21</v>
      </c>
      <c r="L246" t="s">
        <v>91</v>
      </c>
      <c r="M246" t="s">
        <v>22</v>
      </c>
    </row>
    <row r="247" spans="1:13" x14ac:dyDescent="0.3">
      <c r="A247" t="s">
        <v>1012</v>
      </c>
      <c r="B247" t="s">
        <v>1013</v>
      </c>
      <c r="C247" t="s">
        <v>33</v>
      </c>
      <c r="D247" t="s">
        <v>16</v>
      </c>
      <c r="E247" t="s">
        <v>17</v>
      </c>
      <c r="F247" t="s">
        <v>18</v>
      </c>
      <c r="G247" s="1">
        <v>43710</v>
      </c>
      <c r="H247" s="1">
        <v>43794</v>
      </c>
      <c r="I247" t="s">
        <v>1014</v>
      </c>
      <c r="J247" t="s">
        <v>1015</v>
      </c>
      <c r="K247" t="s">
        <v>21</v>
      </c>
      <c r="L247" t="s">
        <v>60</v>
      </c>
      <c r="M247" t="s">
        <v>22</v>
      </c>
    </row>
    <row r="248" spans="1:13" x14ac:dyDescent="0.3">
      <c r="A248" t="s">
        <v>1016</v>
      </c>
      <c r="B248" t="s">
        <v>1017</v>
      </c>
      <c r="C248" t="s">
        <v>40</v>
      </c>
      <c r="D248" t="s">
        <v>25</v>
      </c>
      <c r="E248" t="s">
        <v>26</v>
      </c>
      <c r="F248" t="s">
        <v>160</v>
      </c>
      <c r="G248" s="1">
        <v>43915</v>
      </c>
      <c r="H248" s="1">
        <v>43993</v>
      </c>
      <c r="I248" t="s">
        <v>1018</v>
      </c>
      <c r="J248" t="s">
        <v>1019</v>
      </c>
      <c r="K248" t="s">
        <v>90</v>
      </c>
      <c r="L248" t="s">
        <v>30</v>
      </c>
      <c r="M248" t="s">
        <v>22</v>
      </c>
    </row>
    <row r="249" spans="1:13" x14ac:dyDescent="0.3">
      <c r="A249" t="s">
        <v>1020</v>
      </c>
      <c r="B249" t="s">
        <v>1021</v>
      </c>
      <c r="C249" t="s">
        <v>76</v>
      </c>
      <c r="D249" t="s">
        <v>25</v>
      </c>
      <c r="E249" t="s">
        <v>26</v>
      </c>
      <c r="F249" t="s">
        <v>160</v>
      </c>
      <c r="G249" s="1">
        <v>44937</v>
      </c>
      <c r="H249" s="1">
        <v>44993</v>
      </c>
      <c r="I249" t="s">
        <v>1022</v>
      </c>
      <c r="J249" t="s">
        <v>1023</v>
      </c>
      <c r="K249" t="s">
        <v>37</v>
      </c>
      <c r="L249" t="s">
        <v>30</v>
      </c>
      <c r="M249" t="s">
        <v>22</v>
      </c>
    </row>
    <row r="250" spans="1:13" x14ac:dyDescent="0.3">
      <c r="A250" t="s">
        <v>1024</v>
      </c>
      <c r="B250" t="s">
        <v>1025</v>
      </c>
      <c r="C250" t="s">
        <v>76</v>
      </c>
      <c r="D250" t="s">
        <v>16</v>
      </c>
      <c r="E250" t="s">
        <v>17</v>
      </c>
      <c r="F250" t="s">
        <v>160</v>
      </c>
      <c r="G250" s="1">
        <v>45618</v>
      </c>
      <c r="H250" s="1">
        <v>45730</v>
      </c>
      <c r="I250" t="s">
        <v>1026</v>
      </c>
      <c r="J250" t="s">
        <v>1027</v>
      </c>
      <c r="K250" t="s">
        <v>90</v>
      </c>
      <c r="L250" t="s">
        <v>91</v>
      </c>
      <c r="M250" t="s">
        <v>22</v>
      </c>
    </row>
    <row r="251" spans="1:13" x14ac:dyDescent="0.3">
      <c r="A251" t="s">
        <v>1028</v>
      </c>
      <c r="B251" t="s">
        <v>1029</v>
      </c>
      <c r="C251" t="s">
        <v>87</v>
      </c>
      <c r="D251" t="s">
        <v>25</v>
      </c>
      <c r="E251" t="s">
        <v>26</v>
      </c>
      <c r="F251" t="s">
        <v>18</v>
      </c>
      <c r="G251" s="1">
        <v>44158</v>
      </c>
      <c r="H251" s="1">
        <v>44221</v>
      </c>
      <c r="I251" t="s">
        <v>1030</v>
      </c>
      <c r="J251" t="s">
        <v>1031</v>
      </c>
      <c r="K251" t="s">
        <v>21</v>
      </c>
      <c r="M251" t="s">
        <v>22</v>
      </c>
    </row>
    <row r="252" spans="1:13" x14ac:dyDescent="0.3">
      <c r="A252" t="s">
        <v>1032</v>
      </c>
      <c r="B252" t="s">
        <v>1033</v>
      </c>
      <c r="C252" t="s">
        <v>76</v>
      </c>
      <c r="D252" t="s">
        <v>41</v>
      </c>
      <c r="E252" t="s">
        <v>17</v>
      </c>
      <c r="F252" t="s">
        <v>18</v>
      </c>
      <c r="G252" s="1">
        <v>44774</v>
      </c>
      <c r="H252" s="1">
        <v>44859</v>
      </c>
      <c r="I252" t="s">
        <v>1034</v>
      </c>
      <c r="J252" t="s">
        <v>1035</v>
      </c>
      <c r="K252" t="s">
        <v>21</v>
      </c>
      <c r="L252" t="s">
        <v>60</v>
      </c>
      <c r="M252" t="s">
        <v>22</v>
      </c>
    </row>
    <row r="253" spans="1:13" x14ac:dyDescent="0.3">
      <c r="A253" t="s">
        <v>1036</v>
      </c>
      <c r="B253" t="s">
        <v>1037</v>
      </c>
      <c r="C253" t="s">
        <v>33</v>
      </c>
      <c r="D253" t="s">
        <v>77</v>
      </c>
      <c r="E253" t="s">
        <v>52</v>
      </c>
      <c r="F253" t="s">
        <v>18</v>
      </c>
      <c r="G253" s="1">
        <v>44185</v>
      </c>
      <c r="H253" s="1">
        <v>44515</v>
      </c>
      <c r="I253" t="s">
        <v>1038</v>
      </c>
      <c r="J253" t="s">
        <v>1039</v>
      </c>
      <c r="K253" t="s">
        <v>29</v>
      </c>
      <c r="L253" t="s">
        <v>55</v>
      </c>
      <c r="M253" t="s">
        <v>22</v>
      </c>
    </row>
    <row r="254" spans="1:13" x14ac:dyDescent="0.3">
      <c r="A254" t="s">
        <v>1040</v>
      </c>
      <c r="B254" t="s">
        <v>1041</v>
      </c>
      <c r="C254" t="s">
        <v>181</v>
      </c>
      <c r="D254" t="s">
        <v>41</v>
      </c>
      <c r="E254" t="s">
        <v>17</v>
      </c>
      <c r="F254" t="s">
        <v>18</v>
      </c>
      <c r="G254" s="1">
        <v>45331</v>
      </c>
      <c r="H254" s="1">
        <v>45647</v>
      </c>
      <c r="I254" t="s">
        <v>1042</v>
      </c>
      <c r="J254" t="s">
        <v>1043</v>
      </c>
      <c r="K254" t="s">
        <v>21</v>
      </c>
      <c r="L254" t="s">
        <v>55</v>
      </c>
      <c r="M254" t="s">
        <v>22</v>
      </c>
    </row>
    <row r="255" spans="1:13" x14ac:dyDescent="0.3">
      <c r="A255" t="s">
        <v>1044</v>
      </c>
      <c r="B255" t="s">
        <v>1045</v>
      </c>
      <c r="C255" t="s">
        <v>15</v>
      </c>
      <c r="D255" t="s">
        <v>67</v>
      </c>
      <c r="E255" t="s">
        <v>26</v>
      </c>
      <c r="F255" t="s">
        <v>18</v>
      </c>
      <c r="G255" s="1">
        <v>43947</v>
      </c>
      <c r="H255" s="1">
        <v>43994</v>
      </c>
      <c r="I255" t="s">
        <v>1046</v>
      </c>
      <c r="J255" t="s">
        <v>1047</v>
      </c>
      <c r="K255" t="s">
        <v>90</v>
      </c>
      <c r="M255" t="s">
        <v>22</v>
      </c>
    </row>
    <row r="256" spans="1:13" x14ac:dyDescent="0.3">
      <c r="A256" t="s">
        <v>1048</v>
      </c>
      <c r="B256" t="s">
        <v>1049</v>
      </c>
      <c r="C256" t="s">
        <v>181</v>
      </c>
      <c r="D256" t="s">
        <v>34</v>
      </c>
      <c r="E256" t="s">
        <v>26</v>
      </c>
      <c r="F256" t="s">
        <v>18</v>
      </c>
      <c r="G256" s="1">
        <v>45427</v>
      </c>
      <c r="H256" s="1">
        <v>45551</v>
      </c>
      <c r="I256" t="s">
        <v>1050</v>
      </c>
      <c r="J256" t="s">
        <v>1051</v>
      </c>
      <c r="K256" t="s">
        <v>21</v>
      </c>
      <c r="L256" t="s">
        <v>55</v>
      </c>
      <c r="M256" t="s">
        <v>22</v>
      </c>
    </row>
    <row r="257" spans="1:13" x14ac:dyDescent="0.3">
      <c r="A257" t="s">
        <v>1052</v>
      </c>
      <c r="B257" t="s">
        <v>1053</v>
      </c>
      <c r="C257" t="s">
        <v>33</v>
      </c>
      <c r="D257" t="s">
        <v>25</v>
      </c>
      <c r="E257" t="s">
        <v>26</v>
      </c>
      <c r="F257" t="s">
        <v>18</v>
      </c>
      <c r="G257" s="1">
        <v>44355</v>
      </c>
      <c r="H257" s="1">
        <v>44582</v>
      </c>
      <c r="I257" t="s">
        <v>1054</v>
      </c>
      <c r="J257" t="s">
        <v>1055</v>
      </c>
      <c r="K257" t="s">
        <v>29</v>
      </c>
      <c r="L257" t="s">
        <v>60</v>
      </c>
      <c r="M257" t="s">
        <v>22</v>
      </c>
    </row>
    <row r="258" spans="1:13" x14ac:dyDescent="0.3">
      <c r="A258" t="s">
        <v>1056</v>
      </c>
      <c r="B258" t="s">
        <v>1057</v>
      </c>
      <c r="C258" t="s">
        <v>46</v>
      </c>
      <c r="D258" t="s">
        <v>77</v>
      </c>
      <c r="E258" t="s">
        <v>52</v>
      </c>
      <c r="F258" t="s">
        <v>160</v>
      </c>
      <c r="G258" s="1">
        <v>45083</v>
      </c>
      <c r="H258" s="1">
        <v>45337</v>
      </c>
      <c r="I258" t="s">
        <v>1058</v>
      </c>
      <c r="J258" t="s">
        <v>1059</v>
      </c>
      <c r="K258" t="s">
        <v>21</v>
      </c>
      <c r="L258" t="s">
        <v>55</v>
      </c>
      <c r="M258" t="s">
        <v>22</v>
      </c>
    </row>
    <row r="259" spans="1:13" x14ac:dyDescent="0.3">
      <c r="A259" t="s">
        <v>1060</v>
      </c>
      <c r="B259" t="s">
        <v>1061</v>
      </c>
      <c r="C259" t="s">
        <v>15</v>
      </c>
      <c r="D259" t="s">
        <v>41</v>
      </c>
      <c r="E259" t="s">
        <v>17</v>
      </c>
      <c r="F259" t="s">
        <v>160</v>
      </c>
      <c r="G259" s="1">
        <v>43532</v>
      </c>
      <c r="H259" s="1">
        <v>43665</v>
      </c>
      <c r="I259" t="s">
        <v>1062</v>
      </c>
      <c r="J259" t="s">
        <v>140</v>
      </c>
      <c r="K259" t="s">
        <v>29</v>
      </c>
      <c r="L259" t="s">
        <v>55</v>
      </c>
      <c r="M259" t="s">
        <v>22</v>
      </c>
    </row>
    <row r="260" spans="1:13" x14ac:dyDescent="0.3">
      <c r="A260" t="s">
        <v>1063</v>
      </c>
      <c r="B260" t="s">
        <v>1064</v>
      </c>
      <c r="C260" t="s">
        <v>181</v>
      </c>
      <c r="D260" t="s">
        <v>51</v>
      </c>
      <c r="E260" t="s">
        <v>52</v>
      </c>
      <c r="F260" t="s">
        <v>160</v>
      </c>
      <c r="G260" s="1">
        <v>43779</v>
      </c>
      <c r="H260" s="1">
        <v>43817</v>
      </c>
      <c r="I260" t="s">
        <v>1065</v>
      </c>
      <c r="J260" t="s">
        <v>1066</v>
      </c>
      <c r="K260" t="s">
        <v>90</v>
      </c>
      <c r="L260" t="s">
        <v>91</v>
      </c>
      <c r="M260" t="s">
        <v>22</v>
      </c>
    </row>
    <row r="261" spans="1:13" x14ac:dyDescent="0.3">
      <c r="A261" t="s">
        <v>1067</v>
      </c>
      <c r="B261" t="s">
        <v>1068</v>
      </c>
      <c r="C261" t="s">
        <v>181</v>
      </c>
      <c r="D261" t="s">
        <v>34</v>
      </c>
      <c r="E261" t="s">
        <v>26</v>
      </c>
      <c r="F261" t="s">
        <v>18</v>
      </c>
      <c r="G261" s="1">
        <v>44553</v>
      </c>
      <c r="H261" s="1">
        <v>44658</v>
      </c>
      <c r="I261" t="s">
        <v>1069</v>
      </c>
      <c r="J261" t="s">
        <v>1070</v>
      </c>
      <c r="K261" t="s">
        <v>37</v>
      </c>
      <c r="L261" t="s">
        <v>91</v>
      </c>
      <c r="M261" t="s">
        <v>22</v>
      </c>
    </row>
    <row r="262" spans="1:13" x14ac:dyDescent="0.3">
      <c r="A262" t="s">
        <v>1071</v>
      </c>
      <c r="B262" t="s">
        <v>1072</v>
      </c>
      <c r="C262" t="s">
        <v>15</v>
      </c>
      <c r="D262" t="s">
        <v>34</v>
      </c>
      <c r="E262" t="s">
        <v>26</v>
      </c>
      <c r="F262" t="s">
        <v>18</v>
      </c>
      <c r="G262" s="1">
        <v>45323</v>
      </c>
      <c r="H262" s="1">
        <v>45360</v>
      </c>
      <c r="I262" t="s">
        <v>1073</v>
      </c>
      <c r="J262" t="s">
        <v>1074</v>
      </c>
      <c r="K262" t="s">
        <v>21</v>
      </c>
      <c r="L262" t="s">
        <v>30</v>
      </c>
      <c r="M262" t="s">
        <v>22</v>
      </c>
    </row>
    <row r="263" spans="1:13" x14ac:dyDescent="0.3">
      <c r="A263" t="s">
        <v>1075</v>
      </c>
      <c r="B263" t="s">
        <v>1076</v>
      </c>
      <c r="C263" t="s">
        <v>15</v>
      </c>
      <c r="D263" t="s">
        <v>25</v>
      </c>
      <c r="E263" t="s">
        <v>26</v>
      </c>
      <c r="F263" t="s">
        <v>18</v>
      </c>
      <c r="G263" s="1">
        <v>45024</v>
      </c>
      <c r="H263" s="1">
        <v>45184</v>
      </c>
      <c r="I263" t="s">
        <v>1077</v>
      </c>
      <c r="J263" t="s">
        <v>1078</v>
      </c>
      <c r="K263" t="s">
        <v>90</v>
      </c>
      <c r="L263" t="s">
        <v>91</v>
      </c>
      <c r="M263" t="s">
        <v>22</v>
      </c>
    </row>
    <row r="264" spans="1:13" x14ac:dyDescent="0.3">
      <c r="A264" t="s">
        <v>1079</v>
      </c>
      <c r="B264" t="s">
        <v>1080</v>
      </c>
      <c r="C264" t="s">
        <v>33</v>
      </c>
      <c r="D264" t="s">
        <v>34</v>
      </c>
      <c r="E264" t="s">
        <v>26</v>
      </c>
      <c r="F264" t="s">
        <v>18</v>
      </c>
      <c r="G264" s="1">
        <v>44448</v>
      </c>
      <c r="H264" s="1">
        <v>44536</v>
      </c>
      <c r="I264" t="s">
        <v>1081</v>
      </c>
      <c r="K264" t="s">
        <v>37</v>
      </c>
      <c r="L264" t="s">
        <v>60</v>
      </c>
      <c r="M264" t="s">
        <v>22</v>
      </c>
    </row>
    <row r="265" spans="1:13" x14ac:dyDescent="0.3">
      <c r="A265" t="s">
        <v>1082</v>
      </c>
      <c r="B265" t="s">
        <v>1083</v>
      </c>
      <c r="C265" t="s">
        <v>76</v>
      </c>
      <c r="D265" t="s">
        <v>16</v>
      </c>
      <c r="E265" t="s">
        <v>17</v>
      </c>
      <c r="F265" t="s">
        <v>18</v>
      </c>
      <c r="G265" s="1">
        <v>43474</v>
      </c>
      <c r="H265" s="1">
        <v>43648</v>
      </c>
      <c r="I265" t="s">
        <v>1084</v>
      </c>
      <c r="J265" t="s">
        <v>1085</v>
      </c>
      <c r="K265" t="s">
        <v>29</v>
      </c>
      <c r="M265" t="s">
        <v>22</v>
      </c>
    </row>
    <row r="266" spans="1:13" x14ac:dyDescent="0.3">
      <c r="A266" t="s">
        <v>1086</v>
      </c>
      <c r="B266" t="s">
        <v>1087</v>
      </c>
      <c r="C266" t="s">
        <v>87</v>
      </c>
      <c r="D266" t="s">
        <v>34</v>
      </c>
      <c r="E266" t="s">
        <v>26</v>
      </c>
      <c r="F266" t="s">
        <v>160</v>
      </c>
      <c r="G266" s="1">
        <v>45203</v>
      </c>
      <c r="H266" s="1">
        <v>45256</v>
      </c>
      <c r="I266" t="s">
        <v>1088</v>
      </c>
      <c r="J266" t="s">
        <v>1089</v>
      </c>
      <c r="K266" t="s">
        <v>21</v>
      </c>
      <c r="M266" t="s">
        <v>22</v>
      </c>
    </row>
    <row r="267" spans="1:13" x14ac:dyDescent="0.3">
      <c r="A267" t="s">
        <v>1090</v>
      </c>
      <c r="B267" t="s">
        <v>1091</v>
      </c>
      <c r="C267" t="s">
        <v>33</v>
      </c>
      <c r="D267" t="s">
        <v>77</v>
      </c>
      <c r="E267" t="s">
        <v>52</v>
      </c>
      <c r="F267" t="s">
        <v>160</v>
      </c>
      <c r="G267" s="1">
        <v>45610</v>
      </c>
      <c r="H267" s="1">
        <v>45768</v>
      </c>
      <c r="I267" t="s">
        <v>1092</v>
      </c>
      <c r="J267" t="s">
        <v>1093</v>
      </c>
      <c r="K267" t="s">
        <v>90</v>
      </c>
      <c r="L267" t="s">
        <v>91</v>
      </c>
      <c r="M267" t="s">
        <v>22</v>
      </c>
    </row>
    <row r="268" spans="1:13" x14ac:dyDescent="0.3">
      <c r="A268" t="s">
        <v>1094</v>
      </c>
      <c r="B268" t="s">
        <v>224</v>
      </c>
      <c r="C268" t="s">
        <v>15</v>
      </c>
      <c r="D268" t="s">
        <v>25</v>
      </c>
      <c r="E268" t="s">
        <v>26</v>
      </c>
      <c r="F268" t="s">
        <v>18</v>
      </c>
      <c r="G268" s="1">
        <v>43647</v>
      </c>
      <c r="H268" s="1">
        <v>43852</v>
      </c>
      <c r="I268" t="s">
        <v>225</v>
      </c>
      <c r="J268" t="s">
        <v>1095</v>
      </c>
      <c r="K268" t="s">
        <v>37</v>
      </c>
      <c r="L268" t="s">
        <v>60</v>
      </c>
      <c r="M268" t="s">
        <v>22</v>
      </c>
    </row>
    <row r="269" spans="1:13" x14ac:dyDescent="0.3">
      <c r="A269" t="s">
        <v>1096</v>
      </c>
      <c r="B269" t="s">
        <v>1097</v>
      </c>
      <c r="C269" t="s">
        <v>76</v>
      </c>
      <c r="D269" t="s">
        <v>51</v>
      </c>
      <c r="E269" t="s">
        <v>52</v>
      </c>
      <c r="F269" t="s">
        <v>18</v>
      </c>
      <c r="G269" s="1">
        <v>44710</v>
      </c>
      <c r="H269" s="1">
        <v>45028</v>
      </c>
      <c r="I269" t="s">
        <v>1098</v>
      </c>
      <c r="J269" t="s">
        <v>1099</v>
      </c>
      <c r="K269" t="s">
        <v>29</v>
      </c>
      <c r="L269" t="s">
        <v>91</v>
      </c>
      <c r="M269" t="s">
        <v>22</v>
      </c>
    </row>
    <row r="270" spans="1:13" x14ac:dyDescent="0.3">
      <c r="A270" t="s">
        <v>1100</v>
      </c>
      <c r="B270" t="s">
        <v>1101</v>
      </c>
      <c r="C270" t="s">
        <v>181</v>
      </c>
      <c r="D270" t="s">
        <v>67</v>
      </c>
      <c r="E270" t="s">
        <v>26</v>
      </c>
      <c r="F270" t="s">
        <v>18</v>
      </c>
      <c r="G270" s="1">
        <v>45425</v>
      </c>
      <c r="H270" s="1">
        <v>45694</v>
      </c>
      <c r="I270" t="s">
        <v>1102</v>
      </c>
      <c r="J270" t="s">
        <v>1103</v>
      </c>
      <c r="K270" t="s">
        <v>37</v>
      </c>
      <c r="L270" t="s">
        <v>30</v>
      </c>
      <c r="M270" t="s">
        <v>22</v>
      </c>
    </row>
    <row r="271" spans="1:13" x14ac:dyDescent="0.3">
      <c r="A271" t="s">
        <v>1104</v>
      </c>
      <c r="B271" t="s">
        <v>1105</v>
      </c>
      <c r="C271" t="s">
        <v>15</v>
      </c>
      <c r="D271" t="s">
        <v>34</v>
      </c>
      <c r="E271" t="s">
        <v>26</v>
      </c>
      <c r="F271" t="s">
        <v>18</v>
      </c>
      <c r="G271" s="1">
        <v>44983</v>
      </c>
      <c r="H271" s="1">
        <v>45303</v>
      </c>
      <c r="I271" t="s">
        <v>1106</v>
      </c>
      <c r="J271" t="s">
        <v>1107</v>
      </c>
      <c r="K271" t="s">
        <v>90</v>
      </c>
      <c r="L271" t="s">
        <v>30</v>
      </c>
      <c r="M271" t="s">
        <v>22</v>
      </c>
    </row>
    <row r="272" spans="1:13" x14ac:dyDescent="0.3">
      <c r="A272" t="s">
        <v>1108</v>
      </c>
      <c r="B272" t="s">
        <v>1109</v>
      </c>
      <c r="C272" t="s">
        <v>15</v>
      </c>
      <c r="D272" t="s">
        <v>51</v>
      </c>
      <c r="E272" t="s">
        <v>52</v>
      </c>
      <c r="F272" t="s">
        <v>18</v>
      </c>
      <c r="G272" s="1">
        <v>45106</v>
      </c>
      <c r="H272" s="1">
        <v>45249</v>
      </c>
      <c r="I272" t="s">
        <v>1110</v>
      </c>
      <c r="J272" t="s">
        <v>1111</v>
      </c>
      <c r="K272" t="s">
        <v>37</v>
      </c>
      <c r="L272" t="s">
        <v>91</v>
      </c>
      <c r="M272" t="s">
        <v>22</v>
      </c>
    </row>
    <row r="273" spans="1:13" x14ac:dyDescent="0.3">
      <c r="A273" t="s">
        <v>1112</v>
      </c>
      <c r="B273" t="s">
        <v>1113</v>
      </c>
      <c r="C273" t="s">
        <v>33</v>
      </c>
      <c r="D273" t="s">
        <v>51</v>
      </c>
      <c r="E273" t="s">
        <v>52</v>
      </c>
      <c r="F273" t="s">
        <v>18</v>
      </c>
      <c r="G273" s="1">
        <v>43499</v>
      </c>
      <c r="H273" s="1">
        <v>43764</v>
      </c>
      <c r="I273" t="s">
        <v>1114</v>
      </c>
      <c r="J273" t="s">
        <v>1115</v>
      </c>
      <c r="K273" t="s">
        <v>90</v>
      </c>
      <c r="L273" t="s">
        <v>55</v>
      </c>
      <c r="M273" t="s">
        <v>22</v>
      </c>
    </row>
    <row r="274" spans="1:13" x14ac:dyDescent="0.3">
      <c r="A274" t="s">
        <v>1116</v>
      </c>
      <c r="B274" t="s">
        <v>1117</v>
      </c>
      <c r="C274" t="s">
        <v>33</v>
      </c>
      <c r="D274" t="s">
        <v>51</v>
      </c>
      <c r="E274" t="s">
        <v>52</v>
      </c>
      <c r="F274" t="s">
        <v>18</v>
      </c>
      <c r="G274" s="1">
        <v>44363</v>
      </c>
      <c r="H274" s="1">
        <v>44431</v>
      </c>
      <c r="I274" t="s">
        <v>1118</v>
      </c>
      <c r="J274" t="s">
        <v>1119</v>
      </c>
      <c r="K274" t="s">
        <v>21</v>
      </c>
      <c r="M274" t="s">
        <v>22</v>
      </c>
    </row>
    <row r="275" spans="1:13" x14ac:dyDescent="0.3">
      <c r="A275" t="s">
        <v>1120</v>
      </c>
      <c r="B275" t="s">
        <v>1121</v>
      </c>
      <c r="C275" t="s">
        <v>46</v>
      </c>
      <c r="D275" t="s">
        <v>41</v>
      </c>
      <c r="E275" t="s">
        <v>17</v>
      </c>
      <c r="F275" t="s">
        <v>160</v>
      </c>
      <c r="G275" s="1">
        <v>44945</v>
      </c>
      <c r="I275" t="s">
        <v>1122</v>
      </c>
      <c r="J275" t="s">
        <v>1123</v>
      </c>
      <c r="K275" t="s">
        <v>21</v>
      </c>
      <c r="L275" t="s">
        <v>30</v>
      </c>
      <c r="M275" t="s">
        <v>22</v>
      </c>
    </row>
    <row r="276" spans="1:13" x14ac:dyDescent="0.3">
      <c r="A276" t="s">
        <v>1124</v>
      </c>
      <c r="B276" t="s">
        <v>1125</v>
      </c>
      <c r="C276" t="s">
        <v>87</v>
      </c>
      <c r="D276" t="s">
        <v>67</v>
      </c>
      <c r="E276" t="s">
        <v>26</v>
      </c>
      <c r="F276" t="s">
        <v>18</v>
      </c>
      <c r="G276" s="1">
        <v>44091</v>
      </c>
      <c r="H276" s="1">
        <v>44233</v>
      </c>
      <c r="I276" t="s">
        <v>1126</v>
      </c>
      <c r="J276" t="s">
        <v>1127</v>
      </c>
      <c r="K276" t="s">
        <v>90</v>
      </c>
      <c r="L276" t="s">
        <v>91</v>
      </c>
      <c r="M276" t="s">
        <v>22</v>
      </c>
    </row>
    <row r="277" spans="1:13" x14ac:dyDescent="0.3">
      <c r="A277" t="s">
        <v>1128</v>
      </c>
      <c r="B277" t="s">
        <v>1129</v>
      </c>
      <c r="C277" t="s">
        <v>181</v>
      </c>
      <c r="D277" t="s">
        <v>25</v>
      </c>
      <c r="F277" t="s">
        <v>18</v>
      </c>
      <c r="G277" s="1">
        <v>45515</v>
      </c>
      <c r="H277" s="1">
        <v>45576</v>
      </c>
      <c r="I277" t="s">
        <v>1130</v>
      </c>
      <c r="J277" t="s">
        <v>1131</v>
      </c>
      <c r="K277" t="s">
        <v>29</v>
      </c>
      <c r="L277" t="s">
        <v>30</v>
      </c>
      <c r="M277" t="s">
        <v>22</v>
      </c>
    </row>
    <row r="278" spans="1:13" x14ac:dyDescent="0.3">
      <c r="A278" t="s">
        <v>1132</v>
      </c>
      <c r="B278" t="s">
        <v>1133</v>
      </c>
      <c r="C278" t="s">
        <v>76</v>
      </c>
      <c r="D278" t="s">
        <v>34</v>
      </c>
      <c r="E278" t="s">
        <v>26</v>
      </c>
      <c r="F278" t="s">
        <v>18</v>
      </c>
      <c r="G278" s="1">
        <v>44818</v>
      </c>
      <c r="H278" s="1">
        <v>44876</v>
      </c>
      <c r="I278" t="s">
        <v>1134</v>
      </c>
      <c r="J278" t="s">
        <v>1135</v>
      </c>
      <c r="K278" t="s">
        <v>21</v>
      </c>
      <c r="L278" t="s">
        <v>55</v>
      </c>
      <c r="M278" t="s">
        <v>22</v>
      </c>
    </row>
    <row r="279" spans="1:13" x14ac:dyDescent="0.3">
      <c r="A279" t="s">
        <v>1136</v>
      </c>
      <c r="B279" t="s">
        <v>1137</v>
      </c>
      <c r="C279" t="s">
        <v>40</v>
      </c>
      <c r="D279" t="s">
        <v>16</v>
      </c>
      <c r="E279" t="s">
        <v>17</v>
      </c>
      <c r="F279" t="s">
        <v>18</v>
      </c>
      <c r="G279" s="1">
        <v>45094</v>
      </c>
      <c r="H279" s="1">
        <v>45335</v>
      </c>
      <c r="I279" t="s">
        <v>1138</v>
      </c>
      <c r="J279" t="s">
        <v>1139</v>
      </c>
      <c r="K279" t="s">
        <v>90</v>
      </c>
      <c r="M279" t="s">
        <v>22</v>
      </c>
    </row>
    <row r="280" spans="1:13" x14ac:dyDescent="0.3">
      <c r="A280" t="s">
        <v>1140</v>
      </c>
      <c r="B280" t="s">
        <v>1141</v>
      </c>
      <c r="C280" t="s">
        <v>33</v>
      </c>
      <c r="D280" t="s">
        <v>77</v>
      </c>
      <c r="E280" t="s">
        <v>52</v>
      </c>
      <c r="F280" t="s">
        <v>18</v>
      </c>
      <c r="G280" s="1">
        <v>44690</v>
      </c>
      <c r="H280" s="1">
        <v>44823</v>
      </c>
      <c r="I280" t="s">
        <v>1142</v>
      </c>
      <c r="J280" t="s">
        <v>1143</v>
      </c>
      <c r="K280" t="s">
        <v>21</v>
      </c>
      <c r="L280" t="s">
        <v>30</v>
      </c>
      <c r="M280" t="s">
        <v>22</v>
      </c>
    </row>
    <row r="281" spans="1:13" x14ac:dyDescent="0.3">
      <c r="A281" t="s">
        <v>1144</v>
      </c>
      <c r="B281" t="s">
        <v>1145</v>
      </c>
      <c r="C281" t="s">
        <v>15</v>
      </c>
      <c r="D281" t="s">
        <v>25</v>
      </c>
      <c r="E281" t="s">
        <v>26</v>
      </c>
      <c r="F281" t="s">
        <v>18</v>
      </c>
      <c r="G281" s="1">
        <v>44964</v>
      </c>
      <c r="H281" s="1">
        <v>45175</v>
      </c>
      <c r="I281" t="s">
        <v>1146</v>
      </c>
      <c r="J281" t="s">
        <v>1147</v>
      </c>
      <c r="K281" t="s">
        <v>29</v>
      </c>
      <c r="L281" t="s">
        <v>60</v>
      </c>
      <c r="M281" t="s">
        <v>22</v>
      </c>
    </row>
    <row r="282" spans="1:13" x14ac:dyDescent="0.3">
      <c r="A282" t="s">
        <v>1148</v>
      </c>
      <c r="B282" t="s">
        <v>1149</v>
      </c>
      <c r="C282" t="s">
        <v>87</v>
      </c>
      <c r="D282" t="s">
        <v>16</v>
      </c>
      <c r="E282" t="s">
        <v>17</v>
      </c>
      <c r="F282" t="s">
        <v>18</v>
      </c>
      <c r="G282" s="1">
        <v>43598</v>
      </c>
      <c r="H282" s="1">
        <v>43828</v>
      </c>
      <c r="I282" t="s">
        <v>1150</v>
      </c>
      <c r="J282" t="s">
        <v>1151</v>
      </c>
      <c r="K282" t="s">
        <v>90</v>
      </c>
      <c r="L282" t="s">
        <v>30</v>
      </c>
      <c r="M282" t="s">
        <v>22</v>
      </c>
    </row>
    <row r="283" spans="1:13" x14ac:dyDescent="0.3">
      <c r="A283" t="s">
        <v>1152</v>
      </c>
      <c r="B283" t="s">
        <v>1153</v>
      </c>
      <c r="C283" t="s">
        <v>15</v>
      </c>
      <c r="D283" t="s">
        <v>51</v>
      </c>
      <c r="E283" t="s">
        <v>52</v>
      </c>
      <c r="F283" t="s">
        <v>18</v>
      </c>
      <c r="G283" s="1">
        <v>45504</v>
      </c>
      <c r="H283" s="1">
        <v>45759</v>
      </c>
      <c r="I283" t="s">
        <v>1154</v>
      </c>
      <c r="J283" t="s">
        <v>1155</v>
      </c>
      <c r="K283" t="s">
        <v>21</v>
      </c>
      <c r="L283" t="s">
        <v>55</v>
      </c>
      <c r="M283" t="s">
        <v>22</v>
      </c>
    </row>
    <row r="284" spans="1:13" x14ac:dyDescent="0.3">
      <c r="A284" t="s">
        <v>1156</v>
      </c>
      <c r="B284" t="s">
        <v>1157</v>
      </c>
      <c r="C284" t="s">
        <v>181</v>
      </c>
      <c r="D284" t="s">
        <v>77</v>
      </c>
      <c r="E284" t="s">
        <v>52</v>
      </c>
      <c r="F284" t="s">
        <v>18</v>
      </c>
      <c r="G284" s="1">
        <v>44365</v>
      </c>
      <c r="H284" s="1">
        <v>44715</v>
      </c>
      <c r="I284" t="s">
        <v>1158</v>
      </c>
      <c r="J284" t="s">
        <v>1159</v>
      </c>
      <c r="K284" t="s">
        <v>37</v>
      </c>
      <c r="L284" t="s">
        <v>60</v>
      </c>
      <c r="M284" t="s">
        <v>22</v>
      </c>
    </row>
    <row r="285" spans="1:13" x14ac:dyDescent="0.3">
      <c r="A285" t="s">
        <v>1160</v>
      </c>
      <c r="B285" t="s">
        <v>1161</v>
      </c>
      <c r="C285" t="s">
        <v>15</v>
      </c>
      <c r="D285" t="s">
        <v>34</v>
      </c>
      <c r="E285" t="s">
        <v>26</v>
      </c>
      <c r="F285" t="s">
        <v>151</v>
      </c>
      <c r="G285" s="1">
        <v>44081</v>
      </c>
      <c r="H285" s="1">
        <v>44251</v>
      </c>
      <c r="I285" t="s">
        <v>1162</v>
      </c>
      <c r="J285" t="s">
        <v>1163</v>
      </c>
      <c r="K285" t="s">
        <v>29</v>
      </c>
      <c r="L285" t="s">
        <v>116</v>
      </c>
      <c r="M285" t="s">
        <v>22</v>
      </c>
    </row>
    <row r="286" spans="1:13" x14ac:dyDescent="0.3">
      <c r="A286" t="s">
        <v>1164</v>
      </c>
      <c r="B286" t="s">
        <v>1165</v>
      </c>
      <c r="C286" t="s">
        <v>15</v>
      </c>
      <c r="D286" t="s">
        <v>77</v>
      </c>
      <c r="E286" t="s">
        <v>52</v>
      </c>
      <c r="F286" t="s">
        <v>18</v>
      </c>
      <c r="G286" s="1">
        <v>45229</v>
      </c>
      <c r="H286" s="1">
        <v>45378</v>
      </c>
      <c r="I286" t="s">
        <v>1166</v>
      </c>
      <c r="J286" t="s">
        <v>956</v>
      </c>
      <c r="K286" t="s">
        <v>90</v>
      </c>
      <c r="L286" t="s">
        <v>91</v>
      </c>
      <c r="M286" t="s">
        <v>22</v>
      </c>
    </row>
    <row r="287" spans="1:13" x14ac:dyDescent="0.3">
      <c r="A287" t="s">
        <v>1167</v>
      </c>
      <c r="B287" t="s">
        <v>1168</v>
      </c>
      <c r="C287" t="s">
        <v>15</v>
      </c>
      <c r="D287" t="s">
        <v>77</v>
      </c>
      <c r="E287" t="s">
        <v>52</v>
      </c>
      <c r="F287" t="s">
        <v>18</v>
      </c>
      <c r="G287" s="1">
        <v>45534</v>
      </c>
      <c r="H287" s="1">
        <v>45621</v>
      </c>
      <c r="I287" t="s">
        <v>1169</v>
      </c>
      <c r="J287" t="s">
        <v>1170</v>
      </c>
      <c r="K287" t="s">
        <v>29</v>
      </c>
      <c r="M287" t="s">
        <v>22</v>
      </c>
    </row>
    <row r="288" spans="1:13" x14ac:dyDescent="0.3">
      <c r="A288" t="s">
        <v>1171</v>
      </c>
      <c r="B288" t="s">
        <v>1172</v>
      </c>
      <c r="C288" t="s">
        <v>15</v>
      </c>
      <c r="D288" t="s">
        <v>25</v>
      </c>
      <c r="E288" t="s">
        <v>26</v>
      </c>
      <c r="F288" t="s">
        <v>18</v>
      </c>
      <c r="G288" s="1">
        <v>43756</v>
      </c>
      <c r="H288" s="1">
        <v>43910</v>
      </c>
      <c r="I288" t="s">
        <v>1173</v>
      </c>
      <c r="J288" t="s">
        <v>1174</v>
      </c>
      <c r="K288" t="s">
        <v>21</v>
      </c>
      <c r="L288" t="s">
        <v>91</v>
      </c>
      <c r="M288" t="s">
        <v>22</v>
      </c>
    </row>
    <row r="289" spans="1:13" x14ac:dyDescent="0.3">
      <c r="A289" t="s">
        <v>1175</v>
      </c>
      <c r="B289" t="s">
        <v>1176</v>
      </c>
      <c r="C289" t="s">
        <v>87</v>
      </c>
      <c r="D289" t="s">
        <v>25</v>
      </c>
      <c r="E289" t="s">
        <v>26</v>
      </c>
      <c r="F289" t="s">
        <v>18</v>
      </c>
      <c r="G289" s="1">
        <v>43803</v>
      </c>
      <c r="H289" s="1">
        <v>43953</v>
      </c>
      <c r="I289" t="s">
        <v>1177</v>
      </c>
      <c r="J289" t="s">
        <v>1178</v>
      </c>
      <c r="K289" t="s">
        <v>90</v>
      </c>
      <c r="L289" t="s">
        <v>116</v>
      </c>
      <c r="M289" t="s">
        <v>22</v>
      </c>
    </row>
    <row r="290" spans="1:13" x14ac:dyDescent="0.3">
      <c r="A290" t="s">
        <v>1179</v>
      </c>
      <c r="B290" t="s">
        <v>1180</v>
      </c>
      <c r="C290" t="s">
        <v>40</v>
      </c>
      <c r="D290" t="s">
        <v>51</v>
      </c>
      <c r="E290" t="s">
        <v>52</v>
      </c>
      <c r="F290" t="s">
        <v>160</v>
      </c>
      <c r="G290" s="1">
        <v>45412</v>
      </c>
      <c r="H290" s="1">
        <v>45722</v>
      </c>
      <c r="I290" t="s">
        <v>1181</v>
      </c>
      <c r="J290" t="s">
        <v>1182</v>
      </c>
      <c r="K290" t="s">
        <v>21</v>
      </c>
      <c r="L290" t="s">
        <v>30</v>
      </c>
      <c r="M290" t="s">
        <v>22</v>
      </c>
    </row>
    <row r="291" spans="1:13" x14ac:dyDescent="0.3">
      <c r="A291" t="s">
        <v>1183</v>
      </c>
      <c r="B291" t="s">
        <v>1184</v>
      </c>
      <c r="C291" t="s">
        <v>87</v>
      </c>
      <c r="D291" t="s">
        <v>25</v>
      </c>
      <c r="E291" t="s">
        <v>26</v>
      </c>
      <c r="F291" t="s">
        <v>18</v>
      </c>
      <c r="G291" s="1">
        <v>45201</v>
      </c>
      <c r="H291" s="1">
        <v>45444</v>
      </c>
      <c r="I291" t="s">
        <v>1185</v>
      </c>
      <c r="J291" t="s">
        <v>1186</v>
      </c>
      <c r="K291" t="s">
        <v>37</v>
      </c>
      <c r="L291" t="s">
        <v>116</v>
      </c>
      <c r="M291" t="s">
        <v>22</v>
      </c>
    </row>
    <row r="292" spans="1:13" x14ac:dyDescent="0.3">
      <c r="A292" t="s">
        <v>1187</v>
      </c>
      <c r="B292" t="s">
        <v>1188</v>
      </c>
      <c r="C292" t="s">
        <v>15</v>
      </c>
      <c r="D292" t="s">
        <v>77</v>
      </c>
      <c r="E292" t="s">
        <v>52</v>
      </c>
      <c r="F292" t="s">
        <v>18</v>
      </c>
      <c r="G292" s="1">
        <v>44492</v>
      </c>
      <c r="H292" s="1">
        <v>44742</v>
      </c>
      <c r="I292" t="s">
        <v>1189</v>
      </c>
      <c r="J292" t="s">
        <v>1190</v>
      </c>
      <c r="K292" t="s">
        <v>37</v>
      </c>
      <c r="L292" t="s">
        <v>60</v>
      </c>
      <c r="M292" t="s">
        <v>22</v>
      </c>
    </row>
    <row r="293" spans="1:13" x14ac:dyDescent="0.3">
      <c r="A293" t="s">
        <v>1191</v>
      </c>
      <c r="B293" t="s">
        <v>1192</v>
      </c>
      <c r="C293" t="s">
        <v>76</v>
      </c>
      <c r="D293" t="s">
        <v>51</v>
      </c>
      <c r="E293" t="s">
        <v>52</v>
      </c>
      <c r="F293" t="s">
        <v>18</v>
      </c>
      <c r="G293" s="1">
        <v>43991</v>
      </c>
      <c r="H293" s="1">
        <v>44147</v>
      </c>
      <c r="I293" t="s">
        <v>1193</v>
      </c>
      <c r="J293" t="s">
        <v>1194</v>
      </c>
      <c r="K293" t="s">
        <v>29</v>
      </c>
      <c r="L293" t="s">
        <v>116</v>
      </c>
      <c r="M293" t="s">
        <v>22</v>
      </c>
    </row>
    <row r="294" spans="1:13" x14ac:dyDescent="0.3">
      <c r="A294" t="s">
        <v>1195</v>
      </c>
      <c r="B294" t="s">
        <v>1196</v>
      </c>
      <c r="C294" t="s">
        <v>181</v>
      </c>
      <c r="D294" t="s">
        <v>16</v>
      </c>
      <c r="E294" t="s">
        <v>17</v>
      </c>
      <c r="F294" t="s">
        <v>18</v>
      </c>
      <c r="G294" s="1">
        <v>45647</v>
      </c>
      <c r="H294" s="1">
        <v>45840</v>
      </c>
      <c r="I294" t="s">
        <v>1197</v>
      </c>
      <c r="J294" t="s">
        <v>1198</v>
      </c>
      <c r="K294" t="s">
        <v>21</v>
      </c>
      <c r="M294" t="s">
        <v>22</v>
      </c>
    </row>
    <row r="295" spans="1:13" x14ac:dyDescent="0.3">
      <c r="A295" t="s">
        <v>1199</v>
      </c>
      <c r="B295" t="s">
        <v>1200</v>
      </c>
      <c r="C295" t="s">
        <v>15</v>
      </c>
      <c r="D295" t="s">
        <v>16</v>
      </c>
      <c r="E295" t="s">
        <v>17</v>
      </c>
      <c r="F295" t="s">
        <v>18</v>
      </c>
      <c r="G295" s="1">
        <v>44775</v>
      </c>
      <c r="H295" s="1">
        <v>45123</v>
      </c>
      <c r="I295" t="s">
        <v>1201</v>
      </c>
      <c r="J295" t="s">
        <v>1202</v>
      </c>
      <c r="K295" t="s">
        <v>21</v>
      </c>
      <c r="L295" t="s">
        <v>116</v>
      </c>
      <c r="M295" t="s">
        <v>22</v>
      </c>
    </row>
    <row r="296" spans="1:13" x14ac:dyDescent="0.3">
      <c r="A296" t="s">
        <v>1203</v>
      </c>
      <c r="B296" t="s">
        <v>1072</v>
      </c>
      <c r="C296" t="s">
        <v>87</v>
      </c>
      <c r="D296" t="s">
        <v>67</v>
      </c>
      <c r="E296" t="s">
        <v>26</v>
      </c>
      <c r="F296" t="s">
        <v>18</v>
      </c>
      <c r="G296" s="1">
        <v>45650</v>
      </c>
      <c r="H296" s="1">
        <v>45954</v>
      </c>
      <c r="I296" t="s">
        <v>1204</v>
      </c>
      <c r="J296" t="s">
        <v>1205</v>
      </c>
      <c r="K296" t="s">
        <v>29</v>
      </c>
      <c r="L296" t="s">
        <v>116</v>
      </c>
      <c r="M296" t="s">
        <v>22</v>
      </c>
    </row>
    <row r="297" spans="1:13" x14ac:dyDescent="0.3">
      <c r="A297" t="s">
        <v>1206</v>
      </c>
      <c r="B297" t="s">
        <v>1207</v>
      </c>
      <c r="C297" t="s">
        <v>87</v>
      </c>
      <c r="D297" t="s">
        <v>51</v>
      </c>
      <c r="E297" t="s">
        <v>52</v>
      </c>
      <c r="F297" t="s">
        <v>18</v>
      </c>
      <c r="G297" s="1">
        <v>45306</v>
      </c>
      <c r="H297" s="1">
        <v>45314</v>
      </c>
      <c r="I297" t="s">
        <v>1208</v>
      </c>
      <c r="J297" t="s">
        <v>1209</v>
      </c>
      <c r="K297" t="s">
        <v>90</v>
      </c>
      <c r="L297" t="s">
        <v>116</v>
      </c>
      <c r="M297" t="s">
        <v>22</v>
      </c>
    </row>
    <row r="298" spans="1:13" x14ac:dyDescent="0.3">
      <c r="A298" t="s">
        <v>1210</v>
      </c>
      <c r="B298" t="s">
        <v>1211</v>
      </c>
      <c r="C298" t="s">
        <v>46</v>
      </c>
      <c r="D298" t="s">
        <v>67</v>
      </c>
      <c r="E298" t="s">
        <v>26</v>
      </c>
      <c r="F298" t="s">
        <v>18</v>
      </c>
      <c r="G298" s="1">
        <v>44414</v>
      </c>
      <c r="H298" s="1">
        <v>44728</v>
      </c>
      <c r="I298" t="s">
        <v>1212</v>
      </c>
      <c r="J298" t="s">
        <v>1213</v>
      </c>
      <c r="K298" t="s">
        <v>29</v>
      </c>
      <c r="L298" t="s">
        <v>55</v>
      </c>
      <c r="M298" t="s">
        <v>22</v>
      </c>
    </row>
    <row r="299" spans="1:13" x14ac:dyDescent="0.3">
      <c r="A299" t="s">
        <v>1214</v>
      </c>
      <c r="B299" t="s">
        <v>1215</v>
      </c>
      <c r="C299" t="s">
        <v>46</v>
      </c>
      <c r="D299" t="s">
        <v>25</v>
      </c>
      <c r="E299" t="s">
        <v>26</v>
      </c>
      <c r="F299" t="s">
        <v>18</v>
      </c>
      <c r="G299" s="1">
        <v>45619</v>
      </c>
      <c r="H299" s="1">
        <v>45841</v>
      </c>
      <c r="I299" t="s">
        <v>1216</v>
      </c>
      <c r="J299" t="s">
        <v>1217</v>
      </c>
      <c r="K299" t="s">
        <v>90</v>
      </c>
      <c r="L299" t="s">
        <v>55</v>
      </c>
      <c r="M299" t="s">
        <v>22</v>
      </c>
    </row>
    <row r="300" spans="1:13" x14ac:dyDescent="0.3">
      <c r="A300" t="s">
        <v>1218</v>
      </c>
      <c r="B300" t="s">
        <v>1219</v>
      </c>
      <c r="C300" t="s">
        <v>15</v>
      </c>
      <c r="D300" t="s">
        <v>25</v>
      </c>
      <c r="E300" t="s">
        <v>26</v>
      </c>
      <c r="F300" t="s">
        <v>160</v>
      </c>
      <c r="G300" s="1">
        <v>44431</v>
      </c>
      <c r="H300" s="1">
        <v>44715</v>
      </c>
      <c r="I300" t="s">
        <v>1220</v>
      </c>
      <c r="J300" t="s">
        <v>1221</v>
      </c>
      <c r="K300" t="s">
        <v>37</v>
      </c>
      <c r="L300" t="s">
        <v>55</v>
      </c>
      <c r="M300" t="s">
        <v>22</v>
      </c>
    </row>
    <row r="301" spans="1:13" x14ac:dyDescent="0.3">
      <c r="A301" t="s">
        <v>1222</v>
      </c>
      <c r="B301" t="s">
        <v>1223</v>
      </c>
      <c r="C301" t="s">
        <v>40</v>
      </c>
      <c r="D301" t="s">
        <v>34</v>
      </c>
      <c r="E301" t="s">
        <v>26</v>
      </c>
      <c r="F301" t="s">
        <v>18</v>
      </c>
      <c r="G301" s="1">
        <v>45394</v>
      </c>
      <c r="H301" s="1">
        <v>45669</v>
      </c>
      <c r="I301" t="s">
        <v>1224</v>
      </c>
      <c r="J301" t="s">
        <v>1225</v>
      </c>
      <c r="K301" t="s">
        <v>90</v>
      </c>
      <c r="L301" t="s">
        <v>91</v>
      </c>
      <c r="M301" t="s">
        <v>22</v>
      </c>
    </row>
    <row r="302" spans="1:13" x14ac:dyDescent="0.3">
      <c r="A302" t="s">
        <v>1226</v>
      </c>
      <c r="B302" t="s">
        <v>1227</v>
      </c>
      <c r="C302" t="s">
        <v>15</v>
      </c>
      <c r="D302" t="s">
        <v>41</v>
      </c>
      <c r="E302" t="s">
        <v>17</v>
      </c>
      <c r="F302" t="s">
        <v>160</v>
      </c>
      <c r="G302" s="1">
        <v>44470</v>
      </c>
      <c r="H302" s="1">
        <v>44547</v>
      </c>
      <c r="I302" t="s">
        <v>1228</v>
      </c>
      <c r="J302" t="s">
        <v>1229</v>
      </c>
      <c r="K302" t="s">
        <v>90</v>
      </c>
      <c r="L302" t="s">
        <v>55</v>
      </c>
      <c r="M302" t="s">
        <v>22</v>
      </c>
    </row>
    <row r="303" spans="1:13" x14ac:dyDescent="0.3">
      <c r="A303" t="s">
        <v>1230</v>
      </c>
      <c r="B303" t="s">
        <v>1231</v>
      </c>
      <c r="C303" t="s">
        <v>33</v>
      </c>
      <c r="D303" t="s">
        <v>77</v>
      </c>
      <c r="E303" t="s">
        <v>52</v>
      </c>
      <c r="F303" t="s">
        <v>18</v>
      </c>
      <c r="G303" s="1">
        <v>45637</v>
      </c>
      <c r="H303" s="1">
        <v>45917</v>
      </c>
      <c r="I303" t="s">
        <v>1232</v>
      </c>
      <c r="J303" t="s">
        <v>1233</v>
      </c>
      <c r="K303" t="s">
        <v>29</v>
      </c>
      <c r="L303" t="s">
        <v>91</v>
      </c>
      <c r="M303" t="s">
        <v>22</v>
      </c>
    </row>
    <row r="304" spans="1:13" x14ac:dyDescent="0.3">
      <c r="A304" t="s">
        <v>1234</v>
      </c>
      <c r="C304" t="s">
        <v>33</v>
      </c>
      <c r="D304" t="s">
        <v>67</v>
      </c>
      <c r="E304" t="s">
        <v>26</v>
      </c>
      <c r="F304" t="s">
        <v>18</v>
      </c>
      <c r="G304" s="1">
        <v>44548</v>
      </c>
      <c r="H304" s="1">
        <v>44860</v>
      </c>
      <c r="I304" t="s">
        <v>1235</v>
      </c>
      <c r="J304" t="s">
        <v>1236</v>
      </c>
      <c r="K304" t="s">
        <v>37</v>
      </c>
      <c r="L304" t="s">
        <v>116</v>
      </c>
      <c r="M304" t="s">
        <v>22</v>
      </c>
    </row>
    <row r="305" spans="1:13" x14ac:dyDescent="0.3">
      <c r="A305" t="s">
        <v>1237</v>
      </c>
      <c r="B305" t="s">
        <v>1238</v>
      </c>
      <c r="C305" t="s">
        <v>46</v>
      </c>
      <c r="D305" t="s">
        <v>51</v>
      </c>
      <c r="E305" t="s">
        <v>52</v>
      </c>
      <c r="F305" t="s">
        <v>18</v>
      </c>
      <c r="G305" s="1">
        <v>44482</v>
      </c>
      <c r="H305" s="1">
        <v>44542</v>
      </c>
      <c r="I305" t="s">
        <v>1239</v>
      </c>
      <c r="J305" t="s">
        <v>1240</v>
      </c>
      <c r="K305" t="s">
        <v>37</v>
      </c>
      <c r="L305" t="s">
        <v>91</v>
      </c>
      <c r="M305" t="s">
        <v>22</v>
      </c>
    </row>
    <row r="306" spans="1:13" x14ac:dyDescent="0.3">
      <c r="A306" t="s">
        <v>1241</v>
      </c>
      <c r="B306" t="s">
        <v>1242</v>
      </c>
      <c r="C306" t="s">
        <v>46</v>
      </c>
      <c r="D306" t="s">
        <v>34</v>
      </c>
      <c r="E306" t="s">
        <v>26</v>
      </c>
      <c r="F306" t="s">
        <v>18</v>
      </c>
      <c r="G306" s="1">
        <v>44789</v>
      </c>
      <c r="H306" s="1">
        <v>45110</v>
      </c>
      <c r="I306" t="s">
        <v>1243</v>
      </c>
      <c r="J306" t="s">
        <v>1244</v>
      </c>
      <c r="K306" t="s">
        <v>21</v>
      </c>
      <c r="L306" t="s">
        <v>60</v>
      </c>
      <c r="M306" t="s">
        <v>22</v>
      </c>
    </row>
    <row r="307" spans="1:13" x14ac:dyDescent="0.3">
      <c r="A307" t="s">
        <v>1245</v>
      </c>
      <c r="B307" t="s">
        <v>1246</v>
      </c>
      <c r="C307" t="s">
        <v>87</v>
      </c>
      <c r="D307" t="s">
        <v>41</v>
      </c>
      <c r="E307" t="s">
        <v>17</v>
      </c>
      <c r="F307" t="s">
        <v>160</v>
      </c>
      <c r="G307" s="1">
        <v>44009</v>
      </c>
      <c r="H307" s="1">
        <v>44136</v>
      </c>
      <c r="I307" t="s">
        <v>1247</v>
      </c>
      <c r="J307" t="s">
        <v>1248</v>
      </c>
      <c r="K307" t="s">
        <v>37</v>
      </c>
      <c r="M307" t="s">
        <v>22</v>
      </c>
    </row>
    <row r="308" spans="1:13" x14ac:dyDescent="0.3">
      <c r="A308" t="s">
        <v>1191</v>
      </c>
      <c r="B308" t="s">
        <v>1192</v>
      </c>
      <c r="C308" t="s">
        <v>76</v>
      </c>
      <c r="D308" t="s">
        <v>51</v>
      </c>
      <c r="E308" t="s">
        <v>52</v>
      </c>
      <c r="F308" t="s">
        <v>18</v>
      </c>
      <c r="G308" s="1">
        <v>43991</v>
      </c>
      <c r="H308" s="1">
        <v>44147</v>
      </c>
      <c r="I308" t="s">
        <v>1193</v>
      </c>
      <c r="J308" t="s">
        <v>1194</v>
      </c>
      <c r="K308" t="s">
        <v>29</v>
      </c>
      <c r="L308" t="s">
        <v>116</v>
      </c>
      <c r="M308" t="s">
        <v>22</v>
      </c>
    </row>
    <row r="309" spans="1:13" x14ac:dyDescent="0.3">
      <c r="A309" t="s">
        <v>1249</v>
      </c>
      <c r="B309" t="s">
        <v>1250</v>
      </c>
      <c r="C309" t="s">
        <v>40</v>
      </c>
      <c r="D309" t="s">
        <v>67</v>
      </c>
      <c r="E309" t="s">
        <v>26</v>
      </c>
      <c r="F309" t="s">
        <v>18</v>
      </c>
      <c r="G309" s="1">
        <v>44407</v>
      </c>
      <c r="H309" s="1">
        <v>44600</v>
      </c>
      <c r="I309" t="s">
        <v>1251</v>
      </c>
      <c r="J309" t="s">
        <v>1252</v>
      </c>
      <c r="K309" t="s">
        <v>90</v>
      </c>
      <c r="L309" t="s">
        <v>60</v>
      </c>
      <c r="M309" t="s">
        <v>22</v>
      </c>
    </row>
    <row r="310" spans="1:13" x14ac:dyDescent="0.3">
      <c r="A310" t="s">
        <v>1253</v>
      </c>
      <c r="B310" t="s">
        <v>1254</v>
      </c>
      <c r="C310" t="s">
        <v>181</v>
      </c>
      <c r="D310" t="s">
        <v>67</v>
      </c>
      <c r="E310" t="s">
        <v>17</v>
      </c>
      <c r="F310" t="s">
        <v>18</v>
      </c>
      <c r="G310" s="1">
        <v>44852</v>
      </c>
      <c r="H310" s="1">
        <v>45133</v>
      </c>
      <c r="I310" t="s">
        <v>1255</v>
      </c>
      <c r="J310" t="s">
        <v>1256</v>
      </c>
      <c r="K310" t="s">
        <v>37</v>
      </c>
      <c r="L310" t="s">
        <v>30</v>
      </c>
      <c r="M310" t="s">
        <v>22</v>
      </c>
    </row>
    <row r="311" spans="1:13" x14ac:dyDescent="0.3">
      <c r="A311" t="s">
        <v>1257</v>
      </c>
      <c r="B311" t="s">
        <v>723</v>
      </c>
      <c r="C311" t="s">
        <v>15</v>
      </c>
      <c r="D311" t="s">
        <v>67</v>
      </c>
      <c r="E311" t="s">
        <v>26</v>
      </c>
      <c r="F311" t="s">
        <v>160</v>
      </c>
      <c r="G311" s="1">
        <v>45355</v>
      </c>
      <c r="H311" s="1">
        <v>45685</v>
      </c>
      <c r="I311" t="s">
        <v>1258</v>
      </c>
      <c r="J311" t="s">
        <v>1259</v>
      </c>
      <c r="K311" t="s">
        <v>29</v>
      </c>
      <c r="M311" t="s">
        <v>22</v>
      </c>
    </row>
    <row r="312" spans="1:13" x14ac:dyDescent="0.3">
      <c r="A312" t="s">
        <v>1260</v>
      </c>
      <c r="B312" t="s">
        <v>1261</v>
      </c>
      <c r="C312" t="s">
        <v>46</v>
      </c>
      <c r="D312" t="s">
        <v>34</v>
      </c>
      <c r="E312" t="s">
        <v>26</v>
      </c>
      <c r="F312" t="s">
        <v>18</v>
      </c>
      <c r="G312" s="1">
        <v>45395</v>
      </c>
      <c r="H312" s="1">
        <v>45432</v>
      </c>
      <c r="I312" t="s">
        <v>1262</v>
      </c>
      <c r="J312" t="s">
        <v>1263</v>
      </c>
      <c r="K312" t="s">
        <v>90</v>
      </c>
      <c r="L312" t="s">
        <v>116</v>
      </c>
      <c r="M312" t="s">
        <v>22</v>
      </c>
    </row>
    <row r="313" spans="1:13" x14ac:dyDescent="0.3">
      <c r="A313" t="s">
        <v>1264</v>
      </c>
      <c r="B313" t="s">
        <v>1265</v>
      </c>
      <c r="C313" t="s">
        <v>181</v>
      </c>
      <c r="D313" t="s">
        <v>41</v>
      </c>
      <c r="E313" t="s">
        <v>17</v>
      </c>
      <c r="F313" t="s">
        <v>18</v>
      </c>
      <c r="G313" s="1">
        <v>44384</v>
      </c>
      <c r="H313" s="1">
        <v>44439</v>
      </c>
      <c r="I313" t="s">
        <v>1266</v>
      </c>
      <c r="J313" t="s">
        <v>1267</v>
      </c>
      <c r="K313" t="s">
        <v>90</v>
      </c>
      <c r="L313" t="s">
        <v>116</v>
      </c>
      <c r="M313" t="s">
        <v>22</v>
      </c>
    </row>
    <row r="314" spans="1:13" x14ac:dyDescent="0.3">
      <c r="A314" t="s">
        <v>1268</v>
      </c>
      <c r="B314" t="s">
        <v>1269</v>
      </c>
      <c r="C314" t="s">
        <v>181</v>
      </c>
      <c r="D314" t="s">
        <v>51</v>
      </c>
      <c r="E314" t="s">
        <v>52</v>
      </c>
      <c r="F314" t="s">
        <v>18</v>
      </c>
      <c r="G314" s="1">
        <v>44807</v>
      </c>
      <c r="H314" s="1">
        <v>44951</v>
      </c>
      <c r="I314" t="s">
        <v>1270</v>
      </c>
      <c r="J314" t="s">
        <v>1271</v>
      </c>
      <c r="K314" t="s">
        <v>21</v>
      </c>
      <c r="L314" t="s">
        <v>116</v>
      </c>
      <c r="M314" t="s">
        <v>22</v>
      </c>
    </row>
    <row r="315" spans="1:13" x14ac:dyDescent="0.3">
      <c r="A315" t="s">
        <v>1272</v>
      </c>
      <c r="B315" t="s">
        <v>1273</v>
      </c>
      <c r="C315" t="s">
        <v>33</v>
      </c>
      <c r="D315" t="s">
        <v>16</v>
      </c>
      <c r="E315" t="s">
        <v>17</v>
      </c>
      <c r="F315" t="s">
        <v>18</v>
      </c>
      <c r="G315" s="1">
        <v>45195</v>
      </c>
      <c r="H315" s="1">
        <v>45550</v>
      </c>
      <c r="I315" t="s">
        <v>1274</v>
      </c>
      <c r="J315" t="s">
        <v>1275</v>
      </c>
      <c r="K315" t="s">
        <v>90</v>
      </c>
      <c r="L315" t="s">
        <v>55</v>
      </c>
      <c r="M315" t="s">
        <v>22</v>
      </c>
    </row>
    <row r="316" spans="1:13" x14ac:dyDescent="0.3">
      <c r="A316" t="s">
        <v>1276</v>
      </c>
      <c r="B316" t="s">
        <v>1277</v>
      </c>
      <c r="C316" t="s">
        <v>40</v>
      </c>
      <c r="D316" t="s">
        <v>51</v>
      </c>
      <c r="E316" t="s">
        <v>52</v>
      </c>
      <c r="F316" t="s">
        <v>18</v>
      </c>
      <c r="G316" s="1">
        <v>43689</v>
      </c>
      <c r="H316" s="1">
        <v>44042</v>
      </c>
      <c r="I316" t="s">
        <v>1278</v>
      </c>
      <c r="J316" t="s">
        <v>1279</v>
      </c>
      <c r="K316" t="s">
        <v>21</v>
      </c>
      <c r="M316" t="s">
        <v>22</v>
      </c>
    </row>
    <row r="317" spans="1:13" x14ac:dyDescent="0.3">
      <c r="A317" t="s">
        <v>1280</v>
      </c>
      <c r="B317" t="s">
        <v>1281</v>
      </c>
      <c r="C317" t="s">
        <v>181</v>
      </c>
      <c r="D317" t="s">
        <v>77</v>
      </c>
      <c r="E317" t="s">
        <v>52</v>
      </c>
      <c r="F317" t="s">
        <v>18</v>
      </c>
      <c r="G317" s="1">
        <v>45396</v>
      </c>
      <c r="H317" s="1">
        <v>45712</v>
      </c>
      <c r="I317" t="s">
        <v>1282</v>
      </c>
      <c r="J317" t="s">
        <v>1283</v>
      </c>
      <c r="K317" t="s">
        <v>37</v>
      </c>
      <c r="L317" t="s">
        <v>60</v>
      </c>
      <c r="M317" t="s">
        <v>22</v>
      </c>
    </row>
    <row r="318" spans="1:13" x14ac:dyDescent="0.3">
      <c r="A318" t="s">
        <v>1284</v>
      </c>
      <c r="B318" t="s">
        <v>1285</v>
      </c>
      <c r="C318" t="s">
        <v>76</v>
      </c>
      <c r="D318" t="s">
        <v>34</v>
      </c>
      <c r="E318" t="s">
        <v>26</v>
      </c>
      <c r="F318" t="s">
        <v>18</v>
      </c>
      <c r="G318" s="1">
        <v>44380</v>
      </c>
      <c r="H318" s="1">
        <v>44451</v>
      </c>
      <c r="I318" t="s">
        <v>1286</v>
      </c>
      <c r="J318" t="s">
        <v>1287</v>
      </c>
      <c r="K318" t="s">
        <v>90</v>
      </c>
      <c r="L318" t="s">
        <v>91</v>
      </c>
      <c r="M318" t="s">
        <v>22</v>
      </c>
    </row>
    <row r="319" spans="1:13" x14ac:dyDescent="0.3">
      <c r="A319" t="s">
        <v>1288</v>
      </c>
      <c r="B319" t="s">
        <v>1289</v>
      </c>
      <c r="C319" t="s">
        <v>46</v>
      </c>
      <c r="D319" t="s">
        <v>34</v>
      </c>
      <c r="E319" t="s">
        <v>26</v>
      </c>
      <c r="F319" t="s">
        <v>18</v>
      </c>
      <c r="G319" s="2">
        <v>43891</v>
      </c>
      <c r="H319" s="1">
        <v>43912</v>
      </c>
      <c r="I319" t="s">
        <v>1290</v>
      </c>
      <c r="J319" t="s">
        <v>1291</v>
      </c>
      <c r="K319" t="s">
        <v>37</v>
      </c>
      <c r="M319" t="s">
        <v>22</v>
      </c>
    </row>
    <row r="320" spans="1:13" x14ac:dyDescent="0.3">
      <c r="A320" t="s">
        <v>1292</v>
      </c>
      <c r="B320" t="s">
        <v>1293</v>
      </c>
      <c r="C320" t="s">
        <v>46</v>
      </c>
      <c r="D320" t="s">
        <v>67</v>
      </c>
      <c r="E320" t="s">
        <v>26</v>
      </c>
      <c r="F320" t="s">
        <v>18</v>
      </c>
      <c r="G320" s="1">
        <v>44280</v>
      </c>
      <c r="H320" s="1">
        <v>44626</v>
      </c>
      <c r="I320" t="s">
        <v>1294</v>
      </c>
      <c r="J320" t="s">
        <v>1295</v>
      </c>
      <c r="K320" t="s">
        <v>90</v>
      </c>
      <c r="L320" t="s">
        <v>116</v>
      </c>
      <c r="M320" t="s">
        <v>22</v>
      </c>
    </row>
    <row r="321" spans="1:13" x14ac:dyDescent="0.3">
      <c r="A321" t="s">
        <v>1296</v>
      </c>
      <c r="B321" t="s">
        <v>1297</v>
      </c>
      <c r="C321" t="s">
        <v>33</v>
      </c>
      <c r="D321" t="s">
        <v>41</v>
      </c>
      <c r="E321" t="s">
        <v>17</v>
      </c>
      <c r="F321" t="s">
        <v>160</v>
      </c>
      <c r="G321" s="1">
        <v>44333</v>
      </c>
      <c r="I321" t="s">
        <v>1298</v>
      </c>
      <c r="J321" t="s">
        <v>1299</v>
      </c>
      <c r="K321" t="s">
        <v>29</v>
      </c>
      <c r="L321" t="s">
        <v>91</v>
      </c>
      <c r="M321" t="s">
        <v>22</v>
      </c>
    </row>
    <row r="322" spans="1:13" x14ac:dyDescent="0.3">
      <c r="A322" t="s">
        <v>1300</v>
      </c>
      <c r="B322" t="s">
        <v>1301</v>
      </c>
      <c r="C322" t="s">
        <v>40</v>
      </c>
      <c r="D322" t="s">
        <v>34</v>
      </c>
      <c r="E322" t="s">
        <v>26</v>
      </c>
      <c r="F322" t="s">
        <v>160</v>
      </c>
      <c r="G322" s="1">
        <v>44693</v>
      </c>
      <c r="H322" s="1">
        <v>44859</v>
      </c>
      <c r="I322" t="s">
        <v>1302</v>
      </c>
      <c r="J322" t="s">
        <v>1303</v>
      </c>
      <c r="K322" t="s">
        <v>90</v>
      </c>
      <c r="L322" t="s">
        <v>55</v>
      </c>
      <c r="M322" t="s">
        <v>22</v>
      </c>
    </row>
    <row r="323" spans="1:13" x14ac:dyDescent="0.3">
      <c r="A323" t="s">
        <v>1304</v>
      </c>
      <c r="B323" t="s">
        <v>1305</v>
      </c>
      <c r="C323" t="s">
        <v>33</v>
      </c>
      <c r="D323" t="s">
        <v>34</v>
      </c>
      <c r="E323" t="s">
        <v>26</v>
      </c>
      <c r="F323" t="s">
        <v>18</v>
      </c>
      <c r="G323" s="1">
        <v>45085</v>
      </c>
      <c r="H323" s="1">
        <v>45223</v>
      </c>
      <c r="I323" t="s">
        <v>1306</v>
      </c>
      <c r="J323" t="s">
        <v>1307</v>
      </c>
      <c r="K323" t="s">
        <v>21</v>
      </c>
      <c r="L323" t="s">
        <v>30</v>
      </c>
      <c r="M323" t="s">
        <v>22</v>
      </c>
    </row>
    <row r="324" spans="1:13" x14ac:dyDescent="0.3">
      <c r="A324" t="s">
        <v>1308</v>
      </c>
      <c r="B324" t="s">
        <v>1309</v>
      </c>
      <c r="C324" t="s">
        <v>1310</v>
      </c>
      <c r="D324" t="s">
        <v>67</v>
      </c>
      <c r="E324" t="s">
        <v>26</v>
      </c>
      <c r="F324" t="s">
        <v>160</v>
      </c>
      <c r="G324" s="1">
        <v>45194</v>
      </c>
      <c r="H324" s="1">
        <v>45370</v>
      </c>
      <c r="I324" t="s">
        <v>1311</v>
      </c>
      <c r="J324" t="s">
        <v>1312</v>
      </c>
      <c r="K324" t="s">
        <v>37</v>
      </c>
      <c r="L324" t="s">
        <v>60</v>
      </c>
      <c r="M324" t="s">
        <v>22</v>
      </c>
    </row>
    <row r="325" spans="1:13" x14ac:dyDescent="0.3">
      <c r="A325" t="s">
        <v>1313</v>
      </c>
      <c r="B325" t="s">
        <v>1314</v>
      </c>
      <c r="C325" t="s">
        <v>15</v>
      </c>
      <c r="D325" t="s">
        <v>34</v>
      </c>
      <c r="E325" t="s">
        <v>26</v>
      </c>
      <c r="F325" t="s">
        <v>18</v>
      </c>
      <c r="G325" s="1">
        <v>44364</v>
      </c>
      <c r="H325" s="1">
        <v>44658</v>
      </c>
      <c r="I325" t="s">
        <v>1315</v>
      </c>
      <c r="J325" t="s">
        <v>1316</v>
      </c>
      <c r="K325" t="s">
        <v>37</v>
      </c>
      <c r="L325" t="s">
        <v>55</v>
      </c>
      <c r="M325" t="s">
        <v>22</v>
      </c>
    </row>
    <row r="326" spans="1:13" x14ac:dyDescent="0.3">
      <c r="A326" t="s">
        <v>1317</v>
      </c>
      <c r="B326" t="s">
        <v>252</v>
      </c>
      <c r="C326" t="s">
        <v>76</v>
      </c>
      <c r="D326" t="s">
        <v>34</v>
      </c>
      <c r="E326" t="s">
        <v>26</v>
      </c>
      <c r="F326" t="s">
        <v>18</v>
      </c>
      <c r="G326" s="1">
        <v>44995</v>
      </c>
      <c r="H326" s="1">
        <v>45124</v>
      </c>
      <c r="I326" t="s">
        <v>1318</v>
      </c>
      <c r="J326" t="s">
        <v>1319</v>
      </c>
      <c r="K326" t="s">
        <v>90</v>
      </c>
      <c r="L326" t="s">
        <v>116</v>
      </c>
      <c r="M326" t="s">
        <v>22</v>
      </c>
    </row>
    <row r="327" spans="1:13" x14ac:dyDescent="0.3">
      <c r="A327" t="s">
        <v>1320</v>
      </c>
      <c r="B327" t="s">
        <v>1321</v>
      </c>
      <c r="C327" t="s">
        <v>46</v>
      </c>
      <c r="D327" t="s">
        <v>25</v>
      </c>
      <c r="E327" t="s">
        <v>26</v>
      </c>
      <c r="F327" t="s">
        <v>160</v>
      </c>
      <c r="G327" s="1">
        <v>45601</v>
      </c>
      <c r="H327" s="1">
        <v>45755</v>
      </c>
      <c r="I327" t="s">
        <v>1322</v>
      </c>
      <c r="J327" t="s">
        <v>1023</v>
      </c>
      <c r="K327" t="s">
        <v>90</v>
      </c>
      <c r="L327" t="s">
        <v>30</v>
      </c>
      <c r="M327" t="s">
        <v>22</v>
      </c>
    </row>
    <row r="328" spans="1:13" x14ac:dyDescent="0.3">
      <c r="A328" t="s">
        <v>1323</v>
      </c>
      <c r="B328" t="s">
        <v>1324</v>
      </c>
      <c r="C328" t="s">
        <v>33</v>
      </c>
      <c r="D328" t="s">
        <v>77</v>
      </c>
      <c r="E328" t="s">
        <v>52</v>
      </c>
      <c r="F328" t="s">
        <v>18</v>
      </c>
      <c r="G328" s="1">
        <v>44819</v>
      </c>
      <c r="H328" s="1">
        <v>44985</v>
      </c>
      <c r="I328" t="s">
        <v>1325</v>
      </c>
      <c r="J328" t="s">
        <v>1326</v>
      </c>
      <c r="K328" t="s">
        <v>90</v>
      </c>
      <c r="L328" t="s">
        <v>60</v>
      </c>
      <c r="M328" t="s">
        <v>22</v>
      </c>
    </row>
    <row r="329" spans="1:13" x14ac:dyDescent="0.3">
      <c r="A329" t="s">
        <v>1327</v>
      </c>
      <c r="B329" t="s">
        <v>1328</v>
      </c>
      <c r="C329" t="s">
        <v>33</v>
      </c>
      <c r="D329" t="s">
        <v>41</v>
      </c>
      <c r="E329" t="s">
        <v>17</v>
      </c>
      <c r="F329" t="s">
        <v>160</v>
      </c>
      <c r="G329" s="1">
        <v>44723</v>
      </c>
      <c r="H329" s="1">
        <v>44938</v>
      </c>
      <c r="J329" t="s">
        <v>1329</v>
      </c>
      <c r="K329" t="s">
        <v>29</v>
      </c>
      <c r="L329" t="s">
        <v>91</v>
      </c>
      <c r="M329" t="s">
        <v>22</v>
      </c>
    </row>
    <row r="330" spans="1:13" x14ac:dyDescent="0.3">
      <c r="A330" t="s">
        <v>1330</v>
      </c>
      <c r="B330" t="s">
        <v>1331</v>
      </c>
      <c r="C330" t="s">
        <v>33</v>
      </c>
      <c r="D330" t="s">
        <v>41</v>
      </c>
      <c r="E330" t="s">
        <v>17</v>
      </c>
      <c r="F330" t="s">
        <v>18</v>
      </c>
      <c r="G330" s="1">
        <v>44811</v>
      </c>
      <c r="H330" s="1">
        <v>44819</v>
      </c>
      <c r="I330" t="s">
        <v>1332</v>
      </c>
      <c r="J330" t="s">
        <v>1333</v>
      </c>
      <c r="K330" t="s">
        <v>21</v>
      </c>
      <c r="L330" t="s">
        <v>60</v>
      </c>
      <c r="M330" t="s">
        <v>22</v>
      </c>
    </row>
    <row r="331" spans="1:13" x14ac:dyDescent="0.3">
      <c r="A331" t="s">
        <v>1334</v>
      </c>
      <c r="B331" t="s">
        <v>1335</v>
      </c>
      <c r="C331" t="s">
        <v>33</v>
      </c>
      <c r="D331" t="s">
        <v>25</v>
      </c>
      <c r="E331" t="s">
        <v>26</v>
      </c>
      <c r="F331" t="s">
        <v>151</v>
      </c>
      <c r="G331" s="1">
        <v>45121</v>
      </c>
      <c r="H331" s="1">
        <v>45384</v>
      </c>
      <c r="I331" t="s">
        <v>1336</v>
      </c>
      <c r="J331" t="s">
        <v>1337</v>
      </c>
      <c r="K331" t="s">
        <v>21</v>
      </c>
      <c r="L331" t="s">
        <v>30</v>
      </c>
      <c r="M331" t="s">
        <v>22</v>
      </c>
    </row>
    <row r="332" spans="1:13" x14ac:dyDescent="0.3">
      <c r="A332" t="s">
        <v>1338</v>
      </c>
      <c r="B332" t="s">
        <v>1339</v>
      </c>
      <c r="C332" t="s">
        <v>46</v>
      </c>
      <c r="D332" t="s">
        <v>34</v>
      </c>
      <c r="E332" t="s">
        <v>26</v>
      </c>
      <c r="F332" t="s">
        <v>18</v>
      </c>
      <c r="G332" s="1">
        <v>44365</v>
      </c>
      <c r="H332" s="1">
        <v>44468</v>
      </c>
      <c r="I332" t="s">
        <v>1340</v>
      </c>
      <c r="J332" t="s">
        <v>1341</v>
      </c>
      <c r="K332" t="s">
        <v>21</v>
      </c>
      <c r="L332" t="s">
        <v>55</v>
      </c>
      <c r="M332" t="s">
        <v>22</v>
      </c>
    </row>
    <row r="333" spans="1:13" x14ac:dyDescent="0.3">
      <c r="A333" t="s">
        <v>1342</v>
      </c>
      <c r="B333" t="s">
        <v>1343</v>
      </c>
      <c r="C333" t="s">
        <v>40</v>
      </c>
      <c r="D333" t="s">
        <v>51</v>
      </c>
      <c r="E333" t="s">
        <v>52</v>
      </c>
      <c r="F333" t="s">
        <v>18</v>
      </c>
      <c r="G333" s="1">
        <v>44121</v>
      </c>
      <c r="H333" s="1">
        <v>44136</v>
      </c>
      <c r="I333" t="s">
        <v>1344</v>
      </c>
      <c r="J333" t="s">
        <v>1345</v>
      </c>
      <c r="K333" t="s">
        <v>90</v>
      </c>
      <c r="L333" t="s">
        <v>55</v>
      </c>
      <c r="M333" t="s">
        <v>22</v>
      </c>
    </row>
    <row r="334" spans="1:13" x14ac:dyDescent="0.3">
      <c r="A334" t="s">
        <v>1346</v>
      </c>
      <c r="B334" t="s">
        <v>1347</v>
      </c>
      <c r="C334" t="s">
        <v>33</v>
      </c>
      <c r="D334" t="s">
        <v>51</v>
      </c>
      <c r="E334" t="s">
        <v>52</v>
      </c>
      <c r="F334" t="s">
        <v>18</v>
      </c>
      <c r="G334" s="1">
        <v>44288</v>
      </c>
      <c r="H334" s="1">
        <v>44533</v>
      </c>
      <c r="I334" t="s">
        <v>1348</v>
      </c>
      <c r="J334" t="s">
        <v>1349</v>
      </c>
      <c r="K334" t="s">
        <v>21</v>
      </c>
      <c r="L334" t="s">
        <v>116</v>
      </c>
      <c r="M334" t="s">
        <v>22</v>
      </c>
    </row>
    <row r="335" spans="1:13" x14ac:dyDescent="0.3">
      <c r="A335" t="s">
        <v>1350</v>
      </c>
      <c r="B335" t="s">
        <v>1351</v>
      </c>
      <c r="C335" t="s">
        <v>76</v>
      </c>
      <c r="D335" t="s">
        <v>25</v>
      </c>
      <c r="E335" t="s">
        <v>26</v>
      </c>
      <c r="F335" t="s">
        <v>18</v>
      </c>
      <c r="G335" s="1">
        <v>44434</v>
      </c>
      <c r="H335" s="1">
        <v>44686</v>
      </c>
      <c r="I335" t="s">
        <v>1352</v>
      </c>
      <c r="J335" t="s">
        <v>1353</v>
      </c>
      <c r="K335" t="s">
        <v>21</v>
      </c>
      <c r="L335" t="s">
        <v>60</v>
      </c>
      <c r="M335" t="s">
        <v>22</v>
      </c>
    </row>
    <row r="336" spans="1:13" x14ac:dyDescent="0.3">
      <c r="A336" t="s">
        <v>1354</v>
      </c>
      <c r="B336" t="s">
        <v>1355</v>
      </c>
      <c r="C336" t="s">
        <v>87</v>
      </c>
      <c r="D336" t="s">
        <v>77</v>
      </c>
      <c r="E336" t="s">
        <v>52</v>
      </c>
      <c r="F336" t="s">
        <v>18</v>
      </c>
      <c r="G336" s="1">
        <v>45490</v>
      </c>
      <c r="H336" s="1">
        <v>45656</v>
      </c>
      <c r="I336" t="s">
        <v>1356</v>
      </c>
      <c r="J336" t="s">
        <v>1357</v>
      </c>
      <c r="K336" t="s">
        <v>37</v>
      </c>
      <c r="L336" t="s">
        <v>116</v>
      </c>
      <c r="M336" t="s">
        <v>22</v>
      </c>
    </row>
    <row r="337" spans="1:13" x14ac:dyDescent="0.3">
      <c r="A337" t="s">
        <v>1358</v>
      </c>
      <c r="B337" t="s">
        <v>1359</v>
      </c>
      <c r="C337" t="s">
        <v>33</v>
      </c>
      <c r="D337" t="s">
        <v>25</v>
      </c>
      <c r="E337" t="s">
        <v>26</v>
      </c>
      <c r="F337" t="s">
        <v>18</v>
      </c>
      <c r="G337" s="1">
        <v>44045</v>
      </c>
      <c r="H337" s="1">
        <v>44306</v>
      </c>
      <c r="I337" t="s">
        <v>1360</v>
      </c>
      <c r="J337" t="s">
        <v>1361</v>
      </c>
      <c r="K337" t="s">
        <v>37</v>
      </c>
      <c r="L337" t="s">
        <v>91</v>
      </c>
      <c r="M337" t="s">
        <v>22</v>
      </c>
    </row>
    <row r="338" spans="1:13" x14ac:dyDescent="0.3">
      <c r="A338" t="s">
        <v>1362</v>
      </c>
      <c r="B338" t="s">
        <v>1363</v>
      </c>
      <c r="C338" t="s">
        <v>87</v>
      </c>
      <c r="D338" t="s">
        <v>51</v>
      </c>
      <c r="E338" t="s">
        <v>52</v>
      </c>
      <c r="F338" t="s">
        <v>160</v>
      </c>
      <c r="G338" s="1">
        <v>43711</v>
      </c>
      <c r="H338" s="1">
        <v>44011</v>
      </c>
      <c r="I338" t="s">
        <v>1364</v>
      </c>
      <c r="J338" t="s">
        <v>1365</v>
      </c>
      <c r="K338" t="s">
        <v>90</v>
      </c>
      <c r="L338" t="s">
        <v>30</v>
      </c>
      <c r="M338" t="s">
        <v>22</v>
      </c>
    </row>
    <row r="339" spans="1:13" x14ac:dyDescent="0.3">
      <c r="A339" t="s">
        <v>1366</v>
      </c>
      <c r="B339" t="s">
        <v>1367</v>
      </c>
      <c r="C339" t="s">
        <v>181</v>
      </c>
      <c r="D339" t="s">
        <v>16</v>
      </c>
      <c r="E339" t="s">
        <v>17</v>
      </c>
      <c r="F339" t="s">
        <v>18</v>
      </c>
      <c r="G339" s="1">
        <v>43709</v>
      </c>
      <c r="H339" s="1">
        <v>44000</v>
      </c>
      <c r="I339" t="s">
        <v>1368</v>
      </c>
      <c r="J339" t="s">
        <v>1369</v>
      </c>
      <c r="K339" t="s">
        <v>29</v>
      </c>
      <c r="L339" t="s">
        <v>91</v>
      </c>
      <c r="M339" t="s">
        <v>22</v>
      </c>
    </row>
    <row r="340" spans="1:13" x14ac:dyDescent="0.3">
      <c r="A340" t="s">
        <v>1370</v>
      </c>
      <c r="B340" t="s">
        <v>1371</v>
      </c>
      <c r="C340" t="s">
        <v>15</v>
      </c>
      <c r="D340" t="s">
        <v>77</v>
      </c>
      <c r="E340" t="s">
        <v>52</v>
      </c>
      <c r="F340" t="s">
        <v>18</v>
      </c>
      <c r="G340" s="1">
        <v>44167</v>
      </c>
      <c r="H340" s="1">
        <v>44342</v>
      </c>
      <c r="I340" t="s">
        <v>1372</v>
      </c>
      <c r="J340" t="s">
        <v>1373</v>
      </c>
      <c r="K340" t="s">
        <v>37</v>
      </c>
      <c r="M340" t="s">
        <v>22</v>
      </c>
    </row>
    <row r="341" spans="1:13" x14ac:dyDescent="0.3">
      <c r="A341" t="s">
        <v>1374</v>
      </c>
      <c r="B341" t="s">
        <v>1375</v>
      </c>
      <c r="C341" t="s">
        <v>40</v>
      </c>
      <c r="D341" t="s">
        <v>51</v>
      </c>
      <c r="E341" t="s">
        <v>52</v>
      </c>
      <c r="F341" t="s">
        <v>18</v>
      </c>
      <c r="G341" s="1">
        <v>44543</v>
      </c>
      <c r="H341" s="1">
        <v>44907</v>
      </c>
      <c r="I341" t="s">
        <v>1376</v>
      </c>
      <c r="J341" t="s">
        <v>1377</v>
      </c>
      <c r="K341" t="s">
        <v>21</v>
      </c>
      <c r="L341" t="s">
        <v>30</v>
      </c>
      <c r="M341" t="s">
        <v>22</v>
      </c>
    </row>
    <row r="342" spans="1:13" x14ac:dyDescent="0.3">
      <c r="A342" t="s">
        <v>1378</v>
      </c>
      <c r="B342" t="s">
        <v>1379</v>
      </c>
      <c r="C342" t="s">
        <v>76</v>
      </c>
      <c r="D342" t="s">
        <v>41</v>
      </c>
      <c r="E342" t="s">
        <v>17</v>
      </c>
      <c r="F342" t="s">
        <v>18</v>
      </c>
      <c r="G342" s="1">
        <v>45106</v>
      </c>
      <c r="H342" s="1">
        <v>45374</v>
      </c>
      <c r="I342" t="s">
        <v>1380</v>
      </c>
      <c r="J342" t="s">
        <v>1381</v>
      </c>
      <c r="K342" t="s">
        <v>29</v>
      </c>
      <c r="M342" t="s">
        <v>22</v>
      </c>
    </row>
    <row r="343" spans="1:13" x14ac:dyDescent="0.3">
      <c r="A343" t="s">
        <v>1382</v>
      </c>
      <c r="B343" t="s">
        <v>1383</v>
      </c>
      <c r="C343" t="s">
        <v>15</v>
      </c>
      <c r="D343" t="s">
        <v>34</v>
      </c>
      <c r="E343" t="s">
        <v>26</v>
      </c>
      <c r="F343" t="s">
        <v>18</v>
      </c>
      <c r="G343" s="1">
        <v>44018</v>
      </c>
      <c r="H343" s="1">
        <v>44264</v>
      </c>
      <c r="I343" t="s">
        <v>1384</v>
      </c>
      <c r="J343" t="s">
        <v>1385</v>
      </c>
      <c r="K343" t="s">
        <v>21</v>
      </c>
      <c r="L343" t="s">
        <v>30</v>
      </c>
      <c r="M343" t="s">
        <v>22</v>
      </c>
    </row>
    <row r="344" spans="1:13" x14ac:dyDescent="0.3">
      <c r="A344" t="s">
        <v>1386</v>
      </c>
      <c r="B344" t="s">
        <v>1387</v>
      </c>
      <c r="C344" t="s">
        <v>33</v>
      </c>
      <c r="D344" t="s">
        <v>51</v>
      </c>
      <c r="E344" t="s">
        <v>52</v>
      </c>
      <c r="F344" t="s">
        <v>18</v>
      </c>
      <c r="G344" s="1">
        <v>44209</v>
      </c>
      <c r="H344" s="1">
        <v>44282</v>
      </c>
      <c r="I344" t="s">
        <v>1388</v>
      </c>
      <c r="J344" t="s">
        <v>1389</v>
      </c>
      <c r="K344" t="s">
        <v>90</v>
      </c>
      <c r="L344" t="s">
        <v>55</v>
      </c>
      <c r="M344" t="s">
        <v>22</v>
      </c>
    </row>
    <row r="345" spans="1:13" x14ac:dyDescent="0.3">
      <c r="A345" t="s">
        <v>1390</v>
      </c>
      <c r="B345" t="s">
        <v>1391</v>
      </c>
      <c r="C345" t="s">
        <v>15</v>
      </c>
      <c r="D345" t="s">
        <v>67</v>
      </c>
      <c r="E345" t="s">
        <v>26</v>
      </c>
      <c r="F345" t="s">
        <v>18</v>
      </c>
      <c r="G345" s="1">
        <v>45361</v>
      </c>
      <c r="H345" s="1">
        <v>45452</v>
      </c>
      <c r="I345" t="s">
        <v>1392</v>
      </c>
      <c r="J345" t="s">
        <v>1393</v>
      </c>
      <c r="K345" t="s">
        <v>90</v>
      </c>
      <c r="L345" t="s">
        <v>60</v>
      </c>
      <c r="M345" t="s">
        <v>22</v>
      </c>
    </row>
    <row r="346" spans="1:13" x14ac:dyDescent="0.3">
      <c r="A346" t="s">
        <v>1394</v>
      </c>
      <c r="B346" t="s">
        <v>1395</v>
      </c>
      <c r="C346" t="s">
        <v>15</v>
      </c>
      <c r="D346" t="s">
        <v>25</v>
      </c>
      <c r="E346" t="s">
        <v>26</v>
      </c>
      <c r="F346" t="s">
        <v>18</v>
      </c>
      <c r="G346" s="1">
        <v>44122</v>
      </c>
      <c r="H346" s="1">
        <v>44261</v>
      </c>
      <c r="I346" t="s">
        <v>1396</v>
      </c>
      <c r="J346" t="s">
        <v>1397</v>
      </c>
      <c r="K346" t="s">
        <v>37</v>
      </c>
      <c r="L346" t="s">
        <v>30</v>
      </c>
      <c r="M346" t="s">
        <v>22</v>
      </c>
    </row>
    <row r="347" spans="1:13" x14ac:dyDescent="0.3">
      <c r="A347" t="s">
        <v>1398</v>
      </c>
      <c r="B347" t="s">
        <v>1399</v>
      </c>
      <c r="C347" t="s">
        <v>46</v>
      </c>
      <c r="D347" t="s">
        <v>67</v>
      </c>
      <c r="E347" t="s">
        <v>26</v>
      </c>
      <c r="F347" t="s">
        <v>18</v>
      </c>
      <c r="G347" s="1">
        <v>44534</v>
      </c>
      <c r="H347" s="1">
        <v>44638</v>
      </c>
      <c r="I347" t="s">
        <v>1400</v>
      </c>
      <c r="J347" t="s">
        <v>1401</v>
      </c>
      <c r="K347" t="s">
        <v>29</v>
      </c>
      <c r="L347" t="s">
        <v>30</v>
      </c>
      <c r="M347" t="s">
        <v>22</v>
      </c>
    </row>
    <row r="348" spans="1:13" x14ac:dyDescent="0.3">
      <c r="A348" t="s">
        <v>1402</v>
      </c>
      <c r="B348" t="s">
        <v>1403</v>
      </c>
      <c r="C348" t="s">
        <v>181</v>
      </c>
      <c r="D348" t="s">
        <v>25</v>
      </c>
      <c r="E348" t="s">
        <v>26</v>
      </c>
      <c r="F348" t="s">
        <v>18</v>
      </c>
      <c r="G348" s="1">
        <v>43870</v>
      </c>
      <c r="H348" s="1">
        <v>43886</v>
      </c>
      <c r="I348" t="s">
        <v>704</v>
      </c>
      <c r="J348" t="s">
        <v>1404</v>
      </c>
      <c r="K348" t="s">
        <v>21</v>
      </c>
      <c r="L348" t="s">
        <v>91</v>
      </c>
      <c r="M348" t="s">
        <v>22</v>
      </c>
    </row>
    <row r="349" spans="1:13" x14ac:dyDescent="0.3">
      <c r="A349" t="s">
        <v>1405</v>
      </c>
      <c r="B349" t="s">
        <v>1406</v>
      </c>
      <c r="C349" t="s">
        <v>181</v>
      </c>
      <c r="D349" t="s">
        <v>34</v>
      </c>
      <c r="E349" t="s">
        <v>26</v>
      </c>
      <c r="F349" t="s">
        <v>18</v>
      </c>
      <c r="G349" s="1">
        <v>45651</v>
      </c>
      <c r="H349" s="1">
        <v>45698</v>
      </c>
      <c r="I349" t="s">
        <v>1407</v>
      </c>
      <c r="J349" t="s">
        <v>1408</v>
      </c>
      <c r="K349" t="s">
        <v>37</v>
      </c>
      <c r="L349" t="s">
        <v>55</v>
      </c>
      <c r="M349" t="s">
        <v>22</v>
      </c>
    </row>
    <row r="350" spans="1:13" x14ac:dyDescent="0.3">
      <c r="A350" t="s">
        <v>1409</v>
      </c>
      <c r="B350" t="s">
        <v>1410</v>
      </c>
      <c r="C350" t="s">
        <v>46</v>
      </c>
      <c r="D350" t="s">
        <v>41</v>
      </c>
      <c r="E350" t="s">
        <v>17</v>
      </c>
      <c r="F350" t="s">
        <v>151</v>
      </c>
      <c r="G350" s="1">
        <v>44625</v>
      </c>
      <c r="H350" s="1">
        <v>44971</v>
      </c>
      <c r="I350" t="s">
        <v>1411</v>
      </c>
      <c r="J350" t="s">
        <v>1412</v>
      </c>
      <c r="K350" t="s">
        <v>37</v>
      </c>
      <c r="L350" t="s">
        <v>30</v>
      </c>
      <c r="M350" t="s">
        <v>22</v>
      </c>
    </row>
    <row r="351" spans="1:13" x14ac:dyDescent="0.3">
      <c r="A351" t="s">
        <v>1413</v>
      </c>
      <c r="B351" t="s">
        <v>1414</v>
      </c>
      <c r="C351" t="s">
        <v>46</v>
      </c>
      <c r="D351" t="s">
        <v>51</v>
      </c>
      <c r="E351" t="s">
        <v>52</v>
      </c>
      <c r="F351" t="s">
        <v>160</v>
      </c>
      <c r="G351" s="1">
        <v>43947</v>
      </c>
      <c r="H351" s="1">
        <v>44086</v>
      </c>
      <c r="I351" t="s">
        <v>1415</v>
      </c>
      <c r="J351" t="s">
        <v>1416</v>
      </c>
      <c r="K351" t="s">
        <v>29</v>
      </c>
      <c r="L351" t="s">
        <v>60</v>
      </c>
      <c r="M351" t="s">
        <v>22</v>
      </c>
    </row>
    <row r="352" spans="1:13" x14ac:dyDescent="0.3">
      <c r="A352" t="s">
        <v>1417</v>
      </c>
      <c r="B352" t="s">
        <v>1418</v>
      </c>
      <c r="C352" t="s">
        <v>181</v>
      </c>
      <c r="D352" t="s">
        <v>77</v>
      </c>
      <c r="E352" t="s">
        <v>52</v>
      </c>
      <c r="F352" t="s">
        <v>18</v>
      </c>
      <c r="G352" s="1">
        <v>45338</v>
      </c>
      <c r="H352" s="1">
        <v>45370</v>
      </c>
      <c r="I352" t="s">
        <v>1419</v>
      </c>
      <c r="J352" t="s">
        <v>1420</v>
      </c>
      <c r="K352" t="s">
        <v>90</v>
      </c>
      <c r="M352" t="s">
        <v>22</v>
      </c>
    </row>
    <row r="353" spans="1:13" x14ac:dyDescent="0.3">
      <c r="A353" t="s">
        <v>1421</v>
      </c>
      <c r="B353" t="s">
        <v>1422</v>
      </c>
      <c r="C353" t="s">
        <v>15</v>
      </c>
      <c r="D353" t="s">
        <v>51</v>
      </c>
      <c r="E353" t="s">
        <v>52</v>
      </c>
      <c r="F353" t="s">
        <v>151</v>
      </c>
      <c r="G353" s="1">
        <v>44156</v>
      </c>
      <c r="H353" s="1">
        <v>44158</v>
      </c>
      <c r="I353" t="s">
        <v>1423</v>
      </c>
      <c r="J353" t="s">
        <v>1424</v>
      </c>
      <c r="K353" t="s">
        <v>37</v>
      </c>
      <c r="M353" t="s">
        <v>22</v>
      </c>
    </row>
    <row r="354" spans="1:13" x14ac:dyDescent="0.3">
      <c r="A354" t="s">
        <v>1425</v>
      </c>
      <c r="B354" t="s">
        <v>1426</v>
      </c>
      <c r="C354" t="s">
        <v>76</v>
      </c>
      <c r="D354" t="s">
        <v>41</v>
      </c>
      <c r="E354" t="s">
        <v>17</v>
      </c>
      <c r="F354" t="s">
        <v>18</v>
      </c>
      <c r="G354" s="1">
        <v>44331</v>
      </c>
      <c r="H354" s="1">
        <v>44401</v>
      </c>
      <c r="I354" t="s">
        <v>1427</v>
      </c>
      <c r="J354" t="s">
        <v>1428</v>
      </c>
      <c r="K354" t="s">
        <v>29</v>
      </c>
      <c r="L354" t="s">
        <v>60</v>
      </c>
      <c r="M354" t="s">
        <v>22</v>
      </c>
    </row>
    <row r="355" spans="1:13" x14ac:dyDescent="0.3">
      <c r="A355" t="s">
        <v>1429</v>
      </c>
      <c r="B355" t="s">
        <v>1430</v>
      </c>
      <c r="C355" t="s">
        <v>87</v>
      </c>
      <c r="D355" t="s">
        <v>34</v>
      </c>
      <c r="E355" t="s">
        <v>26</v>
      </c>
      <c r="F355" t="s">
        <v>18</v>
      </c>
      <c r="G355" s="1">
        <v>44827</v>
      </c>
      <c r="H355" s="1">
        <v>44895</v>
      </c>
      <c r="I355" t="s">
        <v>1431</v>
      </c>
      <c r="J355" t="s">
        <v>881</v>
      </c>
      <c r="K355" t="s">
        <v>29</v>
      </c>
      <c r="M355" t="s">
        <v>22</v>
      </c>
    </row>
    <row r="356" spans="1:13" x14ac:dyDescent="0.3">
      <c r="A356" t="s">
        <v>1432</v>
      </c>
      <c r="B356" t="s">
        <v>1433</v>
      </c>
      <c r="C356" t="s">
        <v>15</v>
      </c>
      <c r="D356" t="s">
        <v>51</v>
      </c>
      <c r="E356" t="s">
        <v>52</v>
      </c>
      <c r="F356" t="s">
        <v>18</v>
      </c>
      <c r="G356" s="1">
        <v>44921</v>
      </c>
      <c r="H356" s="1">
        <v>45028</v>
      </c>
      <c r="I356" t="s">
        <v>1434</v>
      </c>
      <c r="J356" t="s">
        <v>1435</v>
      </c>
      <c r="K356" t="s">
        <v>37</v>
      </c>
      <c r="L356" t="s">
        <v>91</v>
      </c>
      <c r="M356" t="s">
        <v>22</v>
      </c>
    </row>
    <row r="357" spans="1:13" x14ac:dyDescent="0.3">
      <c r="A357" t="s">
        <v>1436</v>
      </c>
      <c r="B357" t="s">
        <v>1437</v>
      </c>
      <c r="C357" t="s">
        <v>46</v>
      </c>
      <c r="D357" t="s">
        <v>34</v>
      </c>
      <c r="E357" t="s">
        <v>26</v>
      </c>
      <c r="F357" t="s">
        <v>160</v>
      </c>
      <c r="G357" s="1">
        <v>45292</v>
      </c>
      <c r="H357" s="1">
        <v>45607</v>
      </c>
      <c r="I357" t="s">
        <v>1438</v>
      </c>
      <c r="J357" t="s">
        <v>1439</v>
      </c>
      <c r="K357" t="s">
        <v>29</v>
      </c>
      <c r="L357" t="s">
        <v>55</v>
      </c>
      <c r="M357" t="s">
        <v>22</v>
      </c>
    </row>
    <row r="358" spans="1:13" x14ac:dyDescent="0.3">
      <c r="A358" t="s">
        <v>1440</v>
      </c>
      <c r="B358" t="s">
        <v>1441</v>
      </c>
      <c r="C358" t="s">
        <v>46</v>
      </c>
      <c r="D358" t="s">
        <v>51</v>
      </c>
      <c r="E358" t="s">
        <v>52</v>
      </c>
      <c r="F358" t="s">
        <v>18</v>
      </c>
      <c r="G358" s="1">
        <v>43538</v>
      </c>
      <c r="H358" s="1">
        <v>43554</v>
      </c>
      <c r="I358" t="s">
        <v>1442</v>
      </c>
      <c r="J358" t="s">
        <v>1443</v>
      </c>
      <c r="K358" t="s">
        <v>21</v>
      </c>
      <c r="L358" t="s">
        <v>30</v>
      </c>
      <c r="M358" t="s">
        <v>22</v>
      </c>
    </row>
    <row r="359" spans="1:13" x14ac:dyDescent="0.3">
      <c r="A359" t="s">
        <v>1444</v>
      </c>
      <c r="B359" t="s">
        <v>1445</v>
      </c>
      <c r="C359" t="s">
        <v>40</v>
      </c>
      <c r="D359" t="s">
        <v>34</v>
      </c>
      <c r="E359" t="s">
        <v>26</v>
      </c>
      <c r="F359" t="s">
        <v>18</v>
      </c>
      <c r="G359" s="1">
        <v>44907</v>
      </c>
      <c r="H359" s="1">
        <v>45266</v>
      </c>
      <c r="I359" t="s">
        <v>1446</v>
      </c>
      <c r="J359" t="s">
        <v>1447</v>
      </c>
      <c r="K359" t="s">
        <v>29</v>
      </c>
      <c r="L359" t="s">
        <v>116</v>
      </c>
      <c r="M359" t="s">
        <v>22</v>
      </c>
    </row>
    <row r="360" spans="1:13" x14ac:dyDescent="0.3">
      <c r="A360" t="s">
        <v>1448</v>
      </c>
      <c r="B360" t="s">
        <v>1449</v>
      </c>
      <c r="C360" t="s">
        <v>76</v>
      </c>
      <c r="D360" t="s">
        <v>41</v>
      </c>
      <c r="E360" t="s">
        <v>17</v>
      </c>
      <c r="F360" t="s">
        <v>18</v>
      </c>
      <c r="G360" s="1">
        <v>45232</v>
      </c>
      <c r="H360" s="1">
        <v>45343</v>
      </c>
      <c r="I360" t="s">
        <v>1450</v>
      </c>
      <c r="J360" t="s">
        <v>1451</v>
      </c>
      <c r="K360" t="s">
        <v>21</v>
      </c>
      <c r="M360" t="s">
        <v>22</v>
      </c>
    </row>
    <row r="361" spans="1:13" x14ac:dyDescent="0.3">
      <c r="A361" t="s">
        <v>1452</v>
      </c>
      <c r="B361" t="s">
        <v>1453</v>
      </c>
      <c r="C361" t="s">
        <v>181</v>
      </c>
      <c r="D361" t="s">
        <v>77</v>
      </c>
      <c r="E361" t="s">
        <v>52</v>
      </c>
      <c r="F361" t="s">
        <v>18</v>
      </c>
      <c r="G361" s="1">
        <v>45142</v>
      </c>
      <c r="H361" s="1">
        <v>45196</v>
      </c>
      <c r="I361" t="s">
        <v>1454</v>
      </c>
      <c r="J361" t="s">
        <v>1455</v>
      </c>
      <c r="K361" t="s">
        <v>37</v>
      </c>
      <c r="L361" t="s">
        <v>60</v>
      </c>
      <c r="M361" t="s">
        <v>22</v>
      </c>
    </row>
    <row r="362" spans="1:13" x14ac:dyDescent="0.3">
      <c r="A362" t="s">
        <v>1456</v>
      </c>
      <c r="B362" t="s">
        <v>1457</v>
      </c>
      <c r="C362" t="s">
        <v>15</v>
      </c>
      <c r="D362" t="s">
        <v>25</v>
      </c>
      <c r="E362" t="s">
        <v>26</v>
      </c>
      <c r="F362" t="s">
        <v>18</v>
      </c>
      <c r="G362" s="1">
        <v>44270</v>
      </c>
      <c r="H362" s="1">
        <v>43792</v>
      </c>
      <c r="I362" t="s">
        <v>1458</v>
      </c>
      <c r="J362" t="s">
        <v>1459</v>
      </c>
      <c r="K362" t="s">
        <v>21</v>
      </c>
      <c r="L362" t="s">
        <v>91</v>
      </c>
      <c r="M362" t="s">
        <v>22</v>
      </c>
    </row>
    <row r="363" spans="1:13" x14ac:dyDescent="0.3">
      <c r="A363" t="s">
        <v>1460</v>
      </c>
      <c r="B363" t="s">
        <v>1461</v>
      </c>
      <c r="C363" t="s">
        <v>33</v>
      </c>
      <c r="D363" t="s">
        <v>16</v>
      </c>
      <c r="E363" t="s">
        <v>17</v>
      </c>
      <c r="F363" t="s">
        <v>18</v>
      </c>
      <c r="G363" s="1">
        <v>45556</v>
      </c>
      <c r="H363" s="1">
        <v>45880</v>
      </c>
      <c r="I363" t="s">
        <v>1462</v>
      </c>
      <c r="J363" t="s">
        <v>1463</v>
      </c>
      <c r="K363" t="s">
        <v>37</v>
      </c>
      <c r="L363" t="s">
        <v>116</v>
      </c>
      <c r="M363" t="s">
        <v>22</v>
      </c>
    </row>
    <row r="364" spans="1:13" x14ac:dyDescent="0.3">
      <c r="A364" t="s">
        <v>1464</v>
      </c>
      <c r="B364" t="s">
        <v>1465</v>
      </c>
      <c r="C364" t="s">
        <v>181</v>
      </c>
      <c r="D364" t="s">
        <v>77</v>
      </c>
      <c r="E364" t="s">
        <v>26</v>
      </c>
      <c r="F364" t="s">
        <v>18</v>
      </c>
      <c r="G364" s="2">
        <v>44562</v>
      </c>
      <c r="H364" s="1">
        <v>44178</v>
      </c>
      <c r="I364" t="s">
        <v>1466</v>
      </c>
      <c r="J364" t="s">
        <v>1467</v>
      </c>
      <c r="K364" t="s">
        <v>29</v>
      </c>
      <c r="L364" t="s">
        <v>30</v>
      </c>
      <c r="M364" t="s">
        <v>22</v>
      </c>
    </row>
    <row r="365" spans="1:13" x14ac:dyDescent="0.3">
      <c r="A365" t="s">
        <v>1468</v>
      </c>
      <c r="B365" t="s">
        <v>1469</v>
      </c>
      <c r="C365" t="s">
        <v>15</v>
      </c>
      <c r="D365" t="s">
        <v>34</v>
      </c>
      <c r="E365" t="s">
        <v>26</v>
      </c>
      <c r="F365" t="s">
        <v>151</v>
      </c>
      <c r="G365" s="1">
        <v>45187</v>
      </c>
      <c r="H365" s="1">
        <v>45378</v>
      </c>
      <c r="I365" t="s">
        <v>1470</v>
      </c>
      <c r="J365" t="s">
        <v>1471</v>
      </c>
      <c r="K365" t="s">
        <v>21</v>
      </c>
      <c r="L365" t="s">
        <v>30</v>
      </c>
      <c r="M365" t="s">
        <v>22</v>
      </c>
    </row>
    <row r="366" spans="1:13" x14ac:dyDescent="0.3">
      <c r="A366" t="s">
        <v>1472</v>
      </c>
      <c r="B366" t="s">
        <v>1473</v>
      </c>
      <c r="C366" t="s">
        <v>15</v>
      </c>
      <c r="D366" t="s">
        <v>41</v>
      </c>
      <c r="E366" t="s">
        <v>17</v>
      </c>
      <c r="F366" t="s">
        <v>151</v>
      </c>
      <c r="G366" s="1">
        <v>43614</v>
      </c>
      <c r="H366" s="1">
        <v>43817</v>
      </c>
      <c r="I366" t="s">
        <v>1474</v>
      </c>
      <c r="J366" t="s">
        <v>1475</v>
      </c>
      <c r="K366" t="s">
        <v>29</v>
      </c>
      <c r="L366" t="s">
        <v>60</v>
      </c>
      <c r="M366" t="s">
        <v>22</v>
      </c>
    </row>
    <row r="367" spans="1:13" x14ac:dyDescent="0.3">
      <c r="A367" t="s">
        <v>1476</v>
      </c>
      <c r="B367" t="s">
        <v>1477</v>
      </c>
      <c r="C367" t="s">
        <v>46</v>
      </c>
      <c r="D367" t="s">
        <v>67</v>
      </c>
      <c r="E367" t="s">
        <v>26</v>
      </c>
      <c r="F367" t="s">
        <v>151</v>
      </c>
      <c r="G367" s="1">
        <v>44521</v>
      </c>
      <c r="H367" s="1">
        <v>44697</v>
      </c>
      <c r="I367" t="s">
        <v>1478</v>
      </c>
      <c r="J367" t="s">
        <v>1479</v>
      </c>
      <c r="K367" t="s">
        <v>90</v>
      </c>
      <c r="L367" t="s">
        <v>116</v>
      </c>
      <c r="M367" t="s">
        <v>22</v>
      </c>
    </row>
    <row r="368" spans="1:13" x14ac:dyDescent="0.3">
      <c r="A368" t="s">
        <v>1480</v>
      </c>
      <c r="B368" t="s">
        <v>1481</v>
      </c>
      <c r="C368" t="s">
        <v>76</v>
      </c>
      <c r="D368" t="s">
        <v>67</v>
      </c>
      <c r="E368" t="s">
        <v>26</v>
      </c>
      <c r="F368" t="s">
        <v>18</v>
      </c>
      <c r="G368" s="1">
        <v>44332</v>
      </c>
      <c r="H368" s="1">
        <v>44408</v>
      </c>
      <c r="I368" t="s">
        <v>1482</v>
      </c>
      <c r="J368" t="s">
        <v>1483</v>
      </c>
      <c r="K368" t="s">
        <v>29</v>
      </c>
      <c r="L368" t="s">
        <v>91</v>
      </c>
      <c r="M368" t="s">
        <v>22</v>
      </c>
    </row>
    <row r="369" spans="1:13" x14ac:dyDescent="0.3">
      <c r="A369" t="s">
        <v>1484</v>
      </c>
      <c r="B369" t="s">
        <v>1485</v>
      </c>
      <c r="C369" t="s">
        <v>87</v>
      </c>
      <c r="D369" t="s">
        <v>16</v>
      </c>
      <c r="E369" t="s">
        <v>17</v>
      </c>
      <c r="F369" t="s">
        <v>18</v>
      </c>
      <c r="G369" s="1">
        <v>43676</v>
      </c>
      <c r="H369" s="1">
        <v>43823</v>
      </c>
      <c r="I369" t="s">
        <v>1486</v>
      </c>
      <c r="J369" t="s">
        <v>1439</v>
      </c>
      <c r="K369" t="s">
        <v>29</v>
      </c>
      <c r="L369" t="s">
        <v>60</v>
      </c>
      <c r="M369" t="s">
        <v>22</v>
      </c>
    </row>
    <row r="370" spans="1:13" x14ac:dyDescent="0.3">
      <c r="A370" t="s">
        <v>483</v>
      </c>
      <c r="B370" t="s">
        <v>484</v>
      </c>
      <c r="C370" t="s">
        <v>76</v>
      </c>
      <c r="D370" t="s">
        <v>16</v>
      </c>
      <c r="E370" t="s">
        <v>17</v>
      </c>
      <c r="F370" t="s">
        <v>160</v>
      </c>
      <c r="G370" s="1">
        <v>45006</v>
      </c>
      <c r="I370" t="s">
        <v>485</v>
      </c>
      <c r="J370" t="s">
        <v>486</v>
      </c>
      <c r="K370" t="s">
        <v>90</v>
      </c>
      <c r="L370" t="s">
        <v>60</v>
      </c>
      <c r="M370" t="s">
        <v>22</v>
      </c>
    </row>
    <row r="371" spans="1:13" x14ac:dyDescent="0.3">
      <c r="A371" t="s">
        <v>1487</v>
      </c>
      <c r="B371" t="s">
        <v>1488</v>
      </c>
      <c r="C371" t="s">
        <v>181</v>
      </c>
      <c r="D371" t="s">
        <v>41</v>
      </c>
      <c r="E371" t="s">
        <v>17</v>
      </c>
      <c r="F371" t="s">
        <v>18</v>
      </c>
      <c r="G371" s="1">
        <v>43723</v>
      </c>
      <c r="H371" s="1">
        <v>44043</v>
      </c>
      <c r="I371" t="s">
        <v>1489</v>
      </c>
      <c r="J371" t="s">
        <v>1490</v>
      </c>
      <c r="K371" t="s">
        <v>21</v>
      </c>
      <c r="L371" t="s">
        <v>30</v>
      </c>
      <c r="M371" t="s">
        <v>22</v>
      </c>
    </row>
    <row r="372" spans="1:13" x14ac:dyDescent="0.3">
      <c r="A372" t="s">
        <v>1491</v>
      </c>
      <c r="B372" t="s">
        <v>1492</v>
      </c>
      <c r="C372" t="s">
        <v>46</v>
      </c>
      <c r="D372" t="s">
        <v>51</v>
      </c>
      <c r="E372" t="s">
        <v>52</v>
      </c>
      <c r="F372" t="s">
        <v>18</v>
      </c>
      <c r="G372" s="1">
        <v>45477</v>
      </c>
      <c r="H372" s="1">
        <v>45579</v>
      </c>
      <c r="I372" t="s">
        <v>1493</v>
      </c>
      <c r="J372" t="s">
        <v>1494</v>
      </c>
      <c r="K372" t="s">
        <v>90</v>
      </c>
      <c r="L372" t="s">
        <v>30</v>
      </c>
      <c r="M372" t="s">
        <v>22</v>
      </c>
    </row>
    <row r="373" spans="1:13" x14ac:dyDescent="0.3">
      <c r="A373" t="s">
        <v>1495</v>
      </c>
      <c r="B373" t="s">
        <v>1496</v>
      </c>
      <c r="C373" t="s">
        <v>33</v>
      </c>
      <c r="D373" t="s">
        <v>25</v>
      </c>
      <c r="E373" t="s">
        <v>26</v>
      </c>
      <c r="F373" t="s">
        <v>18</v>
      </c>
      <c r="G373" s="1">
        <v>44535</v>
      </c>
      <c r="H373" s="1">
        <v>44626</v>
      </c>
      <c r="I373" t="s">
        <v>1497</v>
      </c>
      <c r="J373" t="s">
        <v>1498</v>
      </c>
      <c r="K373" t="s">
        <v>90</v>
      </c>
      <c r="L373" t="s">
        <v>60</v>
      </c>
      <c r="M373" t="s">
        <v>22</v>
      </c>
    </row>
    <row r="374" spans="1:13" x14ac:dyDescent="0.3">
      <c r="A374" t="s">
        <v>1499</v>
      </c>
      <c r="B374" t="s">
        <v>1500</v>
      </c>
      <c r="C374" t="s">
        <v>76</v>
      </c>
      <c r="D374" t="s">
        <v>25</v>
      </c>
      <c r="E374" t="s">
        <v>26</v>
      </c>
      <c r="F374" t="s">
        <v>160</v>
      </c>
      <c r="G374" s="1">
        <v>44952</v>
      </c>
      <c r="H374" s="1">
        <v>44995</v>
      </c>
      <c r="I374" t="s">
        <v>1501</v>
      </c>
      <c r="J374" t="s">
        <v>1502</v>
      </c>
      <c r="K374" t="s">
        <v>37</v>
      </c>
      <c r="L374" t="s">
        <v>30</v>
      </c>
      <c r="M374" t="s">
        <v>22</v>
      </c>
    </row>
    <row r="375" spans="1:13" x14ac:dyDescent="0.3">
      <c r="A375" t="s">
        <v>1503</v>
      </c>
      <c r="B375" t="s">
        <v>1504</v>
      </c>
      <c r="C375" t="s">
        <v>46</v>
      </c>
      <c r="D375" t="s">
        <v>51</v>
      </c>
      <c r="E375" t="s">
        <v>52</v>
      </c>
      <c r="F375" t="s">
        <v>151</v>
      </c>
      <c r="G375" s="1">
        <v>44675</v>
      </c>
      <c r="H375" s="1">
        <v>44686</v>
      </c>
      <c r="J375" t="s">
        <v>1505</v>
      </c>
      <c r="K375" t="s">
        <v>90</v>
      </c>
      <c r="L375" t="s">
        <v>91</v>
      </c>
      <c r="M375" t="s">
        <v>22</v>
      </c>
    </row>
    <row r="376" spans="1:13" x14ac:dyDescent="0.3">
      <c r="A376" t="s">
        <v>1506</v>
      </c>
      <c r="B376" t="s">
        <v>1507</v>
      </c>
      <c r="C376" t="s">
        <v>33</v>
      </c>
      <c r="D376" t="s">
        <v>41</v>
      </c>
      <c r="E376" t="s">
        <v>17</v>
      </c>
      <c r="F376" t="s">
        <v>160</v>
      </c>
      <c r="G376" s="1">
        <v>44577</v>
      </c>
      <c r="H376" s="1">
        <v>44604</v>
      </c>
      <c r="I376" t="s">
        <v>1508</v>
      </c>
      <c r="J376" t="s">
        <v>1509</v>
      </c>
      <c r="K376" t="s">
        <v>90</v>
      </c>
      <c r="L376" t="s">
        <v>30</v>
      </c>
      <c r="M376" t="s">
        <v>22</v>
      </c>
    </row>
    <row r="377" spans="1:13" x14ac:dyDescent="0.3">
      <c r="A377" t="s">
        <v>1510</v>
      </c>
      <c r="B377" t="s">
        <v>1511</v>
      </c>
      <c r="C377" t="s">
        <v>40</v>
      </c>
      <c r="D377" t="s">
        <v>16</v>
      </c>
      <c r="E377" t="s">
        <v>17</v>
      </c>
      <c r="F377" t="s">
        <v>18</v>
      </c>
      <c r="G377" s="1">
        <v>43546</v>
      </c>
      <c r="H377" s="1">
        <v>43840</v>
      </c>
      <c r="I377" t="s">
        <v>1512</v>
      </c>
      <c r="J377" t="s">
        <v>1513</v>
      </c>
      <c r="K377" t="s">
        <v>90</v>
      </c>
      <c r="L377" t="s">
        <v>116</v>
      </c>
      <c r="M377" t="s">
        <v>22</v>
      </c>
    </row>
    <row r="378" spans="1:13" x14ac:dyDescent="0.3">
      <c r="A378" t="s">
        <v>1514</v>
      </c>
      <c r="B378" t="s">
        <v>1515</v>
      </c>
      <c r="C378" t="s">
        <v>33</v>
      </c>
      <c r="D378" t="s">
        <v>77</v>
      </c>
      <c r="E378" t="s">
        <v>52</v>
      </c>
      <c r="F378" t="s">
        <v>18</v>
      </c>
      <c r="G378" s="1">
        <v>43734</v>
      </c>
      <c r="H378" s="1">
        <v>43981</v>
      </c>
      <c r="I378" t="s">
        <v>1516</v>
      </c>
      <c r="J378" t="s">
        <v>1517</v>
      </c>
      <c r="K378" t="s">
        <v>37</v>
      </c>
      <c r="L378" t="s">
        <v>60</v>
      </c>
      <c r="M378" t="s">
        <v>22</v>
      </c>
    </row>
    <row r="379" spans="1:13" x14ac:dyDescent="0.3">
      <c r="A379" t="s">
        <v>1518</v>
      </c>
      <c r="B379" t="s">
        <v>1519</v>
      </c>
      <c r="C379" t="s">
        <v>1310</v>
      </c>
      <c r="D379" t="s">
        <v>67</v>
      </c>
      <c r="E379" t="s">
        <v>26</v>
      </c>
      <c r="F379" t="s">
        <v>18</v>
      </c>
      <c r="G379" s="1">
        <v>44934</v>
      </c>
      <c r="H379" s="1">
        <v>45247</v>
      </c>
      <c r="I379" t="s">
        <v>1520</v>
      </c>
      <c r="J379" t="s">
        <v>1521</v>
      </c>
      <c r="K379" t="s">
        <v>21</v>
      </c>
      <c r="L379" t="s">
        <v>30</v>
      </c>
      <c r="M379" t="s">
        <v>22</v>
      </c>
    </row>
    <row r="380" spans="1:13" x14ac:dyDescent="0.3">
      <c r="A380" t="s">
        <v>1522</v>
      </c>
      <c r="B380" t="s">
        <v>1523</v>
      </c>
      <c r="C380" t="s">
        <v>40</v>
      </c>
      <c r="D380" t="s">
        <v>25</v>
      </c>
      <c r="E380" t="s">
        <v>26</v>
      </c>
      <c r="F380" t="s">
        <v>18</v>
      </c>
      <c r="G380" s="1">
        <v>45453</v>
      </c>
      <c r="H380" s="1">
        <v>45687</v>
      </c>
      <c r="I380" t="s">
        <v>1524</v>
      </c>
      <c r="J380" t="s">
        <v>1525</v>
      </c>
      <c r="K380" t="s">
        <v>37</v>
      </c>
      <c r="L380" t="s">
        <v>60</v>
      </c>
      <c r="M380" t="s">
        <v>22</v>
      </c>
    </row>
    <row r="381" spans="1:13" x14ac:dyDescent="0.3">
      <c r="A381" t="s">
        <v>1526</v>
      </c>
      <c r="B381" t="s">
        <v>1527</v>
      </c>
      <c r="C381" t="s">
        <v>15</v>
      </c>
      <c r="D381" t="s">
        <v>41</v>
      </c>
      <c r="E381" t="s">
        <v>17</v>
      </c>
      <c r="F381" t="s">
        <v>151</v>
      </c>
      <c r="G381" s="1">
        <v>44109</v>
      </c>
      <c r="H381" s="1">
        <v>44258</v>
      </c>
      <c r="I381" t="s">
        <v>1528</v>
      </c>
      <c r="J381" t="s">
        <v>1529</v>
      </c>
      <c r="K381" t="s">
        <v>21</v>
      </c>
      <c r="M381" t="s">
        <v>22</v>
      </c>
    </row>
    <row r="382" spans="1:13" x14ac:dyDescent="0.3">
      <c r="A382" t="s">
        <v>1530</v>
      </c>
      <c r="B382" t="s">
        <v>1531</v>
      </c>
      <c r="C382" t="s">
        <v>40</v>
      </c>
      <c r="D382" t="s">
        <v>51</v>
      </c>
      <c r="E382" t="s">
        <v>52</v>
      </c>
      <c r="F382" t="s">
        <v>151</v>
      </c>
      <c r="G382" s="1">
        <v>45329</v>
      </c>
      <c r="H382" s="1">
        <v>45475</v>
      </c>
      <c r="I382" t="s">
        <v>1532</v>
      </c>
      <c r="J382" t="s">
        <v>1533</v>
      </c>
      <c r="K382" t="s">
        <v>37</v>
      </c>
      <c r="L382" t="s">
        <v>55</v>
      </c>
      <c r="M382" t="s">
        <v>22</v>
      </c>
    </row>
    <row r="383" spans="1:13" x14ac:dyDescent="0.3">
      <c r="A383" t="s">
        <v>1534</v>
      </c>
      <c r="B383" t="s">
        <v>1535</v>
      </c>
      <c r="C383" t="s">
        <v>76</v>
      </c>
      <c r="D383" t="s">
        <v>16</v>
      </c>
      <c r="E383" t="s">
        <v>17</v>
      </c>
      <c r="F383" t="s">
        <v>18</v>
      </c>
      <c r="G383" s="1">
        <v>44452</v>
      </c>
      <c r="H383" s="1">
        <v>44621</v>
      </c>
      <c r="I383" t="s">
        <v>736</v>
      </c>
      <c r="J383" t="s">
        <v>1536</v>
      </c>
      <c r="K383" t="s">
        <v>37</v>
      </c>
      <c r="L383" t="s">
        <v>91</v>
      </c>
      <c r="M383" t="s">
        <v>22</v>
      </c>
    </row>
    <row r="384" spans="1:13" x14ac:dyDescent="0.3">
      <c r="A384" t="s">
        <v>1537</v>
      </c>
      <c r="B384" t="s">
        <v>1538</v>
      </c>
      <c r="C384" t="s">
        <v>46</v>
      </c>
      <c r="D384" t="s">
        <v>77</v>
      </c>
      <c r="F384" t="s">
        <v>160</v>
      </c>
      <c r="G384" s="1">
        <v>43758</v>
      </c>
      <c r="H384" s="1">
        <v>43798</v>
      </c>
      <c r="I384" t="s">
        <v>1539</v>
      </c>
      <c r="J384" t="s">
        <v>1540</v>
      </c>
      <c r="K384" t="s">
        <v>37</v>
      </c>
      <c r="L384" t="s">
        <v>116</v>
      </c>
      <c r="M384" t="s">
        <v>22</v>
      </c>
    </row>
    <row r="385" spans="1:13" x14ac:dyDescent="0.3">
      <c r="A385" t="s">
        <v>1541</v>
      </c>
      <c r="B385" t="s">
        <v>1542</v>
      </c>
      <c r="C385" t="s">
        <v>40</v>
      </c>
      <c r="D385" t="s">
        <v>34</v>
      </c>
      <c r="E385" t="s">
        <v>26</v>
      </c>
      <c r="F385" t="s">
        <v>151</v>
      </c>
      <c r="G385" s="1">
        <v>44206</v>
      </c>
      <c r="H385" s="1">
        <v>44387</v>
      </c>
      <c r="I385" t="s">
        <v>1543</v>
      </c>
      <c r="J385" t="s">
        <v>1544</v>
      </c>
      <c r="K385" t="s">
        <v>37</v>
      </c>
      <c r="L385" t="s">
        <v>91</v>
      </c>
      <c r="M385" t="s">
        <v>22</v>
      </c>
    </row>
    <row r="386" spans="1:13" x14ac:dyDescent="0.3">
      <c r="A386" t="s">
        <v>306</v>
      </c>
      <c r="B386" t="s">
        <v>307</v>
      </c>
      <c r="C386" t="s">
        <v>501</v>
      </c>
      <c r="D386" t="s">
        <v>16</v>
      </c>
      <c r="E386" t="s">
        <v>17</v>
      </c>
      <c r="F386" t="s">
        <v>18</v>
      </c>
      <c r="G386" s="1">
        <v>43608</v>
      </c>
      <c r="H386" s="1">
        <v>43947</v>
      </c>
      <c r="I386" t="s">
        <v>309</v>
      </c>
      <c r="J386" t="s">
        <v>310</v>
      </c>
      <c r="K386" t="s">
        <v>29</v>
      </c>
      <c r="L386" t="s">
        <v>91</v>
      </c>
      <c r="M386" t="s">
        <v>22</v>
      </c>
    </row>
    <row r="387" spans="1:13" x14ac:dyDescent="0.3">
      <c r="A387" t="s">
        <v>1545</v>
      </c>
      <c r="B387" t="s">
        <v>113</v>
      </c>
      <c r="C387" t="s">
        <v>87</v>
      </c>
      <c r="D387" t="s">
        <v>77</v>
      </c>
      <c r="E387" t="s">
        <v>52</v>
      </c>
      <c r="F387" t="s">
        <v>18</v>
      </c>
      <c r="G387" s="1">
        <v>45380</v>
      </c>
      <c r="H387" s="1">
        <v>45687</v>
      </c>
      <c r="I387" t="s">
        <v>1546</v>
      </c>
      <c r="J387" t="s">
        <v>1547</v>
      </c>
      <c r="K387" t="s">
        <v>29</v>
      </c>
      <c r="L387" t="s">
        <v>30</v>
      </c>
      <c r="M387" t="s">
        <v>22</v>
      </c>
    </row>
    <row r="388" spans="1:13" x14ac:dyDescent="0.3">
      <c r="A388" t="s">
        <v>1548</v>
      </c>
      <c r="B388" t="s">
        <v>1549</v>
      </c>
      <c r="C388" t="s">
        <v>15</v>
      </c>
      <c r="D388" t="s">
        <v>77</v>
      </c>
      <c r="E388" t="s">
        <v>52</v>
      </c>
      <c r="F388" t="s">
        <v>160</v>
      </c>
      <c r="G388" s="1">
        <v>44802</v>
      </c>
      <c r="H388" s="1">
        <v>44964</v>
      </c>
      <c r="I388" t="s">
        <v>1550</v>
      </c>
      <c r="J388" t="s">
        <v>1551</v>
      </c>
      <c r="K388" t="s">
        <v>37</v>
      </c>
      <c r="L388" t="s">
        <v>60</v>
      </c>
      <c r="M388" t="s">
        <v>22</v>
      </c>
    </row>
    <row r="389" spans="1:13" x14ac:dyDescent="0.3">
      <c r="A389" t="s">
        <v>1552</v>
      </c>
      <c r="B389" t="s">
        <v>1553</v>
      </c>
      <c r="C389" t="s">
        <v>15</v>
      </c>
      <c r="D389" t="s">
        <v>25</v>
      </c>
      <c r="E389" t="s">
        <v>26</v>
      </c>
      <c r="F389" t="s">
        <v>18</v>
      </c>
      <c r="G389" s="1">
        <v>45369</v>
      </c>
      <c r="H389" s="1">
        <v>45710</v>
      </c>
      <c r="I389" t="s">
        <v>1554</v>
      </c>
      <c r="J389" t="s">
        <v>1555</v>
      </c>
      <c r="K389" t="s">
        <v>21</v>
      </c>
      <c r="L389" t="s">
        <v>91</v>
      </c>
      <c r="M389" t="s">
        <v>22</v>
      </c>
    </row>
    <row r="390" spans="1:13" x14ac:dyDescent="0.3">
      <c r="A390" t="s">
        <v>1556</v>
      </c>
      <c r="B390" t="s">
        <v>1557</v>
      </c>
      <c r="C390" t="s">
        <v>76</v>
      </c>
      <c r="D390" t="s">
        <v>51</v>
      </c>
      <c r="E390" t="s">
        <v>52</v>
      </c>
      <c r="F390" t="s">
        <v>151</v>
      </c>
      <c r="G390" s="1">
        <v>44430</v>
      </c>
      <c r="H390" s="1">
        <v>44746</v>
      </c>
      <c r="I390" t="s">
        <v>1558</v>
      </c>
      <c r="J390" t="s">
        <v>1559</v>
      </c>
      <c r="K390" t="s">
        <v>29</v>
      </c>
      <c r="L390" t="s">
        <v>91</v>
      </c>
      <c r="M390" t="s">
        <v>22</v>
      </c>
    </row>
    <row r="391" spans="1:13" x14ac:dyDescent="0.3">
      <c r="A391" t="s">
        <v>1560</v>
      </c>
      <c r="B391" t="s">
        <v>1561</v>
      </c>
      <c r="C391" t="s">
        <v>181</v>
      </c>
      <c r="D391" t="s">
        <v>77</v>
      </c>
      <c r="E391" t="s">
        <v>52</v>
      </c>
      <c r="F391" t="s">
        <v>151</v>
      </c>
      <c r="G391" s="1">
        <v>43485</v>
      </c>
      <c r="H391" s="1">
        <v>43618</v>
      </c>
      <c r="I391" t="s">
        <v>1562</v>
      </c>
      <c r="J391" t="s">
        <v>1563</v>
      </c>
      <c r="K391" t="s">
        <v>90</v>
      </c>
      <c r="L391" t="s">
        <v>91</v>
      </c>
      <c r="M391" t="s">
        <v>22</v>
      </c>
    </row>
    <row r="392" spans="1:13" x14ac:dyDescent="0.3">
      <c r="A392" t="s">
        <v>1564</v>
      </c>
      <c r="B392" t="s">
        <v>1565</v>
      </c>
      <c r="C392" t="s">
        <v>40</v>
      </c>
      <c r="D392" t="s">
        <v>67</v>
      </c>
      <c r="E392" t="s">
        <v>26</v>
      </c>
      <c r="F392" t="s">
        <v>18</v>
      </c>
      <c r="G392" s="1">
        <v>44857</v>
      </c>
      <c r="H392" s="1">
        <v>45190</v>
      </c>
      <c r="I392" t="s">
        <v>1566</v>
      </c>
      <c r="J392" t="s">
        <v>1567</v>
      </c>
      <c r="K392" t="s">
        <v>29</v>
      </c>
      <c r="L392" t="s">
        <v>91</v>
      </c>
      <c r="M392" t="s">
        <v>22</v>
      </c>
    </row>
    <row r="393" spans="1:13" x14ac:dyDescent="0.3">
      <c r="A393" t="s">
        <v>1568</v>
      </c>
      <c r="B393" t="s">
        <v>1569</v>
      </c>
      <c r="C393" t="s">
        <v>76</v>
      </c>
      <c r="D393" t="s">
        <v>16</v>
      </c>
      <c r="E393" t="s">
        <v>17</v>
      </c>
      <c r="F393" t="s">
        <v>18</v>
      </c>
      <c r="G393" s="1">
        <v>43845</v>
      </c>
      <c r="H393" s="1">
        <v>44072</v>
      </c>
      <c r="I393" t="s">
        <v>1570</v>
      </c>
      <c r="J393" t="s">
        <v>1571</v>
      </c>
      <c r="K393" t="s">
        <v>21</v>
      </c>
      <c r="L393" t="s">
        <v>91</v>
      </c>
      <c r="M393" t="s">
        <v>22</v>
      </c>
    </row>
    <row r="394" spans="1:13" x14ac:dyDescent="0.3">
      <c r="A394" t="s">
        <v>1572</v>
      </c>
      <c r="B394" t="s">
        <v>1573</v>
      </c>
      <c r="C394" t="s">
        <v>87</v>
      </c>
      <c r="D394" t="s">
        <v>34</v>
      </c>
      <c r="E394" t="s">
        <v>26</v>
      </c>
      <c r="F394" t="s">
        <v>18</v>
      </c>
      <c r="G394" s="1">
        <v>44882</v>
      </c>
      <c r="H394" s="1">
        <v>44909</v>
      </c>
      <c r="I394" t="s">
        <v>1574</v>
      </c>
      <c r="J394" t="s">
        <v>1575</v>
      </c>
      <c r="K394" t="s">
        <v>37</v>
      </c>
      <c r="L394" t="s">
        <v>60</v>
      </c>
      <c r="M394" t="s">
        <v>22</v>
      </c>
    </row>
    <row r="395" spans="1:13" x14ac:dyDescent="0.3">
      <c r="A395" t="s">
        <v>1576</v>
      </c>
      <c r="B395" t="s">
        <v>1577</v>
      </c>
      <c r="C395" t="s">
        <v>40</v>
      </c>
      <c r="D395" t="s">
        <v>16</v>
      </c>
      <c r="E395" t="s">
        <v>17</v>
      </c>
      <c r="F395" t="s">
        <v>18</v>
      </c>
      <c r="G395" s="1">
        <v>44581</v>
      </c>
      <c r="H395" s="1">
        <v>44861</v>
      </c>
      <c r="I395" t="s">
        <v>1578</v>
      </c>
      <c r="J395" t="s">
        <v>1579</v>
      </c>
      <c r="K395" t="s">
        <v>37</v>
      </c>
      <c r="L395" t="s">
        <v>91</v>
      </c>
      <c r="M395" t="s">
        <v>22</v>
      </c>
    </row>
    <row r="396" spans="1:13" x14ac:dyDescent="0.3">
      <c r="A396" t="s">
        <v>1580</v>
      </c>
      <c r="B396" t="s">
        <v>1581</v>
      </c>
      <c r="C396" t="s">
        <v>33</v>
      </c>
      <c r="D396" t="s">
        <v>16</v>
      </c>
      <c r="E396" t="s">
        <v>17</v>
      </c>
      <c r="F396" t="s">
        <v>18</v>
      </c>
      <c r="G396" s="1">
        <v>45270</v>
      </c>
      <c r="H396" s="1">
        <v>45305</v>
      </c>
      <c r="J396" t="s">
        <v>1582</v>
      </c>
      <c r="K396" t="s">
        <v>21</v>
      </c>
      <c r="L396" t="s">
        <v>55</v>
      </c>
      <c r="M396" t="s">
        <v>22</v>
      </c>
    </row>
    <row r="397" spans="1:13" x14ac:dyDescent="0.3">
      <c r="A397" t="s">
        <v>1583</v>
      </c>
      <c r="B397" t="s">
        <v>1584</v>
      </c>
      <c r="C397" t="s">
        <v>87</v>
      </c>
      <c r="D397" t="s">
        <v>16</v>
      </c>
      <c r="E397" t="s">
        <v>17</v>
      </c>
      <c r="F397" t="s">
        <v>18</v>
      </c>
      <c r="G397" s="1">
        <v>44464</v>
      </c>
      <c r="H397" s="1">
        <v>44486</v>
      </c>
      <c r="I397" t="s">
        <v>1585</v>
      </c>
      <c r="J397" t="s">
        <v>1586</v>
      </c>
      <c r="K397" t="s">
        <v>37</v>
      </c>
      <c r="M397" t="s">
        <v>22</v>
      </c>
    </row>
    <row r="398" spans="1:13" x14ac:dyDescent="0.3">
      <c r="A398" t="s">
        <v>1587</v>
      </c>
      <c r="B398" t="s">
        <v>1588</v>
      </c>
      <c r="C398" t="s">
        <v>33</v>
      </c>
      <c r="D398" t="s">
        <v>77</v>
      </c>
      <c r="E398" t="s">
        <v>52</v>
      </c>
      <c r="F398" t="s">
        <v>18</v>
      </c>
      <c r="G398" s="1">
        <v>45358</v>
      </c>
      <c r="H398" s="1">
        <v>45721</v>
      </c>
      <c r="I398" t="s">
        <v>1589</v>
      </c>
      <c r="J398" t="s">
        <v>1590</v>
      </c>
      <c r="K398" t="s">
        <v>37</v>
      </c>
      <c r="L398" t="s">
        <v>55</v>
      </c>
      <c r="M398" t="s">
        <v>22</v>
      </c>
    </row>
    <row r="399" spans="1:13" x14ac:dyDescent="0.3">
      <c r="A399" t="s">
        <v>1591</v>
      </c>
      <c r="C399" t="s">
        <v>40</v>
      </c>
      <c r="D399" t="s">
        <v>16</v>
      </c>
      <c r="E399" t="s">
        <v>17</v>
      </c>
      <c r="F399" t="s">
        <v>18</v>
      </c>
      <c r="G399" s="1">
        <v>45346</v>
      </c>
      <c r="H399" s="1">
        <v>45573</v>
      </c>
      <c r="I399" t="s">
        <v>1592</v>
      </c>
      <c r="J399" t="s">
        <v>1593</v>
      </c>
      <c r="K399" t="s">
        <v>90</v>
      </c>
      <c r="L399" t="s">
        <v>30</v>
      </c>
      <c r="M399" t="s">
        <v>22</v>
      </c>
    </row>
    <row r="400" spans="1:13" x14ac:dyDescent="0.3">
      <c r="A400" t="s">
        <v>1594</v>
      </c>
      <c r="B400" t="s">
        <v>1595</v>
      </c>
      <c r="C400" t="s">
        <v>87</v>
      </c>
      <c r="D400" t="s">
        <v>25</v>
      </c>
      <c r="E400" t="s">
        <v>26</v>
      </c>
      <c r="F400" t="s">
        <v>18</v>
      </c>
      <c r="G400" s="1">
        <v>43594</v>
      </c>
      <c r="H400" s="1">
        <v>43763</v>
      </c>
      <c r="I400" t="s">
        <v>1596</v>
      </c>
      <c r="J400" t="s">
        <v>1597</v>
      </c>
      <c r="K400" t="s">
        <v>37</v>
      </c>
      <c r="L400" t="s">
        <v>116</v>
      </c>
      <c r="M400" t="s">
        <v>22</v>
      </c>
    </row>
    <row r="401" spans="1:13" x14ac:dyDescent="0.3">
      <c r="A401" t="s">
        <v>1598</v>
      </c>
      <c r="B401" t="s">
        <v>1599</v>
      </c>
      <c r="C401" t="s">
        <v>33</v>
      </c>
      <c r="D401" t="s">
        <v>25</v>
      </c>
      <c r="E401" t="s">
        <v>26</v>
      </c>
      <c r="F401" t="s">
        <v>18</v>
      </c>
      <c r="G401" s="1">
        <v>44322</v>
      </c>
      <c r="H401" s="1">
        <v>44325</v>
      </c>
      <c r="I401" t="s">
        <v>1600</v>
      </c>
      <c r="J401" t="s">
        <v>1601</v>
      </c>
      <c r="K401" t="s">
        <v>90</v>
      </c>
      <c r="L401" t="s">
        <v>116</v>
      </c>
      <c r="M401" t="s">
        <v>22</v>
      </c>
    </row>
    <row r="402" spans="1:13" x14ac:dyDescent="0.3">
      <c r="A402" t="s">
        <v>1602</v>
      </c>
      <c r="B402" t="s">
        <v>1603</v>
      </c>
      <c r="C402" t="s">
        <v>76</v>
      </c>
      <c r="D402" t="s">
        <v>41</v>
      </c>
      <c r="E402" t="s">
        <v>17</v>
      </c>
      <c r="F402" t="s">
        <v>18</v>
      </c>
      <c r="G402" s="1">
        <v>45392</v>
      </c>
      <c r="H402" s="1">
        <v>45525</v>
      </c>
      <c r="I402" t="s">
        <v>1604</v>
      </c>
      <c r="J402" t="s">
        <v>1605</v>
      </c>
      <c r="K402" t="s">
        <v>21</v>
      </c>
      <c r="L402" t="s">
        <v>60</v>
      </c>
      <c r="M402" t="s">
        <v>22</v>
      </c>
    </row>
    <row r="403" spans="1:13" x14ac:dyDescent="0.3">
      <c r="A403" t="s">
        <v>1606</v>
      </c>
      <c r="B403" t="s">
        <v>1607</v>
      </c>
      <c r="C403" t="s">
        <v>46</v>
      </c>
      <c r="D403" t="s">
        <v>51</v>
      </c>
      <c r="E403" t="s">
        <v>52</v>
      </c>
      <c r="F403" t="s">
        <v>18</v>
      </c>
      <c r="G403" s="1">
        <v>45652</v>
      </c>
      <c r="H403" s="1">
        <v>45959</v>
      </c>
      <c r="I403" t="s">
        <v>1608</v>
      </c>
      <c r="J403" t="s">
        <v>881</v>
      </c>
      <c r="K403" t="s">
        <v>29</v>
      </c>
      <c r="L403" t="s">
        <v>91</v>
      </c>
      <c r="M403" t="s">
        <v>22</v>
      </c>
    </row>
    <row r="404" spans="1:13" x14ac:dyDescent="0.3">
      <c r="A404" t="s">
        <v>1609</v>
      </c>
      <c r="B404" t="s">
        <v>1610</v>
      </c>
      <c r="C404" t="s">
        <v>76</v>
      </c>
      <c r="D404" t="s">
        <v>34</v>
      </c>
      <c r="E404" t="s">
        <v>26</v>
      </c>
      <c r="F404" t="s">
        <v>18</v>
      </c>
      <c r="G404" s="1">
        <v>44027</v>
      </c>
      <c r="H404" s="1">
        <v>44241</v>
      </c>
      <c r="J404" t="s">
        <v>1611</v>
      </c>
      <c r="K404" t="s">
        <v>90</v>
      </c>
      <c r="L404" t="s">
        <v>116</v>
      </c>
      <c r="M404" t="s">
        <v>22</v>
      </c>
    </row>
    <row r="405" spans="1:13" x14ac:dyDescent="0.3">
      <c r="A405" t="s">
        <v>1612</v>
      </c>
      <c r="B405" t="s">
        <v>1613</v>
      </c>
      <c r="C405" t="s">
        <v>181</v>
      </c>
      <c r="D405" t="s">
        <v>77</v>
      </c>
      <c r="E405" t="s">
        <v>52</v>
      </c>
      <c r="F405" t="s">
        <v>18</v>
      </c>
      <c r="G405" s="1">
        <v>44552</v>
      </c>
      <c r="H405" s="1">
        <v>44890</v>
      </c>
      <c r="I405" t="s">
        <v>1614</v>
      </c>
      <c r="J405" t="s">
        <v>1615</v>
      </c>
      <c r="K405" t="s">
        <v>37</v>
      </c>
      <c r="L405" t="s">
        <v>60</v>
      </c>
      <c r="M405" t="s">
        <v>22</v>
      </c>
    </row>
    <row r="406" spans="1:13" x14ac:dyDescent="0.3">
      <c r="A406" t="s">
        <v>1616</v>
      </c>
      <c r="B406" t="s">
        <v>1617</v>
      </c>
      <c r="C406" t="s">
        <v>33</v>
      </c>
      <c r="D406" t="s">
        <v>16</v>
      </c>
      <c r="E406" t="s">
        <v>17</v>
      </c>
      <c r="F406" t="s">
        <v>160</v>
      </c>
      <c r="G406" s="1">
        <v>44276</v>
      </c>
      <c r="H406" s="1">
        <v>44493</v>
      </c>
      <c r="I406" t="s">
        <v>1618</v>
      </c>
      <c r="J406" t="s">
        <v>1619</v>
      </c>
      <c r="K406" t="s">
        <v>37</v>
      </c>
      <c r="M406" t="s">
        <v>22</v>
      </c>
    </row>
    <row r="407" spans="1:13" x14ac:dyDescent="0.3">
      <c r="A407" t="s">
        <v>1620</v>
      </c>
      <c r="B407" t="s">
        <v>1621</v>
      </c>
      <c r="C407" t="s">
        <v>46</v>
      </c>
      <c r="D407" t="s">
        <v>25</v>
      </c>
      <c r="E407" t="s">
        <v>26</v>
      </c>
      <c r="F407" t="s">
        <v>151</v>
      </c>
      <c r="G407" s="1">
        <v>44899</v>
      </c>
      <c r="H407" s="1">
        <v>45013</v>
      </c>
      <c r="I407" t="s">
        <v>1622</v>
      </c>
      <c r="J407" t="s">
        <v>1623</v>
      </c>
      <c r="K407" t="s">
        <v>90</v>
      </c>
      <c r="L407" t="s">
        <v>55</v>
      </c>
      <c r="M407" t="s">
        <v>22</v>
      </c>
    </row>
    <row r="408" spans="1:13" x14ac:dyDescent="0.3">
      <c r="A408" t="s">
        <v>1624</v>
      </c>
      <c r="B408" t="s">
        <v>1625</v>
      </c>
      <c r="C408" t="s">
        <v>87</v>
      </c>
      <c r="D408" t="s">
        <v>34</v>
      </c>
      <c r="E408" t="s">
        <v>26</v>
      </c>
      <c r="F408" t="s">
        <v>160</v>
      </c>
      <c r="G408" s="1">
        <v>44126</v>
      </c>
      <c r="H408" s="1">
        <v>44247</v>
      </c>
      <c r="I408" t="s">
        <v>1626</v>
      </c>
      <c r="J408" t="s">
        <v>1627</v>
      </c>
      <c r="K408" t="s">
        <v>29</v>
      </c>
      <c r="L408" t="s">
        <v>91</v>
      </c>
      <c r="M408" t="s">
        <v>22</v>
      </c>
    </row>
    <row r="409" spans="1:13" x14ac:dyDescent="0.3">
      <c r="A409" t="s">
        <v>1628</v>
      </c>
      <c r="B409" t="s">
        <v>1629</v>
      </c>
      <c r="C409" t="s">
        <v>76</v>
      </c>
      <c r="D409" t="s">
        <v>51</v>
      </c>
      <c r="E409" t="s">
        <v>52</v>
      </c>
      <c r="F409" t="s">
        <v>18</v>
      </c>
      <c r="G409" s="1">
        <v>44476</v>
      </c>
      <c r="H409" s="1">
        <v>44796</v>
      </c>
      <c r="I409" t="s">
        <v>1630</v>
      </c>
      <c r="J409" t="s">
        <v>1631</v>
      </c>
      <c r="K409" t="s">
        <v>21</v>
      </c>
      <c r="L409" t="s">
        <v>60</v>
      </c>
      <c r="M409" t="s">
        <v>22</v>
      </c>
    </row>
    <row r="410" spans="1:13" x14ac:dyDescent="0.3">
      <c r="A410" t="s">
        <v>1632</v>
      </c>
      <c r="B410" t="s">
        <v>1633</v>
      </c>
      <c r="C410" t="s">
        <v>538</v>
      </c>
      <c r="D410" t="s">
        <v>51</v>
      </c>
      <c r="E410" t="s">
        <v>52</v>
      </c>
      <c r="F410" t="s">
        <v>18</v>
      </c>
      <c r="G410" s="1">
        <v>44139</v>
      </c>
      <c r="H410" s="1">
        <v>44263</v>
      </c>
      <c r="I410" t="s">
        <v>1634</v>
      </c>
      <c r="J410" t="s">
        <v>1635</v>
      </c>
      <c r="K410" t="s">
        <v>37</v>
      </c>
      <c r="L410" t="s">
        <v>116</v>
      </c>
      <c r="M410" t="s">
        <v>22</v>
      </c>
    </row>
    <row r="411" spans="1:13" x14ac:dyDescent="0.3">
      <c r="A411" t="s">
        <v>1636</v>
      </c>
      <c r="B411" t="s">
        <v>1637</v>
      </c>
      <c r="C411" t="s">
        <v>46</v>
      </c>
      <c r="D411" t="s">
        <v>51</v>
      </c>
      <c r="E411" t="s">
        <v>52</v>
      </c>
      <c r="F411" t="s">
        <v>151</v>
      </c>
      <c r="G411" s="1">
        <v>44370</v>
      </c>
      <c r="H411" s="1">
        <v>44697</v>
      </c>
      <c r="I411" t="s">
        <v>1638</v>
      </c>
      <c r="J411" t="s">
        <v>960</v>
      </c>
      <c r="K411" t="s">
        <v>21</v>
      </c>
      <c r="L411" t="s">
        <v>55</v>
      </c>
      <c r="M411" t="s">
        <v>22</v>
      </c>
    </row>
    <row r="412" spans="1:13" x14ac:dyDescent="0.3">
      <c r="A412" t="s">
        <v>1639</v>
      </c>
      <c r="B412" t="s">
        <v>1640</v>
      </c>
      <c r="C412" t="s">
        <v>15</v>
      </c>
      <c r="D412" t="s">
        <v>77</v>
      </c>
      <c r="E412" t="s">
        <v>52</v>
      </c>
      <c r="F412" t="s">
        <v>18</v>
      </c>
      <c r="G412" s="1">
        <v>44185</v>
      </c>
      <c r="H412" s="1">
        <v>44436</v>
      </c>
      <c r="I412" t="s">
        <v>1641</v>
      </c>
      <c r="J412" t="s">
        <v>1642</v>
      </c>
      <c r="K412" t="s">
        <v>90</v>
      </c>
      <c r="L412" t="s">
        <v>55</v>
      </c>
      <c r="M412" t="s">
        <v>22</v>
      </c>
    </row>
    <row r="413" spans="1:13" x14ac:dyDescent="0.3">
      <c r="A413" t="s">
        <v>1643</v>
      </c>
      <c r="B413" t="s">
        <v>1644</v>
      </c>
      <c r="C413" t="s">
        <v>76</v>
      </c>
      <c r="D413" t="s">
        <v>51</v>
      </c>
      <c r="E413" t="s">
        <v>52</v>
      </c>
      <c r="F413" t="s">
        <v>18</v>
      </c>
      <c r="G413" s="1">
        <v>43811</v>
      </c>
      <c r="H413" s="1">
        <v>44146</v>
      </c>
      <c r="I413" t="s">
        <v>1645</v>
      </c>
      <c r="J413" t="s">
        <v>1646</v>
      </c>
      <c r="K413" t="s">
        <v>37</v>
      </c>
      <c r="L413" t="s">
        <v>55</v>
      </c>
      <c r="M413" t="s">
        <v>22</v>
      </c>
    </row>
    <row r="414" spans="1:13" x14ac:dyDescent="0.3">
      <c r="A414" t="s">
        <v>1647</v>
      </c>
      <c r="B414" t="s">
        <v>1648</v>
      </c>
      <c r="C414" t="s">
        <v>181</v>
      </c>
      <c r="D414" t="s">
        <v>34</v>
      </c>
      <c r="E414" t="s">
        <v>26</v>
      </c>
      <c r="F414" t="s">
        <v>18</v>
      </c>
      <c r="G414" s="1">
        <v>45010</v>
      </c>
      <c r="H414" s="1">
        <v>45047</v>
      </c>
      <c r="I414" t="s">
        <v>1649</v>
      </c>
      <c r="J414" t="s">
        <v>1650</v>
      </c>
      <c r="K414" t="s">
        <v>21</v>
      </c>
      <c r="L414" t="s">
        <v>91</v>
      </c>
      <c r="M414" t="s">
        <v>22</v>
      </c>
    </row>
    <row r="415" spans="1:13" x14ac:dyDescent="0.3">
      <c r="A415" t="s">
        <v>1651</v>
      </c>
      <c r="B415" t="s">
        <v>1652</v>
      </c>
      <c r="C415" t="s">
        <v>33</v>
      </c>
      <c r="D415" t="s">
        <v>77</v>
      </c>
      <c r="E415" t="s">
        <v>52</v>
      </c>
      <c r="F415" t="s">
        <v>18</v>
      </c>
      <c r="G415" s="1">
        <v>43479</v>
      </c>
      <c r="H415" s="1">
        <v>43613</v>
      </c>
      <c r="J415" t="s">
        <v>1653</v>
      </c>
      <c r="K415" t="s">
        <v>90</v>
      </c>
      <c r="M415" t="s">
        <v>22</v>
      </c>
    </row>
    <row r="416" spans="1:13" x14ac:dyDescent="0.3">
      <c r="A416" t="s">
        <v>1654</v>
      </c>
      <c r="B416" t="s">
        <v>1655</v>
      </c>
      <c r="C416" t="s">
        <v>15</v>
      </c>
      <c r="D416" t="s">
        <v>34</v>
      </c>
      <c r="E416" t="s">
        <v>26</v>
      </c>
      <c r="F416" t="s">
        <v>18</v>
      </c>
      <c r="G416" s="1">
        <v>45034</v>
      </c>
      <c r="H416" s="1">
        <v>45324</v>
      </c>
      <c r="I416" t="s">
        <v>1656</v>
      </c>
      <c r="J416" t="s">
        <v>1657</v>
      </c>
      <c r="K416" t="s">
        <v>21</v>
      </c>
      <c r="L416" t="s">
        <v>116</v>
      </c>
      <c r="M416" t="s">
        <v>22</v>
      </c>
    </row>
    <row r="417" spans="1:13" x14ac:dyDescent="0.3">
      <c r="A417" t="s">
        <v>1658</v>
      </c>
      <c r="B417" t="s">
        <v>1659</v>
      </c>
      <c r="C417" t="s">
        <v>46</v>
      </c>
      <c r="D417" t="s">
        <v>67</v>
      </c>
      <c r="E417" t="s">
        <v>26</v>
      </c>
      <c r="F417" t="s">
        <v>160</v>
      </c>
      <c r="G417" s="1">
        <v>44095</v>
      </c>
      <c r="H417" s="1">
        <v>44122</v>
      </c>
      <c r="I417" t="s">
        <v>1660</v>
      </c>
      <c r="K417" t="s">
        <v>21</v>
      </c>
      <c r="L417" t="s">
        <v>60</v>
      </c>
      <c r="M417" t="s">
        <v>22</v>
      </c>
    </row>
    <row r="418" spans="1:13" x14ac:dyDescent="0.3">
      <c r="A418" t="s">
        <v>1661</v>
      </c>
      <c r="B418" t="s">
        <v>1662</v>
      </c>
      <c r="C418" t="s">
        <v>33</v>
      </c>
      <c r="D418" t="s">
        <v>77</v>
      </c>
      <c r="E418" t="s">
        <v>52</v>
      </c>
      <c r="F418" t="s">
        <v>18</v>
      </c>
      <c r="G418" s="1">
        <v>44165</v>
      </c>
      <c r="H418" s="1">
        <v>44309</v>
      </c>
      <c r="I418" t="s">
        <v>1663</v>
      </c>
      <c r="J418" t="s">
        <v>1664</v>
      </c>
      <c r="K418" t="s">
        <v>90</v>
      </c>
      <c r="L418" t="s">
        <v>30</v>
      </c>
      <c r="M418" t="s">
        <v>22</v>
      </c>
    </row>
    <row r="419" spans="1:13" x14ac:dyDescent="0.3">
      <c r="A419" t="s">
        <v>1665</v>
      </c>
      <c r="B419" t="s">
        <v>715</v>
      </c>
      <c r="C419" t="s">
        <v>87</v>
      </c>
      <c r="D419" t="s">
        <v>67</v>
      </c>
      <c r="E419" t="s">
        <v>26</v>
      </c>
      <c r="F419" t="s">
        <v>160</v>
      </c>
      <c r="G419" s="1">
        <v>44316</v>
      </c>
      <c r="H419" s="1">
        <v>44341</v>
      </c>
      <c r="I419" t="s">
        <v>1666</v>
      </c>
      <c r="J419" t="s">
        <v>1667</v>
      </c>
      <c r="K419" t="s">
        <v>90</v>
      </c>
      <c r="M419" t="s">
        <v>22</v>
      </c>
    </row>
    <row r="420" spans="1:13" x14ac:dyDescent="0.3">
      <c r="A420" t="s">
        <v>1668</v>
      </c>
      <c r="B420" t="s">
        <v>1669</v>
      </c>
      <c r="C420" t="s">
        <v>971</v>
      </c>
      <c r="D420" t="s">
        <v>51</v>
      </c>
      <c r="E420" t="s">
        <v>52</v>
      </c>
      <c r="F420" t="s">
        <v>160</v>
      </c>
      <c r="G420" s="1">
        <v>44257</v>
      </c>
      <c r="H420" s="1">
        <v>44346</v>
      </c>
      <c r="I420" t="s">
        <v>1670</v>
      </c>
      <c r="J420" t="s">
        <v>1671</v>
      </c>
      <c r="K420" t="s">
        <v>21</v>
      </c>
      <c r="L420" t="s">
        <v>91</v>
      </c>
      <c r="M420" t="s">
        <v>22</v>
      </c>
    </row>
    <row r="421" spans="1:13" x14ac:dyDescent="0.3">
      <c r="A421" t="s">
        <v>1672</v>
      </c>
      <c r="B421" t="s">
        <v>1673</v>
      </c>
      <c r="C421" t="s">
        <v>33</v>
      </c>
      <c r="D421" t="s">
        <v>67</v>
      </c>
      <c r="E421" t="s">
        <v>26</v>
      </c>
      <c r="F421" t="s">
        <v>18</v>
      </c>
      <c r="G421" s="1">
        <v>43757</v>
      </c>
      <c r="H421" s="1">
        <v>43916</v>
      </c>
      <c r="I421" t="s">
        <v>1674</v>
      </c>
      <c r="J421" t="s">
        <v>1675</v>
      </c>
      <c r="K421" t="s">
        <v>21</v>
      </c>
      <c r="L421" t="s">
        <v>60</v>
      </c>
      <c r="M421" t="s">
        <v>22</v>
      </c>
    </row>
    <row r="422" spans="1:13" x14ac:dyDescent="0.3">
      <c r="A422" t="s">
        <v>1676</v>
      </c>
      <c r="B422" t="s">
        <v>1677</v>
      </c>
      <c r="C422" t="s">
        <v>40</v>
      </c>
      <c r="D422" t="s">
        <v>25</v>
      </c>
      <c r="E422" t="s">
        <v>26</v>
      </c>
      <c r="F422" t="s">
        <v>18</v>
      </c>
      <c r="G422" s="1">
        <v>45315</v>
      </c>
      <c r="H422" s="1">
        <v>45642</v>
      </c>
      <c r="I422" t="s">
        <v>1678</v>
      </c>
      <c r="J422" t="s">
        <v>1679</v>
      </c>
      <c r="K422" t="s">
        <v>37</v>
      </c>
      <c r="L422" t="s">
        <v>60</v>
      </c>
      <c r="M422" t="s">
        <v>22</v>
      </c>
    </row>
    <row r="423" spans="1:13" x14ac:dyDescent="0.3">
      <c r="A423" t="s">
        <v>1680</v>
      </c>
      <c r="B423" t="s">
        <v>1681</v>
      </c>
      <c r="C423" t="s">
        <v>181</v>
      </c>
      <c r="D423" t="s">
        <v>51</v>
      </c>
      <c r="E423" t="s">
        <v>52</v>
      </c>
      <c r="F423" t="s">
        <v>18</v>
      </c>
      <c r="G423" s="1">
        <v>44705</v>
      </c>
      <c r="H423" s="1">
        <v>44815</v>
      </c>
      <c r="I423" t="s">
        <v>1682</v>
      </c>
      <c r="J423" t="s">
        <v>1683</v>
      </c>
      <c r="K423" t="s">
        <v>37</v>
      </c>
      <c r="L423" t="s">
        <v>60</v>
      </c>
      <c r="M423" t="s">
        <v>22</v>
      </c>
    </row>
    <row r="424" spans="1:13" x14ac:dyDescent="0.3">
      <c r="A424" t="s">
        <v>1684</v>
      </c>
      <c r="B424" t="s">
        <v>1685</v>
      </c>
      <c r="C424" t="s">
        <v>76</v>
      </c>
      <c r="D424" t="s">
        <v>67</v>
      </c>
      <c r="E424" t="s">
        <v>26</v>
      </c>
      <c r="F424" t="s">
        <v>18</v>
      </c>
      <c r="G424" s="1">
        <v>45040</v>
      </c>
      <c r="H424" s="1">
        <v>45245</v>
      </c>
      <c r="I424" t="s">
        <v>1686</v>
      </c>
      <c r="J424" t="s">
        <v>1687</v>
      </c>
      <c r="K424" t="s">
        <v>29</v>
      </c>
      <c r="M424" t="s">
        <v>22</v>
      </c>
    </row>
    <row r="425" spans="1:13" x14ac:dyDescent="0.3">
      <c r="A425" t="s">
        <v>1688</v>
      </c>
      <c r="B425" t="s">
        <v>1689</v>
      </c>
      <c r="C425" t="s">
        <v>46</v>
      </c>
      <c r="D425" t="s">
        <v>25</v>
      </c>
      <c r="E425" t="s">
        <v>26</v>
      </c>
      <c r="F425" t="s">
        <v>18</v>
      </c>
      <c r="G425" s="1">
        <v>45160</v>
      </c>
      <c r="H425" s="1">
        <v>45376</v>
      </c>
      <c r="I425" t="s">
        <v>1690</v>
      </c>
      <c r="J425" t="s">
        <v>1691</v>
      </c>
      <c r="K425" t="s">
        <v>37</v>
      </c>
      <c r="L425" t="s">
        <v>116</v>
      </c>
      <c r="M425" t="s">
        <v>22</v>
      </c>
    </row>
    <row r="426" spans="1:13" x14ac:dyDescent="0.3">
      <c r="A426" t="s">
        <v>1692</v>
      </c>
      <c r="B426" t="s">
        <v>1693</v>
      </c>
      <c r="C426" t="s">
        <v>46</v>
      </c>
      <c r="D426" t="s">
        <v>34</v>
      </c>
      <c r="E426" t="s">
        <v>26</v>
      </c>
      <c r="F426" t="s">
        <v>160</v>
      </c>
      <c r="G426" s="1">
        <v>45328</v>
      </c>
      <c r="H426" s="1">
        <v>45374</v>
      </c>
      <c r="I426" t="s">
        <v>1694</v>
      </c>
      <c r="J426" t="s">
        <v>1695</v>
      </c>
      <c r="K426" t="s">
        <v>37</v>
      </c>
      <c r="M426" t="s">
        <v>22</v>
      </c>
    </row>
    <row r="427" spans="1:13" x14ac:dyDescent="0.3">
      <c r="A427" t="s">
        <v>1696</v>
      </c>
      <c r="B427" t="s">
        <v>1697</v>
      </c>
      <c r="C427" t="s">
        <v>46</v>
      </c>
      <c r="D427" t="s">
        <v>77</v>
      </c>
      <c r="E427" t="s">
        <v>52</v>
      </c>
      <c r="F427" t="s">
        <v>18</v>
      </c>
      <c r="G427" s="1">
        <v>44248</v>
      </c>
      <c r="H427" s="1">
        <v>44394</v>
      </c>
      <c r="I427" t="s">
        <v>1698</v>
      </c>
      <c r="J427" t="s">
        <v>1699</v>
      </c>
      <c r="K427" t="s">
        <v>29</v>
      </c>
      <c r="L427" t="s">
        <v>116</v>
      </c>
      <c r="M427" t="s">
        <v>22</v>
      </c>
    </row>
    <row r="428" spans="1:13" x14ac:dyDescent="0.3">
      <c r="A428" t="s">
        <v>1700</v>
      </c>
      <c r="B428" t="s">
        <v>1701</v>
      </c>
      <c r="C428" t="s">
        <v>76</v>
      </c>
      <c r="D428" t="s">
        <v>34</v>
      </c>
      <c r="E428" t="s">
        <v>26</v>
      </c>
      <c r="F428" t="s">
        <v>151</v>
      </c>
      <c r="G428" s="1">
        <v>44711</v>
      </c>
      <c r="H428" s="1">
        <v>44999</v>
      </c>
      <c r="I428" t="s">
        <v>1702</v>
      </c>
      <c r="J428" t="s">
        <v>1703</v>
      </c>
      <c r="K428" t="s">
        <v>21</v>
      </c>
      <c r="L428" t="s">
        <v>91</v>
      </c>
      <c r="M428" t="s">
        <v>22</v>
      </c>
    </row>
    <row r="429" spans="1:13" x14ac:dyDescent="0.3">
      <c r="A429" t="s">
        <v>1704</v>
      </c>
      <c r="B429" t="s">
        <v>1705</v>
      </c>
      <c r="C429" t="s">
        <v>15</v>
      </c>
      <c r="D429" t="s">
        <v>67</v>
      </c>
      <c r="E429" t="s">
        <v>26</v>
      </c>
      <c r="F429" t="s">
        <v>160</v>
      </c>
      <c r="G429" s="1">
        <v>45360</v>
      </c>
      <c r="H429" s="1">
        <v>45571</v>
      </c>
      <c r="I429" t="s">
        <v>1706</v>
      </c>
      <c r="J429" t="s">
        <v>1707</v>
      </c>
      <c r="K429" t="s">
        <v>29</v>
      </c>
      <c r="L429" t="s">
        <v>91</v>
      </c>
      <c r="M429" t="s">
        <v>22</v>
      </c>
    </row>
    <row r="430" spans="1:13" x14ac:dyDescent="0.3">
      <c r="A430" t="s">
        <v>1708</v>
      </c>
      <c r="C430" t="s">
        <v>181</v>
      </c>
      <c r="D430" t="s">
        <v>16</v>
      </c>
      <c r="E430" t="s">
        <v>17</v>
      </c>
      <c r="F430" t="s">
        <v>160</v>
      </c>
      <c r="G430" s="1">
        <v>44644</v>
      </c>
      <c r="H430" s="1">
        <v>44651</v>
      </c>
      <c r="I430" t="s">
        <v>1709</v>
      </c>
      <c r="J430" t="s">
        <v>1710</v>
      </c>
      <c r="K430" t="s">
        <v>29</v>
      </c>
      <c r="L430" t="s">
        <v>30</v>
      </c>
      <c r="M430" t="s">
        <v>22</v>
      </c>
    </row>
    <row r="431" spans="1:13" x14ac:dyDescent="0.3">
      <c r="A431" t="s">
        <v>1711</v>
      </c>
      <c r="B431" t="s">
        <v>1712</v>
      </c>
      <c r="C431" t="s">
        <v>33</v>
      </c>
      <c r="D431" t="s">
        <v>34</v>
      </c>
      <c r="E431" t="s">
        <v>26</v>
      </c>
      <c r="F431" t="s">
        <v>18</v>
      </c>
      <c r="G431" s="1">
        <v>44086</v>
      </c>
      <c r="H431" s="1">
        <v>44357</v>
      </c>
      <c r="I431" t="s">
        <v>1713</v>
      </c>
      <c r="J431" t="s">
        <v>1714</v>
      </c>
      <c r="K431" t="s">
        <v>37</v>
      </c>
      <c r="L431" t="s">
        <v>30</v>
      </c>
      <c r="M431" t="s">
        <v>22</v>
      </c>
    </row>
    <row r="432" spans="1:13" x14ac:dyDescent="0.3">
      <c r="A432" t="s">
        <v>1715</v>
      </c>
      <c r="B432" t="s">
        <v>1716</v>
      </c>
      <c r="C432" t="s">
        <v>87</v>
      </c>
      <c r="D432" t="s">
        <v>25</v>
      </c>
      <c r="E432" t="s">
        <v>26</v>
      </c>
      <c r="F432" t="s">
        <v>151</v>
      </c>
      <c r="G432" s="1">
        <v>44631</v>
      </c>
      <c r="H432" s="1">
        <v>44917</v>
      </c>
      <c r="I432" t="s">
        <v>1717</v>
      </c>
      <c r="J432" t="s">
        <v>1718</v>
      </c>
      <c r="K432" t="s">
        <v>29</v>
      </c>
      <c r="L432" t="s">
        <v>116</v>
      </c>
      <c r="M432" t="s">
        <v>22</v>
      </c>
    </row>
    <row r="433" spans="1:13" x14ac:dyDescent="0.3">
      <c r="A433" t="s">
        <v>1719</v>
      </c>
      <c r="B433" t="s">
        <v>1720</v>
      </c>
      <c r="C433" t="s">
        <v>15</v>
      </c>
      <c r="D433" t="s">
        <v>67</v>
      </c>
      <c r="E433" t="s">
        <v>26</v>
      </c>
      <c r="F433" t="s">
        <v>18</v>
      </c>
      <c r="G433" s="1">
        <v>44490</v>
      </c>
      <c r="H433" s="1">
        <v>44516</v>
      </c>
      <c r="I433" t="s">
        <v>1721</v>
      </c>
      <c r="J433" t="s">
        <v>1722</v>
      </c>
      <c r="K433" t="s">
        <v>90</v>
      </c>
      <c r="M433" t="s">
        <v>22</v>
      </c>
    </row>
    <row r="434" spans="1:13" x14ac:dyDescent="0.3">
      <c r="A434" t="s">
        <v>1723</v>
      </c>
      <c r="B434" t="s">
        <v>1724</v>
      </c>
      <c r="C434" t="s">
        <v>15</v>
      </c>
      <c r="D434" t="s">
        <v>51</v>
      </c>
      <c r="E434" t="s">
        <v>52</v>
      </c>
      <c r="F434" t="s">
        <v>18</v>
      </c>
      <c r="G434" s="1">
        <v>45651</v>
      </c>
      <c r="H434" s="1">
        <v>45983</v>
      </c>
      <c r="I434" t="s">
        <v>704</v>
      </c>
      <c r="J434" t="s">
        <v>1725</v>
      </c>
      <c r="K434" t="s">
        <v>29</v>
      </c>
      <c r="L434" t="s">
        <v>116</v>
      </c>
      <c r="M434" t="s">
        <v>22</v>
      </c>
    </row>
    <row r="435" spans="1:13" x14ac:dyDescent="0.3">
      <c r="A435" t="s">
        <v>1726</v>
      </c>
      <c r="B435" t="s">
        <v>1727</v>
      </c>
      <c r="C435" t="s">
        <v>76</v>
      </c>
      <c r="D435" t="s">
        <v>77</v>
      </c>
      <c r="E435" t="s">
        <v>52</v>
      </c>
      <c r="F435" t="s">
        <v>18</v>
      </c>
      <c r="G435" s="1">
        <v>45608</v>
      </c>
      <c r="H435" s="1">
        <v>45842</v>
      </c>
      <c r="I435" t="s">
        <v>1728</v>
      </c>
      <c r="J435" t="s">
        <v>1729</v>
      </c>
      <c r="K435" t="s">
        <v>37</v>
      </c>
      <c r="L435" t="s">
        <v>60</v>
      </c>
      <c r="M435" t="s">
        <v>22</v>
      </c>
    </row>
    <row r="436" spans="1:13" x14ac:dyDescent="0.3">
      <c r="A436" t="s">
        <v>1730</v>
      </c>
      <c r="B436" t="s">
        <v>1731</v>
      </c>
      <c r="C436" t="s">
        <v>181</v>
      </c>
      <c r="D436" t="s">
        <v>16</v>
      </c>
      <c r="E436" t="s">
        <v>17</v>
      </c>
      <c r="F436" t="s">
        <v>160</v>
      </c>
      <c r="G436" s="1">
        <v>43831</v>
      </c>
      <c r="H436" s="1">
        <v>44150</v>
      </c>
      <c r="I436" t="s">
        <v>177</v>
      </c>
      <c r="J436" t="s">
        <v>1732</v>
      </c>
      <c r="K436" t="s">
        <v>21</v>
      </c>
      <c r="L436" t="s">
        <v>55</v>
      </c>
      <c r="M436" t="s">
        <v>22</v>
      </c>
    </row>
    <row r="437" spans="1:13" x14ac:dyDescent="0.3">
      <c r="A437" t="s">
        <v>1733</v>
      </c>
      <c r="B437" t="s">
        <v>1734</v>
      </c>
      <c r="C437" t="s">
        <v>46</v>
      </c>
      <c r="D437" t="s">
        <v>16</v>
      </c>
      <c r="E437" t="s">
        <v>17</v>
      </c>
      <c r="F437" t="s">
        <v>18</v>
      </c>
      <c r="G437" s="1">
        <v>43811</v>
      </c>
      <c r="H437" s="1">
        <v>43885</v>
      </c>
      <c r="I437" t="s">
        <v>1735</v>
      </c>
      <c r="J437" t="s">
        <v>1736</v>
      </c>
      <c r="K437" t="s">
        <v>21</v>
      </c>
      <c r="L437" t="s">
        <v>30</v>
      </c>
      <c r="M437" t="s">
        <v>22</v>
      </c>
    </row>
    <row r="438" spans="1:13" x14ac:dyDescent="0.3">
      <c r="A438" t="s">
        <v>1737</v>
      </c>
      <c r="B438" t="s">
        <v>1738</v>
      </c>
      <c r="C438" t="s">
        <v>181</v>
      </c>
      <c r="D438" t="s">
        <v>41</v>
      </c>
      <c r="E438" t="s">
        <v>17</v>
      </c>
      <c r="F438" t="s">
        <v>151</v>
      </c>
      <c r="G438" s="1">
        <v>44255</v>
      </c>
      <c r="H438" s="1">
        <v>44319</v>
      </c>
      <c r="I438" t="s">
        <v>1739</v>
      </c>
      <c r="J438" t="s">
        <v>1740</v>
      </c>
      <c r="K438" t="s">
        <v>90</v>
      </c>
      <c r="M438" t="s">
        <v>22</v>
      </c>
    </row>
    <row r="439" spans="1:13" x14ac:dyDescent="0.3">
      <c r="A439" t="s">
        <v>1741</v>
      </c>
      <c r="B439" t="s">
        <v>1742</v>
      </c>
      <c r="C439" t="s">
        <v>76</v>
      </c>
      <c r="D439" t="s">
        <v>77</v>
      </c>
      <c r="E439" t="s">
        <v>52</v>
      </c>
      <c r="F439" t="s">
        <v>18</v>
      </c>
      <c r="G439" s="1">
        <v>44284</v>
      </c>
      <c r="H439" s="1">
        <v>44418</v>
      </c>
      <c r="I439" t="s">
        <v>1743</v>
      </c>
      <c r="J439" t="s">
        <v>1744</v>
      </c>
      <c r="K439" t="s">
        <v>29</v>
      </c>
      <c r="M439" t="s">
        <v>22</v>
      </c>
    </row>
    <row r="440" spans="1:13" x14ac:dyDescent="0.3">
      <c r="A440" t="s">
        <v>1745</v>
      </c>
      <c r="B440" t="s">
        <v>1746</v>
      </c>
      <c r="C440" t="s">
        <v>87</v>
      </c>
      <c r="D440" t="s">
        <v>41</v>
      </c>
      <c r="E440" t="s">
        <v>17</v>
      </c>
      <c r="F440" t="s">
        <v>18</v>
      </c>
      <c r="G440" s="1">
        <v>44224</v>
      </c>
      <c r="H440" s="1">
        <v>44322</v>
      </c>
      <c r="I440" t="s">
        <v>1747</v>
      </c>
      <c r="J440" t="s">
        <v>1748</v>
      </c>
      <c r="K440" t="s">
        <v>29</v>
      </c>
      <c r="M440" t="s">
        <v>22</v>
      </c>
    </row>
    <row r="441" spans="1:13" x14ac:dyDescent="0.3">
      <c r="A441" t="s">
        <v>1749</v>
      </c>
      <c r="B441" t="s">
        <v>590</v>
      </c>
      <c r="C441" t="s">
        <v>15</v>
      </c>
      <c r="D441" t="s">
        <v>25</v>
      </c>
      <c r="E441" t="s">
        <v>26</v>
      </c>
      <c r="F441" t="s">
        <v>18</v>
      </c>
      <c r="G441" s="1">
        <v>43774</v>
      </c>
      <c r="H441" s="1">
        <v>43846</v>
      </c>
      <c r="I441" t="s">
        <v>591</v>
      </c>
      <c r="J441" t="s">
        <v>1750</v>
      </c>
      <c r="K441" t="s">
        <v>29</v>
      </c>
      <c r="L441" t="s">
        <v>60</v>
      </c>
      <c r="M441" t="s">
        <v>22</v>
      </c>
    </row>
    <row r="442" spans="1:13" x14ac:dyDescent="0.3">
      <c r="A442" t="s">
        <v>1751</v>
      </c>
      <c r="B442" t="s">
        <v>875</v>
      </c>
      <c r="C442" t="s">
        <v>33</v>
      </c>
      <c r="D442" t="s">
        <v>77</v>
      </c>
      <c r="E442" t="s">
        <v>52</v>
      </c>
      <c r="F442" t="s">
        <v>160</v>
      </c>
      <c r="G442" s="1">
        <v>45229</v>
      </c>
      <c r="I442" t="s">
        <v>876</v>
      </c>
      <c r="J442" t="s">
        <v>1752</v>
      </c>
      <c r="K442" t="s">
        <v>37</v>
      </c>
      <c r="L442" t="s">
        <v>30</v>
      </c>
      <c r="M442" t="s">
        <v>22</v>
      </c>
    </row>
    <row r="443" spans="1:13" x14ac:dyDescent="0.3">
      <c r="A443" t="s">
        <v>1753</v>
      </c>
      <c r="B443" t="s">
        <v>1754</v>
      </c>
      <c r="C443" t="s">
        <v>33</v>
      </c>
      <c r="D443" t="s">
        <v>67</v>
      </c>
      <c r="E443" t="s">
        <v>26</v>
      </c>
      <c r="F443" t="s">
        <v>18</v>
      </c>
      <c r="G443" s="1">
        <v>44141</v>
      </c>
      <c r="H443" s="1">
        <v>44302</v>
      </c>
      <c r="I443" t="s">
        <v>1755</v>
      </c>
      <c r="J443" t="s">
        <v>1756</v>
      </c>
      <c r="K443" t="s">
        <v>21</v>
      </c>
      <c r="L443" t="s">
        <v>60</v>
      </c>
      <c r="M443" t="s">
        <v>22</v>
      </c>
    </row>
    <row r="444" spans="1:13" x14ac:dyDescent="0.3">
      <c r="A444" t="s">
        <v>1757</v>
      </c>
      <c r="B444" t="s">
        <v>1758</v>
      </c>
      <c r="C444" t="s">
        <v>15</v>
      </c>
      <c r="D444" t="s">
        <v>51</v>
      </c>
      <c r="E444" t="s">
        <v>26</v>
      </c>
      <c r="F444" t="s">
        <v>160</v>
      </c>
      <c r="G444" s="1">
        <v>44593</v>
      </c>
      <c r="H444" s="1">
        <v>44809</v>
      </c>
      <c r="I444" t="s">
        <v>1759</v>
      </c>
      <c r="J444" t="s">
        <v>1760</v>
      </c>
      <c r="K444" t="s">
        <v>21</v>
      </c>
      <c r="L444" t="s">
        <v>116</v>
      </c>
      <c r="M444" t="s">
        <v>22</v>
      </c>
    </row>
    <row r="445" spans="1:13" x14ac:dyDescent="0.3">
      <c r="A445" t="s">
        <v>1761</v>
      </c>
      <c r="B445" t="s">
        <v>1762</v>
      </c>
      <c r="C445" t="s">
        <v>501</v>
      </c>
      <c r="D445" t="s">
        <v>67</v>
      </c>
      <c r="E445" t="s">
        <v>26</v>
      </c>
      <c r="F445" t="s">
        <v>18</v>
      </c>
      <c r="G445" s="1">
        <v>44203</v>
      </c>
      <c r="H445" s="1">
        <v>44290</v>
      </c>
      <c r="I445" t="s">
        <v>1763</v>
      </c>
      <c r="J445" t="s">
        <v>1764</v>
      </c>
      <c r="K445" t="s">
        <v>21</v>
      </c>
      <c r="L445" t="s">
        <v>91</v>
      </c>
      <c r="M445" t="s">
        <v>22</v>
      </c>
    </row>
    <row r="446" spans="1:13" x14ac:dyDescent="0.3">
      <c r="A446" t="s">
        <v>1765</v>
      </c>
      <c r="B446" t="s">
        <v>1766</v>
      </c>
      <c r="C446" t="s">
        <v>76</v>
      </c>
      <c r="D446" t="s">
        <v>51</v>
      </c>
      <c r="E446" t="s">
        <v>52</v>
      </c>
      <c r="F446" t="s">
        <v>18</v>
      </c>
      <c r="G446" s="1">
        <v>45328</v>
      </c>
      <c r="H446" s="1">
        <v>45516</v>
      </c>
      <c r="I446" t="s">
        <v>1767</v>
      </c>
      <c r="J446" t="s">
        <v>1768</v>
      </c>
      <c r="K446" t="s">
        <v>29</v>
      </c>
      <c r="L446" t="s">
        <v>60</v>
      </c>
      <c r="M446" t="s">
        <v>22</v>
      </c>
    </row>
    <row r="447" spans="1:13" x14ac:dyDescent="0.3">
      <c r="A447" t="s">
        <v>1769</v>
      </c>
      <c r="B447" t="s">
        <v>1770</v>
      </c>
      <c r="C447" t="s">
        <v>87</v>
      </c>
      <c r="D447" t="s">
        <v>34</v>
      </c>
      <c r="E447" t="s">
        <v>26</v>
      </c>
      <c r="F447" t="s">
        <v>18</v>
      </c>
      <c r="G447" s="1">
        <v>44930</v>
      </c>
      <c r="H447" s="1">
        <v>45154</v>
      </c>
      <c r="I447" t="s">
        <v>1771</v>
      </c>
      <c r="J447" t="s">
        <v>1772</v>
      </c>
      <c r="K447" t="s">
        <v>90</v>
      </c>
      <c r="L447" t="s">
        <v>116</v>
      </c>
      <c r="M447" t="s">
        <v>22</v>
      </c>
    </row>
    <row r="448" spans="1:13" x14ac:dyDescent="0.3">
      <c r="A448" t="s">
        <v>1773</v>
      </c>
      <c r="B448" t="s">
        <v>1774</v>
      </c>
      <c r="C448" t="s">
        <v>46</v>
      </c>
      <c r="D448" t="s">
        <v>41</v>
      </c>
      <c r="E448" t="s">
        <v>17</v>
      </c>
      <c r="F448" t="s">
        <v>151</v>
      </c>
      <c r="G448" s="1">
        <v>44780</v>
      </c>
      <c r="H448" s="1">
        <v>44975</v>
      </c>
      <c r="I448" t="s">
        <v>1775</v>
      </c>
      <c r="J448" t="s">
        <v>1776</v>
      </c>
      <c r="K448" t="s">
        <v>29</v>
      </c>
      <c r="L448" t="s">
        <v>91</v>
      </c>
      <c r="M448" t="s">
        <v>22</v>
      </c>
    </row>
    <row r="449" spans="1:13" x14ac:dyDescent="0.3">
      <c r="A449" t="s">
        <v>1777</v>
      </c>
      <c r="B449" t="s">
        <v>1778</v>
      </c>
      <c r="C449" t="s">
        <v>46</v>
      </c>
      <c r="D449" t="s">
        <v>67</v>
      </c>
      <c r="E449" t="s">
        <v>26</v>
      </c>
      <c r="F449" t="s">
        <v>18</v>
      </c>
      <c r="G449" s="1">
        <v>43662</v>
      </c>
      <c r="H449" s="1">
        <v>44000</v>
      </c>
      <c r="I449" t="s">
        <v>1779</v>
      </c>
      <c r="J449" t="s">
        <v>1780</v>
      </c>
      <c r="K449" t="s">
        <v>90</v>
      </c>
      <c r="M449" t="s">
        <v>22</v>
      </c>
    </row>
    <row r="450" spans="1:13" x14ac:dyDescent="0.3">
      <c r="A450" t="s">
        <v>1781</v>
      </c>
      <c r="B450" t="s">
        <v>1782</v>
      </c>
      <c r="C450" t="s">
        <v>33</v>
      </c>
      <c r="D450" t="s">
        <v>77</v>
      </c>
      <c r="E450" t="s">
        <v>52</v>
      </c>
      <c r="F450" t="s">
        <v>160</v>
      </c>
      <c r="G450" s="1">
        <v>45451</v>
      </c>
      <c r="H450" s="1">
        <v>45513</v>
      </c>
      <c r="I450" t="s">
        <v>1783</v>
      </c>
      <c r="J450" t="s">
        <v>1784</v>
      </c>
      <c r="K450" t="s">
        <v>37</v>
      </c>
      <c r="L450" t="s">
        <v>116</v>
      </c>
      <c r="M450" t="s">
        <v>22</v>
      </c>
    </row>
    <row r="451" spans="1:13" x14ac:dyDescent="0.3">
      <c r="A451" t="s">
        <v>1785</v>
      </c>
      <c r="C451" t="s">
        <v>15</v>
      </c>
      <c r="D451" t="s">
        <v>25</v>
      </c>
      <c r="E451" t="s">
        <v>26</v>
      </c>
      <c r="F451" t="s">
        <v>18</v>
      </c>
      <c r="G451" s="1">
        <v>43714</v>
      </c>
      <c r="H451" s="1">
        <v>43898</v>
      </c>
      <c r="I451" t="s">
        <v>1786</v>
      </c>
      <c r="J451" t="s">
        <v>1787</v>
      </c>
      <c r="K451" t="s">
        <v>29</v>
      </c>
      <c r="M451" t="s">
        <v>22</v>
      </c>
    </row>
    <row r="452" spans="1:13" x14ac:dyDescent="0.3">
      <c r="A452" t="s">
        <v>1788</v>
      </c>
      <c r="B452" t="s">
        <v>1789</v>
      </c>
      <c r="C452" t="s">
        <v>15</v>
      </c>
      <c r="D452" t="s">
        <v>41</v>
      </c>
      <c r="E452" t="s">
        <v>17</v>
      </c>
      <c r="F452" t="s">
        <v>18</v>
      </c>
      <c r="G452" s="1">
        <v>45495</v>
      </c>
      <c r="H452" s="1">
        <v>45642</v>
      </c>
      <c r="I452" t="s">
        <v>1790</v>
      </c>
      <c r="J452" t="s">
        <v>1791</v>
      </c>
      <c r="K452" t="s">
        <v>21</v>
      </c>
      <c r="L452" t="s">
        <v>60</v>
      </c>
      <c r="M452" t="s">
        <v>22</v>
      </c>
    </row>
    <row r="453" spans="1:13" x14ac:dyDescent="0.3">
      <c r="A453" t="s">
        <v>1792</v>
      </c>
      <c r="B453" t="s">
        <v>1793</v>
      </c>
      <c r="C453" t="s">
        <v>46</v>
      </c>
      <c r="D453" t="s">
        <v>77</v>
      </c>
      <c r="E453" t="s">
        <v>52</v>
      </c>
      <c r="F453" t="s">
        <v>160</v>
      </c>
      <c r="G453" s="1">
        <v>44991</v>
      </c>
      <c r="H453" s="1">
        <v>45225</v>
      </c>
      <c r="I453" t="s">
        <v>1794</v>
      </c>
      <c r="J453" t="s">
        <v>1795</v>
      </c>
      <c r="K453" t="s">
        <v>37</v>
      </c>
      <c r="M453" t="s">
        <v>22</v>
      </c>
    </row>
    <row r="454" spans="1:13" x14ac:dyDescent="0.3">
      <c r="A454" t="s">
        <v>1071</v>
      </c>
      <c r="B454" t="s">
        <v>1072</v>
      </c>
      <c r="C454" t="s">
        <v>15</v>
      </c>
      <c r="D454" t="s">
        <v>34</v>
      </c>
      <c r="E454" t="s">
        <v>26</v>
      </c>
      <c r="F454" t="s">
        <v>18</v>
      </c>
      <c r="G454" s="1">
        <v>45323</v>
      </c>
      <c r="H454" s="1">
        <v>45360</v>
      </c>
      <c r="I454" t="s">
        <v>1073</v>
      </c>
      <c r="J454" t="s">
        <v>1074</v>
      </c>
      <c r="K454" t="s">
        <v>21</v>
      </c>
      <c r="L454" t="s">
        <v>30</v>
      </c>
      <c r="M454" t="s">
        <v>22</v>
      </c>
    </row>
    <row r="455" spans="1:13" x14ac:dyDescent="0.3">
      <c r="A455" t="s">
        <v>1796</v>
      </c>
      <c r="B455" t="s">
        <v>1797</v>
      </c>
      <c r="C455" t="s">
        <v>76</v>
      </c>
      <c r="D455" t="s">
        <v>25</v>
      </c>
      <c r="E455" t="s">
        <v>26</v>
      </c>
      <c r="F455" t="s">
        <v>18</v>
      </c>
      <c r="G455" s="1">
        <v>43742</v>
      </c>
      <c r="H455" s="1">
        <v>44045</v>
      </c>
      <c r="I455" t="s">
        <v>1798</v>
      </c>
      <c r="J455" t="s">
        <v>1799</v>
      </c>
      <c r="K455" t="s">
        <v>29</v>
      </c>
      <c r="L455" t="s">
        <v>116</v>
      </c>
      <c r="M455" t="s">
        <v>22</v>
      </c>
    </row>
    <row r="456" spans="1:13" x14ac:dyDescent="0.3">
      <c r="A456" t="s">
        <v>1800</v>
      </c>
      <c r="B456" t="s">
        <v>1801</v>
      </c>
      <c r="C456" t="s">
        <v>33</v>
      </c>
      <c r="D456" t="s">
        <v>16</v>
      </c>
      <c r="E456" t="s">
        <v>17</v>
      </c>
      <c r="F456" t="s">
        <v>18</v>
      </c>
      <c r="G456" s="1">
        <v>44167</v>
      </c>
      <c r="H456" s="1">
        <v>44436</v>
      </c>
      <c r="I456" t="s">
        <v>1802</v>
      </c>
      <c r="J456" t="s">
        <v>1803</v>
      </c>
      <c r="K456" t="s">
        <v>90</v>
      </c>
      <c r="L456" t="s">
        <v>60</v>
      </c>
      <c r="M456" t="s">
        <v>22</v>
      </c>
    </row>
    <row r="457" spans="1:13" x14ac:dyDescent="0.3">
      <c r="A457" t="s">
        <v>1804</v>
      </c>
      <c r="B457" t="s">
        <v>1805</v>
      </c>
      <c r="C457" t="s">
        <v>15</v>
      </c>
      <c r="D457" t="s">
        <v>34</v>
      </c>
      <c r="E457" t="s">
        <v>26</v>
      </c>
      <c r="F457" t="s">
        <v>151</v>
      </c>
      <c r="G457" s="1">
        <v>44243</v>
      </c>
      <c r="H457" s="1">
        <v>44392</v>
      </c>
      <c r="I457" t="s">
        <v>1806</v>
      </c>
      <c r="J457" t="s">
        <v>1807</v>
      </c>
      <c r="K457" t="s">
        <v>29</v>
      </c>
      <c r="L457" t="s">
        <v>116</v>
      </c>
      <c r="M457" t="s">
        <v>22</v>
      </c>
    </row>
    <row r="458" spans="1:13" x14ac:dyDescent="0.3">
      <c r="A458" t="s">
        <v>1808</v>
      </c>
      <c r="B458" t="s">
        <v>1809</v>
      </c>
      <c r="C458" t="s">
        <v>40</v>
      </c>
      <c r="D458" t="s">
        <v>16</v>
      </c>
      <c r="E458" t="s">
        <v>17</v>
      </c>
      <c r="F458" t="s">
        <v>151</v>
      </c>
      <c r="G458" s="1">
        <v>44613</v>
      </c>
      <c r="H458" s="1">
        <v>44728</v>
      </c>
      <c r="I458" t="s">
        <v>1810</v>
      </c>
      <c r="J458" t="s">
        <v>1811</v>
      </c>
      <c r="K458" t="s">
        <v>21</v>
      </c>
      <c r="M458" t="s">
        <v>22</v>
      </c>
    </row>
    <row r="459" spans="1:13" x14ac:dyDescent="0.3">
      <c r="A459" t="s">
        <v>1812</v>
      </c>
      <c r="B459" t="s">
        <v>1813</v>
      </c>
      <c r="C459" t="s">
        <v>15</v>
      </c>
      <c r="D459" t="s">
        <v>51</v>
      </c>
      <c r="E459" t="s">
        <v>52</v>
      </c>
      <c r="F459" t="s">
        <v>160</v>
      </c>
      <c r="G459" s="1">
        <v>45547</v>
      </c>
      <c r="H459" s="1">
        <v>45846</v>
      </c>
      <c r="I459" t="s">
        <v>1814</v>
      </c>
      <c r="J459" t="s">
        <v>1815</v>
      </c>
      <c r="K459" t="s">
        <v>90</v>
      </c>
      <c r="L459" t="s">
        <v>30</v>
      </c>
      <c r="M459" t="s">
        <v>22</v>
      </c>
    </row>
    <row r="460" spans="1:13" x14ac:dyDescent="0.3">
      <c r="A460" t="s">
        <v>1816</v>
      </c>
      <c r="B460" t="s">
        <v>1817</v>
      </c>
      <c r="C460" t="s">
        <v>87</v>
      </c>
      <c r="D460" t="s">
        <v>51</v>
      </c>
      <c r="E460" t="s">
        <v>52</v>
      </c>
      <c r="F460" t="s">
        <v>18</v>
      </c>
      <c r="G460" s="1">
        <v>45442</v>
      </c>
      <c r="H460" s="1">
        <v>45683</v>
      </c>
      <c r="I460" t="s">
        <v>1818</v>
      </c>
      <c r="J460" t="s">
        <v>1819</v>
      </c>
      <c r="K460" t="s">
        <v>37</v>
      </c>
      <c r="L460" t="s">
        <v>30</v>
      </c>
      <c r="M460" t="s">
        <v>22</v>
      </c>
    </row>
    <row r="461" spans="1:13" x14ac:dyDescent="0.3">
      <c r="A461" t="s">
        <v>1820</v>
      </c>
      <c r="B461" t="s">
        <v>1821</v>
      </c>
      <c r="C461" t="s">
        <v>40</v>
      </c>
      <c r="D461" t="s">
        <v>67</v>
      </c>
      <c r="E461" t="s">
        <v>26</v>
      </c>
      <c r="F461" t="s">
        <v>18</v>
      </c>
      <c r="G461" s="1">
        <v>43513</v>
      </c>
      <c r="H461" s="1">
        <v>43861</v>
      </c>
      <c r="I461" t="s">
        <v>1822</v>
      </c>
      <c r="J461" t="s">
        <v>1823</v>
      </c>
      <c r="K461" t="s">
        <v>29</v>
      </c>
      <c r="M461" t="s">
        <v>22</v>
      </c>
    </row>
    <row r="462" spans="1:13" x14ac:dyDescent="0.3">
      <c r="A462" t="s">
        <v>1824</v>
      </c>
      <c r="B462" t="s">
        <v>1825</v>
      </c>
      <c r="C462" t="s">
        <v>87</v>
      </c>
      <c r="D462" t="s">
        <v>67</v>
      </c>
      <c r="E462" t="s">
        <v>26</v>
      </c>
      <c r="F462" t="s">
        <v>18</v>
      </c>
      <c r="G462" s="1">
        <v>45414</v>
      </c>
      <c r="H462" s="1">
        <v>45757</v>
      </c>
      <c r="I462" t="s">
        <v>1826</v>
      </c>
      <c r="J462" t="s">
        <v>210</v>
      </c>
      <c r="K462" t="s">
        <v>29</v>
      </c>
      <c r="L462" t="s">
        <v>55</v>
      </c>
      <c r="M462" t="s">
        <v>22</v>
      </c>
    </row>
    <row r="463" spans="1:13" x14ac:dyDescent="0.3">
      <c r="A463" t="s">
        <v>1827</v>
      </c>
      <c r="B463" t="s">
        <v>1828</v>
      </c>
      <c r="C463" t="s">
        <v>15</v>
      </c>
      <c r="D463" t="s">
        <v>25</v>
      </c>
      <c r="E463" t="s">
        <v>26</v>
      </c>
      <c r="F463" t="s">
        <v>18</v>
      </c>
      <c r="G463" s="2">
        <v>44562</v>
      </c>
      <c r="H463" s="1">
        <v>44765</v>
      </c>
      <c r="I463" t="s">
        <v>1829</v>
      </c>
      <c r="J463" t="s">
        <v>1830</v>
      </c>
      <c r="K463" t="s">
        <v>37</v>
      </c>
      <c r="L463" t="s">
        <v>55</v>
      </c>
      <c r="M463" t="s">
        <v>22</v>
      </c>
    </row>
    <row r="464" spans="1:13" x14ac:dyDescent="0.3">
      <c r="A464" t="s">
        <v>1831</v>
      </c>
      <c r="B464" t="s">
        <v>1832</v>
      </c>
      <c r="C464" t="s">
        <v>76</v>
      </c>
      <c r="D464" t="s">
        <v>34</v>
      </c>
      <c r="E464" t="s">
        <v>26</v>
      </c>
      <c r="F464" t="s">
        <v>18</v>
      </c>
      <c r="G464" s="1">
        <v>45595</v>
      </c>
      <c r="H464" s="1">
        <v>45870</v>
      </c>
      <c r="I464" t="s">
        <v>1833</v>
      </c>
      <c r="J464" t="s">
        <v>1834</v>
      </c>
      <c r="K464" t="s">
        <v>21</v>
      </c>
      <c r="L464" t="s">
        <v>60</v>
      </c>
      <c r="M464" t="s">
        <v>22</v>
      </c>
    </row>
    <row r="465" spans="1:13" x14ac:dyDescent="0.3">
      <c r="A465" t="s">
        <v>1835</v>
      </c>
      <c r="B465" t="s">
        <v>1836</v>
      </c>
      <c r="C465" t="s">
        <v>33</v>
      </c>
      <c r="D465" t="s">
        <v>34</v>
      </c>
      <c r="E465" t="s">
        <v>26</v>
      </c>
      <c r="F465" t="s">
        <v>160</v>
      </c>
      <c r="G465" s="1">
        <v>45253</v>
      </c>
      <c r="H465" s="1">
        <v>45563</v>
      </c>
      <c r="I465" t="s">
        <v>1837</v>
      </c>
      <c r="J465" t="s">
        <v>1838</v>
      </c>
      <c r="K465" t="s">
        <v>21</v>
      </c>
      <c r="L465" t="s">
        <v>91</v>
      </c>
      <c r="M465" t="s">
        <v>22</v>
      </c>
    </row>
    <row r="466" spans="1:13" x14ac:dyDescent="0.3">
      <c r="A466" t="s">
        <v>1839</v>
      </c>
      <c r="B466" t="s">
        <v>1840</v>
      </c>
      <c r="C466" t="s">
        <v>181</v>
      </c>
      <c r="D466" t="s">
        <v>41</v>
      </c>
      <c r="E466" t="s">
        <v>17</v>
      </c>
      <c r="F466" t="s">
        <v>151</v>
      </c>
      <c r="G466" s="1">
        <v>43610</v>
      </c>
      <c r="H466" s="1">
        <v>43893</v>
      </c>
      <c r="I466" t="s">
        <v>1841</v>
      </c>
      <c r="J466" t="s">
        <v>1842</v>
      </c>
      <c r="K466" t="s">
        <v>29</v>
      </c>
      <c r="L466" t="s">
        <v>55</v>
      </c>
      <c r="M466" t="s">
        <v>22</v>
      </c>
    </row>
    <row r="467" spans="1:13" x14ac:dyDescent="0.3">
      <c r="A467" t="s">
        <v>1843</v>
      </c>
      <c r="B467" t="s">
        <v>1844</v>
      </c>
      <c r="C467" t="s">
        <v>15</v>
      </c>
      <c r="D467" t="s">
        <v>77</v>
      </c>
      <c r="E467" t="s">
        <v>52</v>
      </c>
      <c r="F467" t="s">
        <v>18</v>
      </c>
      <c r="G467" s="1">
        <v>44034</v>
      </c>
      <c r="H467" s="1">
        <v>44395</v>
      </c>
      <c r="I467" t="s">
        <v>1845</v>
      </c>
      <c r="J467" t="s">
        <v>1846</v>
      </c>
      <c r="K467" t="s">
        <v>90</v>
      </c>
      <c r="L467" t="s">
        <v>60</v>
      </c>
      <c r="M467" t="s">
        <v>22</v>
      </c>
    </row>
    <row r="468" spans="1:13" x14ac:dyDescent="0.3">
      <c r="A468" t="s">
        <v>1847</v>
      </c>
      <c r="B468" t="s">
        <v>1848</v>
      </c>
      <c r="C468" t="s">
        <v>40</v>
      </c>
      <c r="D468" t="s">
        <v>67</v>
      </c>
      <c r="E468" t="s">
        <v>26</v>
      </c>
      <c r="F468" t="s">
        <v>18</v>
      </c>
      <c r="G468" s="1">
        <v>44210</v>
      </c>
      <c r="H468" s="1">
        <v>44529</v>
      </c>
      <c r="I468" t="s">
        <v>1849</v>
      </c>
      <c r="K468" t="s">
        <v>37</v>
      </c>
      <c r="M468" t="s">
        <v>22</v>
      </c>
    </row>
    <row r="469" spans="1:13" x14ac:dyDescent="0.3">
      <c r="A469" t="s">
        <v>1850</v>
      </c>
      <c r="B469" t="s">
        <v>1851</v>
      </c>
      <c r="C469" t="s">
        <v>76</v>
      </c>
      <c r="D469" t="s">
        <v>77</v>
      </c>
      <c r="E469" t="s">
        <v>52</v>
      </c>
      <c r="F469" t="s">
        <v>160</v>
      </c>
      <c r="G469" s="1">
        <v>45416</v>
      </c>
      <c r="H469" s="1">
        <v>45525</v>
      </c>
      <c r="I469" t="s">
        <v>1852</v>
      </c>
      <c r="J469" t="s">
        <v>1853</v>
      </c>
      <c r="K469" t="s">
        <v>29</v>
      </c>
      <c r="M469" t="s">
        <v>22</v>
      </c>
    </row>
    <row r="470" spans="1:13" x14ac:dyDescent="0.3">
      <c r="A470" t="s">
        <v>1854</v>
      </c>
      <c r="B470" t="s">
        <v>1855</v>
      </c>
      <c r="C470" t="s">
        <v>87</v>
      </c>
      <c r="D470" t="s">
        <v>25</v>
      </c>
      <c r="E470" t="s">
        <v>26</v>
      </c>
      <c r="F470" t="s">
        <v>18</v>
      </c>
      <c r="G470" s="1">
        <v>44062</v>
      </c>
      <c r="H470" s="1">
        <v>44077</v>
      </c>
      <c r="I470" t="s">
        <v>1856</v>
      </c>
      <c r="J470" t="s">
        <v>1857</v>
      </c>
      <c r="K470" t="s">
        <v>21</v>
      </c>
      <c r="L470" t="s">
        <v>116</v>
      </c>
      <c r="M470" t="s">
        <v>22</v>
      </c>
    </row>
    <row r="471" spans="1:13" x14ac:dyDescent="0.3">
      <c r="A471" t="s">
        <v>1858</v>
      </c>
      <c r="C471" t="s">
        <v>46</v>
      </c>
      <c r="D471" t="s">
        <v>67</v>
      </c>
      <c r="E471" t="s">
        <v>26</v>
      </c>
      <c r="F471" t="s">
        <v>160</v>
      </c>
      <c r="G471" s="1">
        <v>44867</v>
      </c>
      <c r="H471" s="1">
        <v>44955</v>
      </c>
      <c r="I471" t="s">
        <v>1859</v>
      </c>
      <c r="J471" t="s">
        <v>1860</v>
      </c>
      <c r="K471" t="s">
        <v>90</v>
      </c>
      <c r="L471" t="s">
        <v>55</v>
      </c>
      <c r="M471" t="s">
        <v>22</v>
      </c>
    </row>
    <row r="472" spans="1:13" x14ac:dyDescent="0.3">
      <c r="A472" t="s">
        <v>1861</v>
      </c>
      <c r="B472" t="s">
        <v>1862</v>
      </c>
      <c r="C472" t="s">
        <v>15</v>
      </c>
      <c r="D472" t="s">
        <v>34</v>
      </c>
      <c r="E472" t="s">
        <v>26</v>
      </c>
      <c r="F472" t="s">
        <v>151</v>
      </c>
      <c r="G472" s="1">
        <v>43772</v>
      </c>
      <c r="H472" s="1">
        <v>44012</v>
      </c>
      <c r="I472" t="s">
        <v>1863</v>
      </c>
      <c r="J472" t="s">
        <v>1864</v>
      </c>
      <c r="K472" t="s">
        <v>21</v>
      </c>
      <c r="M472" t="s">
        <v>22</v>
      </c>
    </row>
    <row r="473" spans="1:13" x14ac:dyDescent="0.3">
      <c r="A473" t="s">
        <v>1865</v>
      </c>
      <c r="B473" t="s">
        <v>1866</v>
      </c>
      <c r="C473" t="s">
        <v>76</v>
      </c>
      <c r="D473" t="s">
        <v>77</v>
      </c>
      <c r="E473" t="s">
        <v>52</v>
      </c>
      <c r="F473" t="s">
        <v>160</v>
      </c>
      <c r="G473" s="1">
        <v>43538</v>
      </c>
      <c r="H473" s="1">
        <v>43590</v>
      </c>
      <c r="I473" t="s">
        <v>1867</v>
      </c>
      <c r="J473" t="s">
        <v>1868</v>
      </c>
      <c r="K473" t="s">
        <v>90</v>
      </c>
      <c r="L473" t="s">
        <v>91</v>
      </c>
      <c r="M473" t="s">
        <v>22</v>
      </c>
    </row>
    <row r="474" spans="1:13" x14ac:dyDescent="0.3">
      <c r="A474" t="s">
        <v>1869</v>
      </c>
      <c r="B474" t="s">
        <v>1870</v>
      </c>
      <c r="C474" t="s">
        <v>15</v>
      </c>
      <c r="D474" t="s">
        <v>67</v>
      </c>
      <c r="E474" t="s">
        <v>26</v>
      </c>
      <c r="F474" t="s">
        <v>18</v>
      </c>
      <c r="G474" s="1">
        <v>43804</v>
      </c>
      <c r="H474" s="1">
        <v>44021</v>
      </c>
      <c r="I474" t="s">
        <v>1871</v>
      </c>
      <c r="J474" t="s">
        <v>1872</v>
      </c>
      <c r="K474" t="s">
        <v>37</v>
      </c>
      <c r="L474" t="s">
        <v>91</v>
      </c>
      <c r="M474" t="s">
        <v>22</v>
      </c>
    </row>
    <row r="475" spans="1:13" x14ac:dyDescent="0.3">
      <c r="A475" t="s">
        <v>1873</v>
      </c>
      <c r="B475" t="s">
        <v>1874</v>
      </c>
      <c r="C475" t="s">
        <v>40</v>
      </c>
      <c r="D475" t="s">
        <v>41</v>
      </c>
      <c r="E475" t="s">
        <v>17</v>
      </c>
      <c r="F475" t="s">
        <v>151</v>
      </c>
      <c r="G475" s="1">
        <v>43771</v>
      </c>
      <c r="H475" s="1">
        <v>43866</v>
      </c>
      <c r="I475" t="s">
        <v>1875</v>
      </c>
      <c r="J475" t="s">
        <v>1876</v>
      </c>
      <c r="K475" t="s">
        <v>90</v>
      </c>
      <c r="L475" t="s">
        <v>30</v>
      </c>
      <c r="M475" t="s">
        <v>22</v>
      </c>
    </row>
    <row r="476" spans="1:13" x14ac:dyDescent="0.3">
      <c r="A476" t="s">
        <v>1877</v>
      </c>
      <c r="B476" t="s">
        <v>1878</v>
      </c>
      <c r="C476" t="s">
        <v>15</v>
      </c>
      <c r="D476" t="s">
        <v>51</v>
      </c>
      <c r="E476" t="s">
        <v>52</v>
      </c>
      <c r="F476" t="s">
        <v>18</v>
      </c>
      <c r="G476" s="1">
        <v>44746</v>
      </c>
      <c r="H476" s="1">
        <v>44964</v>
      </c>
      <c r="I476" t="s">
        <v>1879</v>
      </c>
      <c r="J476" t="s">
        <v>1880</v>
      </c>
      <c r="K476" t="s">
        <v>90</v>
      </c>
      <c r="L476" t="s">
        <v>60</v>
      </c>
      <c r="M476" t="s">
        <v>22</v>
      </c>
    </row>
    <row r="477" spans="1:13" x14ac:dyDescent="0.3">
      <c r="A477" t="s">
        <v>1881</v>
      </c>
      <c r="B477" t="s">
        <v>1882</v>
      </c>
      <c r="C477" t="s">
        <v>46</v>
      </c>
      <c r="D477" t="s">
        <v>41</v>
      </c>
      <c r="E477" t="s">
        <v>17</v>
      </c>
      <c r="F477" t="s">
        <v>18</v>
      </c>
      <c r="G477" s="1">
        <v>45441</v>
      </c>
      <c r="H477" s="1">
        <v>45637</v>
      </c>
      <c r="I477" t="s">
        <v>1883</v>
      </c>
      <c r="J477" t="s">
        <v>1884</v>
      </c>
      <c r="K477" t="s">
        <v>37</v>
      </c>
      <c r="M477" t="s">
        <v>22</v>
      </c>
    </row>
    <row r="478" spans="1:13" x14ac:dyDescent="0.3">
      <c r="A478" t="s">
        <v>1885</v>
      </c>
      <c r="B478" t="s">
        <v>849</v>
      </c>
      <c r="C478" t="s">
        <v>181</v>
      </c>
      <c r="D478" t="s">
        <v>41</v>
      </c>
      <c r="E478" t="s">
        <v>17</v>
      </c>
      <c r="F478" t="s">
        <v>160</v>
      </c>
      <c r="G478" s="1">
        <v>45193</v>
      </c>
      <c r="H478" s="1">
        <v>45217</v>
      </c>
      <c r="I478" t="s">
        <v>850</v>
      </c>
      <c r="J478" t="s">
        <v>1886</v>
      </c>
      <c r="K478" t="s">
        <v>37</v>
      </c>
      <c r="L478" t="s">
        <v>55</v>
      </c>
      <c r="M478" t="s">
        <v>22</v>
      </c>
    </row>
    <row r="479" spans="1:13" x14ac:dyDescent="0.3">
      <c r="A479" t="s">
        <v>1887</v>
      </c>
      <c r="B479" t="s">
        <v>1888</v>
      </c>
      <c r="C479" t="s">
        <v>40</v>
      </c>
      <c r="D479" t="s">
        <v>51</v>
      </c>
      <c r="E479" t="s">
        <v>52</v>
      </c>
      <c r="F479" t="s">
        <v>160</v>
      </c>
      <c r="G479" s="1">
        <v>44764</v>
      </c>
      <c r="H479" s="1">
        <v>44903</v>
      </c>
      <c r="I479" t="s">
        <v>1889</v>
      </c>
      <c r="J479" t="s">
        <v>1890</v>
      </c>
      <c r="K479" t="s">
        <v>37</v>
      </c>
      <c r="L479" t="s">
        <v>30</v>
      </c>
      <c r="M479" t="s">
        <v>22</v>
      </c>
    </row>
    <row r="480" spans="1:13" x14ac:dyDescent="0.3">
      <c r="A480" t="s">
        <v>1891</v>
      </c>
      <c r="B480" t="s">
        <v>1892</v>
      </c>
      <c r="C480" t="s">
        <v>33</v>
      </c>
      <c r="D480" t="s">
        <v>77</v>
      </c>
      <c r="E480" t="s">
        <v>52</v>
      </c>
      <c r="F480" t="s">
        <v>554</v>
      </c>
      <c r="G480" s="1">
        <v>45267</v>
      </c>
      <c r="H480" s="1">
        <v>45464</v>
      </c>
      <c r="J480" t="s">
        <v>1893</v>
      </c>
      <c r="K480" t="s">
        <v>21</v>
      </c>
      <c r="M480" t="s">
        <v>22</v>
      </c>
    </row>
    <row r="481" spans="1:13" x14ac:dyDescent="0.3">
      <c r="A481" t="s">
        <v>1894</v>
      </c>
      <c r="B481" t="s">
        <v>1895</v>
      </c>
      <c r="C481" t="s">
        <v>40</v>
      </c>
      <c r="D481" t="s">
        <v>77</v>
      </c>
      <c r="E481" t="s">
        <v>52</v>
      </c>
      <c r="F481" t="s">
        <v>18</v>
      </c>
      <c r="G481" s="1">
        <v>43610</v>
      </c>
      <c r="H481" s="1">
        <v>43908</v>
      </c>
      <c r="I481" t="s">
        <v>1896</v>
      </c>
      <c r="J481" t="s">
        <v>1897</v>
      </c>
      <c r="K481" t="s">
        <v>29</v>
      </c>
      <c r="M481" t="s">
        <v>22</v>
      </c>
    </row>
    <row r="482" spans="1:13" x14ac:dyDescent="0.3">
      <c r="A482" t="s">
        <v>1898</v>
      </c>
      <c r="B482" t="s">
        <v>1899</v>
      </c>
      <c r="C482" t="s">
        <v>46</v>
      </c>
      <c r="D482" t="s">
        <v>34</v>
      </c>
      <c r="E482" t="s">
        <v>26</v>
      </c>
      <c r="F482" t="s">
        <v>18</v>
      </c>
      <c r="G482" s="1">
        <v>45284</v>
      </c>
      <c r="H482" s="1">
        <v>45399</v>
      </c>
      <c r="I482" t="s">
        <v>1900</v>
      </c>
      <c r="K482" t="s">
        <v>29</v>
      </c>
      <c r="L482" t="s">
        <v>30</v>
      </c>
      <c r="M482" t="s">
        <v>22</v>
      </c>
    </row>
    <row r="483" spans="1:13" x14ac:dyDescent="0.3">
      <c r="A483" t="s">
        <v>1901</v>
      </c>
      <c r="B483" t="s">
        <v>1902</v>
      </c>
      <c r="C483" t="s">
        <v>40</v>
      </c>
      <c r="D483" t="s">
        <v>77</v>
      </c>
      <c r="E483" t="s">
        <v>52</v>
      </c>
      <c r="F483" t="s">
        <v>18</v>
      </c>
      <c r="G483" s="1">
        <v>43617</v>
      </c>
      <c r="H483" s="1">
        <v>43720</v>
      </c>
      <c r="I483" t="s">
        <v>1903</v>
      </c>
      <c r="K483" t="s">
        <v>37</v>
      </c>
      <c r="L483" t="s">
        <v>60</v>
      </c>
      <c r="M483" t="s">
        <v>22</v>
      </c>
    </row>
    <row r="484" spans="1:13" x14ac:dyDescent="0.3">
      <c r="A484" t="s">
        <v>1904</v>
      </c>
      <c r="B484" t="s">
        <v>1905</v>
      </c>
      <c r="C484" t="s">
        <v>46</v>
      </c>
      <c r="D484" t="s">
        <v>34</v>
      </c>
      <c r="E484" t="s">
        <v>26</v>
      </c>
      <c r="F484" t="s">
        <v>18</v>
      </c>
      <c r="G484" s="1">
        <v>45041</v>
      </c>
      <c r="H484" s="1">
        <v>45378</v>
      </c>
      <c r="I484" t="s">
        <v>1906</v>
      </c>
      <c r="J484" t="s">
        <v>1795</v>
      </c>
      <c r="K484" t="s">
        <v>21</v>
      </c>
      <c r="M484" t="s">
        <v>22</v>
      </c>
    </row>
    <row r="485" spans="1:13" x14ac:dyDescent="0.3">
      <c r="A485" t="s">
        <v>1907</v>
      </c>
      <c r="B485" t="s">
        <v>1908</v>
      </c>
      <c r="C485" t="s">
        <v>181</v>
      </c>
      <c r="D485" t="s">
        <v>67</v>
      </c>
      <c r="E485" t="s">
        <v>26</v>
      </c>
      <c r="F485" t="s">
        <v>18</v>
      </c>
      <c r="G485" s="1">
        <v>43568</v>
      </c>
      <c r="H485" s="1">
        <v>43775</v>
      </c>
      <c r="I485" t="s">
        <v>1909</v>
      </c>
      <c r="J485" t="s">
        <v>1910</v>
      </c>
      <c r="K485" t="s">
        <v>21</v>
      </c>
      <c r="L485" t="s">
        <v>116</v>
      </c>
      <c r="M485" t="s">
        <v>22</v>
      </c>
    </row>
    <row r="486" spans="1:13" x14ac:dyDescent="0.3">
      <c r="A486" t="s">
        <v>1911</v>
      </c>
      <c r="B486" t="s">
        <v>1912</v>
      </c>
      <c r="C486" t="s">
        <v>15</v>
      </c>
      <c r="D486" t="s">
        <v>77</v>
      </c>
      <c r="E486" t="s">
        <v>52</v>
      </c>
      <c r="F486" t="s">
        <v>160</v>
      </c>
      <c r="G486" s="1">
        <v>45581</v>
      </c>
      <c r="H486" s="1">
        <v>45772</v>
      </c>
      <c r="I486" t="s">
        <v>1913</v>
      </c>
      <c r="J486" t="s">
        <v>1914</v>
      </c>
      <c r="K486" t="s">
        <v>37</v>
      </c>
      <c r="L486" t="s">
        <v>60</v>
      </c>
      <c r="M486" t="s">
        <v>22</v>
      </c>
    </row>
    <row r="487" spans="1:13" x14ac:dyDescent="0.3">
      <c r="A487" t="s">
        <v>1915</v>
      </c>
      <c r="B487" t="s">
        <v>1916</v>
      </c>
      <c r="C487" t="s">
        <v>15</v>
      </c>
      <c r="D487" t="s">
        <v>41</v>
      </c>
      <c r="E487" t="s">
        <v>17</v>
      </c>
      <c r="F487" t="s">
        <v>18</v>
      </c>
      <c r="G487" s="1">
        <v>44308</v>
      </c>
      <c r="H487" s="1">
        <v>44466</v>
      </c>
      <c r="I487" t="s">
        <v>1917</v>
      </c>
      <c r="J487" t="s">
        <v>1918</v>
      </c>
      <c r="K487" t="s">
        <v>37</v>
      </c>
      <c r="L487" t="s">
        <v>91</v>
      </c>
      <c r="M487" t="s">
        <v>22</v>
      </c>
    </row>
    <row r="488" spans="1:13" x14ac:dyDescent="0.3">
      <c r="A488" t="s">
        <v>1919</v>
      </c>
      <c r="B488" t="s">
        <v>1920</v>
      </c>
      <c r="C488" t="s">
        <v>453</v>
      </c>
      <c r="D488" t="s">
        <v>67</v>
      </c>
      <c r="E488" t="s">
        <v>26</v>
      </c>
      <c r="F488" t="s">
        <v>18</v>
      </c>
      <c r="G488" s="1">
        <v>44252</v>
      </c>
      <c r="H488" s="1">
        <v>44569</v>
      </c>
      <c r="I488" t="s">
        <v>1921</v>
      </c>
      <c r="J488" t="s">
        <v>1922</v>
      </c>
      <c r="K488" t="s">
        <v>29</v>
      </c>
      <c r="L488" t="s">
        <v>116</v>
      </c>
      <c r="M488" t="s">
        <v>22</v>
      </c>
    </row>
    <row r="489" spans="1:13" x14ac:dyDescent="0.3">
      <c r="A489" t="s">
        <v>1923</v>
      </c>
      <c r="B489" t="s">
        <v>1924</v>
      </c>
      <c r="C489" t="s">
        <v>87</v>
      </c>
      <c r="D489" t="s">
        <v>34</v>
      </c>
      <c r="E489" t="s">
        <v>26</v>
      </c>
      <c r="F489" t="s">
        <v>18</v>
      </c>
      <c r="G489" s="1">
        <v>45247</v>
      </c>
      <c r="H489" s="1">
        <v>45515</v>
      </c>
      <c r="I489" t="s">
        <v>1925</v>
      </c>
      <c r="J489" t="s">
        <v>1926</v>
      </c>
      <c r="K489" t="s">
        <v>29</v>
      </c>
      <c r="L489" t="s">
        <v>30</v>
      </c>
      <c r="M489" t="s">
        <v>22</v>
      </c>
    </row>
    <row r="490" spans="1:13" x14ac:dyDescent="0.3">
      <c r="A490" t="s">
        <v>1927</v>
      </c>
      <c r="B490" t="s">
        <v>1928</v>
      </c>
      <c r="C490" t="s">
        <v>181</v>
      </c>
      <c r="D490" t="s">
        <v>77</v>
      </c>
      <c r="E490" t="s">
        <v>52</v>
      </c>
      <c r="F490" t="s">
        <v>18</v>
      </c>
      <c r="G490" s="1">
        <v>43711</v>
      </c>
      <c r="H490" s="1">
        <v>43783</v>
      </c>
      <c r="I490" t="s">
        <v>1929</v>
      </c>
      <c r="J490" t="s">
        <v>1930</v>
      </c>
      <c r="K490" t="s">
        <v>90</v>
      </c>
      <c r="L490" t="s">
        <v>55</v>
      </c>
      <c r="M490" t="s">
        <v>22</v>
      </c>
    </row>
    <row r="491" spans="1:13" x14ac:dyDescent="0.3">
      <c r="A491" t="s">
        <v>1931</v>
      </c>
      <c r="B491" t="s">
        <v>1932</v>
      </c>
      <c r="C491" t="s">
        <v>87</v>
      </c>
      <c r="D491" t="s">
        <v>77</v>
      </c>
      <c r="E491" t="s">
        <v>52</v>
      </c>
      <c r="F491" t="s">
        <v>18</v>
      </c>
      <c r="G491" s="1">
        <v>45275</v>
      </c>
      <c r="H491" s="1">
        <v>45315</v>
      </c>
      <c r="I491" t="s">
        <v>1933</v>
      </c>
      <c r="J491" t="s">
        <v>1934</v>
      </c>
      <c r="K491" t="s">
        <v>37</v>
      </c>
      <c r="L491" t="s">
        <v>91</v>
      </c>
      <c r="M491" t="s">
        <v>22</v>
      </c>
    </row>
    <row r="492" spans="1:13" x14ac:dyDescent="0.3">
      <c r="A492" t="s">
        <v>1935</v>
      </c>
      <c r="B492" t="s">
        <v>1936</v>
      </c>
      <c r="C492" t="s">
        <v>15</v>
      </c>
      <c r="D492" t="s">
        <v>25</v>
      </c>
      <c r="E492" t="s">
        <v>26</v>
      </c>
      <c r="F492" t="s">
        <v>151</v>
      </c>
      <c r="G492" s="1">
        <v>45647</v>
      </c>
      <c r="H492" s="1">
        <v>45711</v>
      </c>
      <c r="J492" t="s">
        <v>1937</v>
      </c>
      <c r="K492" t="s">
        <v>37</v>
      </c>
      <c r="L492" t="s">
        <v>116</v>
      </c>
      <c r="M492" t="s">
        <v>22</v>
      </c>
    </row>
    <row r="493" spans="1:13" x14ac:dyDescent="0.3">
      <c r="A493" t="s">
        <v>1938</v>
      </c>
      <c r="B493" t="s">
        <v>1939</v>
      </c>
      <c r="C493" t="s">
        <v>15</v>
      </c>
      <c r="D493" t="s">
        <v>51</v>
      </c>
      <c r="E493" t="s">
        <v>52</v>
      </c>
      <c r="F493" t="s">
        <v>18</v>
      </c>
      <c r="G493" s="1">
        <v>45022</v>
      </c>
      <c r="H493" s="1">
        <v>45071</v>
      </c>
      <c r="I493" t="s">
        <v>1940</v>
      </c>
      <c r="J493" t="s">
        <v>1941</v>
      </c>
      <c r="K493" t="s">
        <v>29</v>
      </c>
      <c r="L493" t="s">
        <v>60</v>
      </c>
      <c r="M493" t="s">
        <v>22</v>
      </c>
    </row>
    <row r="494" spans="1:13" x14ac:dyDescent="0.3">
      <c r="A494" t="s">
        <v>1942</v>
      </c>
      <c r="B494" t="s">
        <v>1943</v>
      </c>
      <c r="C494" t="s">
        <v>76</v>
      </c>
      <c r="D494" t="s">
        <v>67</v>
      </c>
      <c r="E494" t="s">
        <v>26</v>
      </c>
      <c r="F494" t="s">
        <v>18</v>
      </c>
      <c r="G494" s="1">
        <v>44987</v>
      </c>
      <c r="H494" s="1">
        <v>45143</v>
      </c>
      <c r="I494" t="s">
        <v>1944</v>
      </c>
      <c r="J494" t="s">
        <v>1945</v>
      </c>
      <c r="K494" t="s">
        <v>29</v>
      </c>
      <c r="L494" t="s">
        <v>30</v>
      </c>
      <c r="M494" t="s">
        <v>22</v>
      </c>
    </row>
    <row r="495" spans="1:13" x14ac:dyDescent="0.3">
      <c r="A495" t="s">
        <v>1946</v>
      </c>
      <c r="B495" t="s">
        <v>1947</v>
      </c>
      <c r="C495" t="s">
        <v>33</v>
      </c>
      <c r="D495" t="s">
        <v>16</v>
      </c>
      <c r="E495" t="s">
        <v>17</v>
      </c>
      <c r="F495" t="s">
        <v>18</v>
      </c>
      <c r="G495" s="1">
        <v>45120</v>
      </c>
      <c r="H495" s="1">
        <v>45327</v>
      </c>
      <c r="I495" t="s">
        <v>1948</v>
      </c>
      <c r="J495" t="s">
        <v>1949</v>
      </c>
      <c r="K495" t="s">
        <v>21</v>
      </c>
      <c r="M495" t="s">
        <v>22</v>
      </c>
    </row>
    <row r="496" spans="1:13" x14ac:dyDescent="0.3">
      <c r="A496" t="s">
        <v>1950</v>
      </c>
      <c r="B496" t="s">
        <v>1951</v>
      </c>
      <c r="C496" t="s">
        <v>76</v>
      </c>
      <c r="D496" t="s">
        <v>25</v>
      </c>
      <c r="E496" t="s">
        <v>26</v>
      </c>
      <c r="F496" t="s">
        <v>18</v>
      </c>
      <c r="G496" s="1">
        <v>44591</v>
      </c>
      <c r="H496" s="1">
        <v>44865</v>
      </c>
      <c r="I496" t="s">
        <v>1952</v>
      </c>
      <c r="J496" t="s">
        <v>1953</v>
      </c>
      <c r="K496" t="s">
        <v>21</v>
      </c>
      <c r="L496" t="s">
        <v>55</v>
      </c>
      <c r="M496" t="s">
        <v>22</v>
      </c>
    </row>
    <row r="497" spans="1:13" x14ac:dyDescent="0.3">
      <c r="A497" t="s">
        <v>1954</v>
      </c>
      <c r="B497" t="s">
        <v>1955</v>
      </c>
      <c r="C497" t="s">
        <v>181</v>
      </c>
      <c r="D497" t="s">
        <v>25</v>
      </c>
      <c r="E497" t="s">
        <v>26</v>
      </c>
      <c r="F497" t="s">
        <v>151</v>
      </c>
      <c r="G497" s="1">
        <v>43556</v>
      </c>
      <c r="H497" s="1">
        <v>43651</v>
      </c>
      <c r="I497" t="s">
        <v>1956</v>
      </c>
      <c r="J497" t="s">
        <v>1957</v>
      </c>
      <c r="K497" t="s">
        <v>29</v>
      </c>
      <c r="L497" t="s">
        <v>55</v>
      </c>
      <c r="M497" t="s">
        <v>22</v>
      </c>
    </row>
    <row r="498" spans="1:13" x14ac:dyDescent="0.3">
      <c r="A498" t="s">
        <v>1958</v>
      </c>
      <c r="B498" t="s">
        <v>1959</v>
      </c>
      <c r="C498" t="s">
        <v>15</v>
      </c>
      <c r="D498" t="s">
        <v>25</v>
      </c>
      <c r="E498" t="s">
        <v>26</v>
      </c>
      <c r="F498" t="s">
        <v>18</v>
      </c>
      <c r="G498" s="1">
        <v>45449</v>
      </c>
      <c r="H498" s="1">
        <v>45669</v>
      </c>
      <c r="I498" t="s">
        <v>1960</v>
      </c>
      <c r="J498" t="s">
        <v>1961</v>
      </c>
      <c r="K498" t="s">
        <v>90</v>
      </c>
      <c r="L498" t="s">
        <v>60</v>
      </c>
      <c r="M498" t="s">
        <v>22</v>
      </c>
    </row>
    <row r="499" spans="1:13" x14ac:dyDescent="0.3">
      <c r="A499" t="s">
        <v>1962</v>
      </c>
      <c r="B499" t="s">
        <v>1963</v>
      </c>
      <c r="C499" t="s">
        <v>181</v>
      </c>
      <c r="D499" t="s">
        <v>34</v>
      </c>
      <c r="E499" t="s">
        <v>26</v>
      </c>
      <c r="F499" t="s">
        <v>18</v>
      </c>
      <c r="G499" s="1">
        <v>44285</v>
      </c>
      <c r="H499" s="1">
        <v>44477</v>
      </c>
      <c r="I499" t="s">
        <v>1964</v>
      </c>
      <c r="J499" t="s">
        <v>1965</v>
      </c>
      <c r="K499" t="s">
        <v>21</v>
      </c>
      <c r="L499" t="s">
        <v>91</v>
      </c>
      <c r="M499" t="s">
        <v>22</v>
      </c>
    </row>
    <row r="500" spans="1:13" x14ac:dyDescent="0.3">
      <c r="A500" t="s">
        <v>1966</v>
      </c>
      <c r="B500" t="s">
        <v>1967</v>
      </c>
      <c r="C500" t="s">
        <v>15</v>
      </c>
      <c r="D500" t="s">
        <v>25</v>
      </c>
      <c r="E500" t="s">
        <v>26</v>
      </c>
      <c r="F500" t="s">
        <v>18</v>
      </c>
      <c r="G500" s="1">
        <v>43787</v>
      </c>
      <c r="H500" s="1">
        <v>44133</v>
      </c>
      <c r="I500" t="s">
        <v>1968</v>
      </c>
      <c r="J500" t="s">
        <v>1969</v>
      </c>
      <c r="K500" t="s">
        <v>90</v>
      </c>
      <c r="L500" t="s">
        <v>30</v>
      </c>
      <c r="M500" t="s">
        <v>22</v>
      </c>
    </row>
    <row r="501" spans="1:13" x14ac:dyDescent="0.3">
      <c r="A501" t="s">
        <v>1970</v>
      </c>
      <c r="B501" t="s">
        <v>1971</v>
      </c>
      <c r="C501" t="s">
        <v>33</v>
      </c>
      <c r="D501" t="s">
        <v>51</v>
      </c>
      <c r="E501" t="s">
        <v>52</v>
      </c>
      <c r="F501" t="s">
        <v>18</v>
      </c>
      <c r="G501" s="1">
        <v>44689</v>
      </c>
      <c r="H501" s="1">
        <v>44785</v>
      </c>
      <c r="I501" t="s">
        <v>1972</v>
      </c>
      <c r="J501" t="s">
        <v>1973</v>
      </c>
      <c r="K501" t="s">
        <v>37</v>
      </c>
      <c r="L501" t="s">
        <v>60</v>
      </c>
      <c r="M501" t="s">
        <v>22</v>
      </c>
    </row>
    <row r="502" spans="1:13" x14ac:dyDescent="0.3">
      <c r="A502" t="s">
        <v>1974</v>
      </c>
      <c r="B502" t="s">
        <v>1975</v>
      </c>
      <c r="C502" t="s">
        <v>40</v>
      </c>
      <c r="D502" t="s">
        <v>51</v>
      </c>
      <c r="E502" t="s">
        <v>52</v>
      </c>
      <c r="F502" t="s">
        <v>18</v>
      </c>
      <c r="G502" s="1">
        <v>43927</v>
      </c>
      <c r="H502" s="1">
        <v>44096</v>
      </c>
      <c r="I502" t="s">
        <v>1976</v>
      </c>
      <c r="J502" t="s">
        <v>1977</v>
      </c>
      <c r="K502" t="s">
        <v>29</v>
      </c>
      <c r="M502" t="s">
        <v>22</v>
      </c>
    </row>
    <row r="503" spans="1:13" x14ac:dyDescent="0.3">
      <c r="A503" t="s">
        <v>1978</v>
      </c>
      <c r="B503" t="s">
        <v>1979</v>
      </c>
      <c r="C503" t="s">
        <v>76</v>
      </c>
      <c r="D503" t="s">
        <v>25</v>
      </c>
      <c r="E503" t="s">
        <v>26</v>
      </c>
      <c r="F503" t="s">
        <v>18</v>
      </c>
      <c r="G503" s="1">
        <v>44676</v>
      </c>
      <c r="H503" s="1">
        <v>44832</v>
      </c>
      <c r="I503" t="s">
        <v>1980</v>
      </c>
      <c r="J503" t="s">
        <v>1981</v>
      </c>
      <c r="K503" t="s">
        <v>37</v>
      </c>
      <c r="M503" t="s">
        <v>22</v>
      </c>
    </row>
    <row r="504" spans="1:13" x14ac:dyDescent="0.3">
      <c r="A504" t="s">
        <v>1982</v>
      </c>
      <c r="B504" t="s">
        <v>1983</v>
      </c>
      <c r="C504" t="s">
        <v>15</v>
      </c>
      <c r="D504" t="s">
        <v>77</v>
      </c>
      <c r="E504" t="s">
        <v>52</v>
      </c>
      <c r="F504" t="s">
        <v>18</v>
      </c>
      <c r="G504" s="1">
        <v>44749</v>
      </c>
      <c r="H504" s="1">
        <v>45054</v>
      </c>
      <c r="I504" t="s">
        <v>1984</v>
      </c>
      <c r="J504" t="s">
        <v>1985</v>
      </c>
      <c r="K504" t="s">
        <v>90</v>
      </c>
      <c r="L504" t="s">
        <v>116</v>
      </c>
      <c r="M504" t="s">
        <v>22</v>
      </c>
    </row>
    <row r="505" spans="1:13" x14ac:dyDescent="0.3">
      <c r="A505" t="s">
        <v>1986</v>
      </c>
      <c r="B505" t="s">
        <v>1987</v>
      </c>
      <c r="C505" t="s">
        <v>40</v>
      </c>
      <c r="D505" t="s">
        <v>41</v>
      </c>
      <c r="E505" t="s">
        <v>17</v>
      </c>
      <c r="F505" t="s">
        <v>18</v>
      </c>
      <c r="G505" s="1">
        <v>44246</v>
      </c>
      <c r="H505" s="1">
        <v>44419</v>
      </c>
      <c r="I505" t="s">
        <v>1988</v>
      </c>
      <c r="J505" t="s">
        <v>1989</v>
      </c>
      <c r="K505" t="s">
        <v>90</v>
      </c>
      <c r="M505" t="s">
        <v>22</v>
      </c>
    </row>
    <row r="506" spans="1:13" x14ac:dyDescent="0.3">
      <c r="A506" t="s">
        <v>1990</v>
      </c>
      <c r="B506" t="s">
        <v>1991</v>
      </c>
      <c r="C506" t="s">
        <v>87</v>
      </c>
      <c r="D506" t="s">
        <v>41</v>
      </c>
      <c r="E506" t="s">
        <v>17</v>
      </c>
      <c r="F506" t="s">
        <v>18</v>
      </c>
      <c r="G506" s="1">
        <v>44028</v>
      </c>
      <c r="H506" s="1">
        <v>44387</v>
      </c>
      <c r="I506" t="s">
        <v>1992</v>
      </c>
      <c r="J506" t="s">
        <v>1993</v>
      </c>
      <c r="K506" t="s">
        <v>21</v>
      </c>
      <c r="L506" t="s">
        <v>116</v>
      </c>
      <c r="M506" t="s">
        <v>22</v>
      </c>
    </row>
    <row r="507" spans="1:13" x14ac:dyDescent="0.3">
      <c r="A507" t="s">
        <v>1994</v>
      </c>
      <c r="B507" t="s">
        <v>1995</v>
      </c>
      <c r="C507" t="s">
        <v>87</v>
      </c>
      <c r="D507" t="s">
        <v>25</v>
      </c>
      <c r="E507" t="s">
        <v>26</v>
      </c>
      <c r="F507" t="s">
        <v>151</v>
      </c>
      <c r="G507" s="1">
        <v>45451</v>
      </c>
      <c r="H507" s="1">
        <v>45756</v>
      </c>
      <c r="I507" t="s">
        <v>1996</v>
      </c>
      <c r="J507" t="s">
        <v>1997</v>
      </c>
      <c r="K507" t="s">
        <v>37</v>
      </c>
      <c r="L507" t="s">
        <v>55</v>
      </c>
      <c r="M507" t="s">
        <v>22</v>
      </c>
    </row>
    <row r="508" spans="1:13" x14ac:dyDescent="0.3">
      <c r="A508" t="s">
        <v>1998</v>
      </c>
      <c r="B508" t="s">
        <v>1999</v>
      </c>
      <c r="C508" t="s">
        <v>181</v>
      </c>
      <c r="D508" t="s">
        <v>34</v>
      </c>
      <c r="E508" t="s">
        <v>26</v>
      </c>
      <c r="F508" t="s">
        <v>18</v>
      </c>
      <c r="G508" s="1">
        <v>44542</v>
      </c>
      <c r="H508" s="1">
        <v>44841</v>
      </c>
      <c r="I508" t="s">
        <v>2000</v>
      </c>
      <c r="J508" t="s">
        <v>2001</v>
      </c>
      <c r="K508" t="s">
        <v>29</v>
      </c>
      <c r="L508" t="s">
        <v>55</v>
      </c>
      <c r="M508" t="s">
        <v>22</v>
      </c>
    </row>
    <row r="509" spans="1:13" x14ac:dyDescent="0.3">
      <c r="A509" t="s">
        <v>2002</v>
      </c>
      <c r="B509" t="s">
        <v>2003</v>
      </c>
      <c r="C509" t="s">
        <v>40</v>
      </c>
      <c r="D509" t="s">
        <v>77</v>
      </c>
      <c r="E509" t="s">
        <v>52</v>
      </c>
      <c r="F509" t="s">
        <v>18</v>
      </c>
      <c r="G509" s="2">
        <v>44562</v>
      </c>
      <c r="H509" s="1">
        <v>45552</v>
      </c>
      <c r="I509" t="s">
        <v>2004</v>
      </c>
      <c r="J509" t="s">
        <v>2005</v>
      </c>
      <c r="K509" t="s">
        <v>29</v>
      </c>
      <c r="L509" t="s">
        <v>30</v>
      </c>
      <c r="M509" t="s">
        <v>22</v>
      </c>
    </row>
    <row r="510" spans="1:13" x14ac:dyDescent="0.3">
      <c r="A510" t="s">
        <v>2006</v>
      </c>
      <c r="B510" t="s">
        <v>2007</v>
      </c>
      <c r="C510" t="s">
        <v>181</v>
      </c>
      <c r="D510" t="s">
        <v>16</v>
      </c>
      <c r="E510" t="s">
        <v>17</v>
      </c>
      <c r="F510" t="s">
        <v>151</v>
      </c>
      <c r="G510" s="1">
        <v>45281</v>
      </c>
      <c r="H510" s="1">
        <v>45562</v>
      </c>
      <c r="I510" t="s">
        <v>2008</v>
      </c>
      <c r="J510" t="s">
        <v>2009</v>
      </c>
      <c r="K510" t="s">
        <v>90</v>
      </c>
      <c r="L510" t="s">
        <v>60</v>
      </c>
      <c r="M510" t="s">
        <v>22</v>
      </c>
    </row>
    <row r="511" spans="1:13" x14ac:dyDescent="0.3">
      <c r="A511" t="s">
        <v>2010</v>
      </c>
      <c r="B511" t="s">
        <v>2011</v>
      </c>
      <c r="C511" t="s">
        <v>15</v>
      </c>
      <c r="D511" t="s">
        <v>16</v>
      </c>
      <c r="F511" t="s">
        <v>160</v>
      </c>
      <c r="G511" s="1">
        <v>43709</v>
      </c>
      <c r="H511" s="1">
        <v>43720</v>
      </c>
      <c r="I511" t="s">
        <v>2012</v>
      </c>
      <c r="J511" t="s">
        <v>2013</v>
      </c>
      <c r="K511" t="s">
        <v>90</v>
      </c>
      <c r="L511" t="s">
        <v>91</v>
      </c>
      <c r="M511" t="s">
        <v>22</v>
      </c>
    </row>
    <row r="512" spans="1:13" x14ac:dyDescent="0.3">
      <c r="A512" t="s">
        <v>2014</v>
      </c>
      <c r="B512" t="s">
        <v>2015</v>
      </c>
      <c r="C512" t="s">
        <v>46</v>
      </c>
      <c r="D512" t="s">
        <v>67</v>
      </c>
      <c r="E512" t="s">
        <v>26</v>
      </c>
      <c r="F512" t="s">
        <v>18</v>
      </c>
      <c r="G512" s="1">
        <v>44838</v>
      </c>
      <c r="H512" s="1">
        <v>44983</v>
      </c>
      <c r="I512" t="s">
        <v>2016</v>
      </c>
      <c r="J512" t="s">
        <v>2017</v>
      </c>
      <c r="K512" t="s">
        <v>21</v>
      </c>
      <c r="L512" t="s">
        <v>55</v>
      </c>
      <c r="M512" t="s">
        <v>22</v>
      </c>
    </row>
    <row r="513" spans="1:13" x14ac:dyDescent="0.3">
      <c r="A513" t="s">
        <v>2018</v>
      </c>
      <c r="B513" t="s">
        <v>2019</v>
      </c>
      <c r="C513" t="s">
        <v>87</v>
      </c>
      <c r="D513" t="s">
        <v>16</v>
      </c>
      <c r="E513" t="s">
        <v>17</v>
      </c>
      <c r="F513" t="s">
        <v>18</v>
      </c>
      <c r="G513" s="1">
        <v>45108</v>
      </c>
      <c r="H513" s="1">
        <v>45424</v>
      </c>
      <c r="I513" t="s">
        <v>2020</v>
      </c>
      <c r="J513" t="s">
        <v>2021</v>
      </c>
      <c r="K513" t="s">
        <v>37</v>
      </c>
      <c r="L513" t="s">
        <v>60</v>
      </c>
      <c r="M513" t="s">
        <v>22</v>
      </c>
    </row>
    <row r="514" spans="1:13" x14ac:dyDescent="0.3">
      <c r="A514" t="s">
        <v>2022</v>
      </c>
      <c r="B514" t="s">
        <v>2023</v>
      </c>
      <c r="C514" t="s">
        <v>181</v>
      </c>
      <c r="D514" t="s">
        <v>34</v>
      </c>
      <c r="E514" t="s">
        <v>26</v>
      </c>
      <c r="F514" t="s">
        <v>18</v>
      </c>
      <c r="G514" s="1">
        <v>44030</v>
      </c>
      <c r="H514" s="1">
        <v>44092</v>
      </c>
      <c r="I514" t="s">
        <v>2024</v>
      </c>
      <c r="J514" t="s">
        <v>2025</v>
      </c>
      <c r="K514" t="s">
        <v>21</v>
      </c>
      <c r="L514" t="s">
        <v>60</v>
      </c>
      <c r="M514" t="s">
        <v>22</v>
      </c>
    </row>
    <row r="515" spans="1:13" x14ac:dyDescent="0.3">
      <c r="A515" t="s">
        <v>2026</v>
      </c>
      <c r="B515" t="s">
        <v>2027</v>
      </c>
      <c r="C515" t="s">
        <v>46</v>
      </c>
      <c r="D515" t="s">
        <v>51</v>
      </c>
      <c r="E515" t="s">
        <v>52</v>
      </c>
      <c r="F515" t="s">
        <v>151</v>
      </c>
      <c r="G515" s="1">
        <v>44316</v>
      </c>
      <c r="H515" s="1">
        <v>44547</v>
      </c>
      <c r="I515" t="s">
        <v>2028</v>
      </c>
      <c r="J515" t="s">
        <v>2029</v>
      </c>
      <c r="K515" t="s">
        <v>29</v>
      </c>
      <c r="L515" t="s">
        <v>60</v>
      </c>
      <c r="M515" t="s">
        <v>22</v>
      </c>
    </row>
    <row r="516" spans="1:13" x14ac:dyDescent="0.3">
      <c r="A516" t="s">
        <v>1986</v>
      </c>
      <c r="B516" t="s">
        <v>1987</v>
      </c>
      <c r="C516" t="s">
        <v>40</v>
      </c>
      <c r="D516" t="s">
        <v>41</v>
      </c>
      <c r="E516" t="s">
        <v>17</v>
      </c>
      <c r="F516" t="s">
        <v>18</v>
      </c>
      <c r="G516" s="1">
        <v>44246</v>
      </c>
      <c r="H516" s="1">
        <v>44419</v>
      </c>
      <c r="I516" t="s">
        <v>1988</v>
      </c>
      <c r="J516" t="s">
        <v>1989</v>
      </c>
      <c r="K516" t="s">
        <v>90</v>
      </c>
      <c r="M516" t="s">
        <v>22</v>
      </c>
    </row>
    <row r="517" spans="1:13" x14ac:dyDescent="0.3">
      <c r="A517" t="s">
        <v>2030</v>
      </c>
      <c r="B517" t="s">
        <v>2031</v>
      </c>
      <c r="C517" t="s">
        <v>87</v>
      </c>
      <c r="D517" t="s">
        <v>67</v>
      </c>
      <c r="E517" t="s">
        <v>26</v>
      </c>
      <c r="F517" t="s">
        <v>18</v>
      </c>
      <c r="G517" s="1">
        <v>44503</v>
      </c>
      <c r="H517" s="1">
        <v>44749</v>
      </c>
      <c r="I517" t="s">
        <v>2032</v>
      </c>
      <c r="J517" t="s">
        <v>2033</v>
      </c>
      <c r="K517" t="s">
        <v>29</v>
      </c>
      <c r="L517" t="s">
        <v>60</v>
      </c>
      <c r="M517" t="s">
        <v>22</v>
      </c>
    </row>
    <row r="518" spans="1:13" x14ac:dyDescent="0.3">
      <c r="A518" t="s">
        <v>467</v>
      </c>
      <c r="B518" t="s">
        <v>468</v>
      </c>
      <c r="C518" t="s">
        <v>87</v>
      </c>
      <c r="D518" t="s">
        <v>16</v>
      </c>
      <c r="E518" t="s">
        <v>17</v>
      </c>
      <c r="F518" t="s">
        <v>151</v>
      </c>
      <c r="G518" s="1">
        <v>44003</v>
      </c>
      <c r="H518" s="1">
        <v>44186</v>
      </c>
      <c r="I518" t="s">
        <v>469</v>
      </c>
      <c r="J518" t="s">
        <v>470</v>
      </c>
      <c r="K518" t="s">
        <v>37</v>
      </c>
      <c r="L518" t="s">
        <v>30</v>
      </c>
      <c r="M518" t="s">
        <v>22</v>
      </c>
    </row>
    <row r="519" spans="1:13" x14ac:dyDescent="0.3">
      <c r="A519" t="s">
        <v>2034</v>
      </c>
      <c r="B519" t="s">
        <v>2035</v>
      </c>
      <c r="C519" t="s">
        <v>33</v>
      </c>
      <c r="D519" t="s">
        <v>67</v>
      </c>
      <c r="E519" t="s">
        <v>26</v>
      </c>
      <c r="F519" t="s">
        <v>18</v>
      </c>
      <c r="G519" s="1">
        <v>45048</v>
      </c>
      <c r="H519" s="1">
        <v>45306</v>
      </c>
      <c r="I519" t="s">
        <v>2036</v>
      </c>
      <c r="J519" t="s">
        <v>2037</v>
      </c>
      <c r="K519" t="s">
        <v>90</v>
      </c>
      <c r="L519" t="s">
        <v>55</v>
      </c>
      <c r="M519" t="s">
        <v>22</v>
      </c>
    </row>
    <row r="520" spans="1:13" x14ac:dyDescent="0.3">
      <c r="A520" t="s">
        <v>2038</v>
      </c>
      <c r="B520" t="s">
        <v>2039</v>
      </c>
      <c r="C520" t="s">
        <v>76</v>
      </c>
      <c r="D520" t="s">
        <v>51</v>
      </c>
      <c r="E520" t="s">
        <v>26</v>
      </c>
      <c r="F520" t="s">
        <v>18</v>
      </c>
      <c r="G520" s="1">
        <v>43726</v>
      </c>
      <c r="H520" s="1">
        <v>43934</v>
      </c>
      <c r="I520" t="s">
        <v>2040</v>
      </c>
      <c r="J520" t="s">
        <v>2041</v>
      </c>
      <c r="K520" t="s">
        <v>21</v>
      </c>
      <c r="M520" t="s">
        <v>22</v>
      </c>
    </row>
    <row r="521" spans="1:13" x14ac:dyDescent="0.3">
      <c r="A521" t="s">
        <v>2042</v>
      </c>
      <c r="B521" t="s">
        <v>2043</v>
      </c>
      <c r="C521" t="s">
        <v>46</v>
      </c>
      <c r="D521" t="s">
        <v>77</v>
      </c>
      <c r="E521" t="s">
        <v>52</v>
      </c>
      <c r="F521" t="s">
        <v>554</v>
      </c>
      <c r="G521" s="1">
        <v>43930</v>
      </c>
      <c r="H521" s="1">
        <v>44166</v>
      </c>
      <c r="I521" t="s">
        <v>2044</v>
      </c>
      <c r="J521" t="s">
        <v>2045</v>
      </c>
      <c r="K521" t="s">
        <v>21</v>
      </c>
      <c r="M521" t="s">
        <v>22</v>
      </c>
    </row>
    <row r="522" spans="1:13" x14ac:dyDescent="0.3">
      <c r="A522" t="s">
        <v>2046</v>
      </c>
      <c r="B522" t="s">
        <v>2047</v>
      </c>
      <c r="C522" t="s">
        <v>46</v>
      </c>
      <c r="D522" t="s">
        <v>16</v>
      </c>
      <c r="E522" t="s">
        <v>17</v>
      </c>
      <c r="F522" t="s">
        <v>18</v>
      </c>
      <c r="G522" s="1">
        <v>43748</v>
      </c>
      <c r="H522" s="1">
        <v>44019</v>
      </c>
      <c r="I522" t="s">
        <v>2048</v>
      </c>
      <c r="J522" t="s">
        <v>2049</v>
      </c>
      <c r="K522" t="s">
        <v>29</v>
      </c>
      <c r="L522" t="s">
        <v>116</v>
      </c>
      <c r="M522" t="s">
        <v>22</v>
      </c>
    </row>
    <row r="523" spans="1:13" x14ac:dyDescent="0.3">
      <c r="A523" t="s">
        <v>2050</v>
      </c>
      <c r="B523" t="s">
        <v>2051</v>
      </c>
      <c r="C523" t="s">
        <v>538</v>
      </c>
      <c r="D523" t="s">
        <v>67</v>
      </c>
      <c r="E523" t="s">
        <v>26</v>
      </c>
      <c r="F523" t="s">
        <v>18</v>
      </c>
      <c r="G523" s="1">
        <v>44471</v>
      </c>
      <c r="H523" s="1">
        <v>44515</v>
      </c>
      <c r="I523" t="s">
        <v>2052</v>
      </c>
      <c r="J523" t="s">
        <v>2053</v>
      </c>
      <c r="K523" t="s">
        <v>37</v>
      </c>
      <c r="L523" t="s">
        <v>30</v>
      </c>
      <c r="M523" t="s">
        <v>22</v>
      </c>
    </row>
    <row r="524" spans="1:13" x14ac:dyDescent="0.3">
      <c r="A524" t="s">
        <v>2054</v>
      </c>
      <c r="B524" t="s">
        <v>2055</v>
      </c>
      <c r="C524" t="s">
        <v>46</v>
      </c>
      <c r="D524" t="s">
        <v>41</v>
      </c>
      <c r="E524" t="s">
        <v>17</v>
      </c>
      <c r="F524" t="s">
        <v>160</v>
      </c>
      <c r="G524" s="1">
        <v>44258</v>
      </c>
      <c r="H524" s="1">
        <v>44258</v>
      </c>
      <c r="I524" t="s">
        <v>2056</v>
      </c>
      <c r="J524" t="s">
        <v>2057</v>
      </c>
      <c r="K524" t="s">
        <v>21</v>
      </c>
      <c r="M524" t="s">
        <v>22</v>
      </c>
    </row>
    <row r="525" spans="1:13" x14ac:dyDescent="0.3">
      <c r="A525" t="s">
        <v>2058</v>
      </c>
      <c r="B525" t="s">
        <v>2059</v>
      </c>
      <c r="C525" t="s">
        <v>33</v>
      </c>
      <c r="D525" t="s">
        <v>77</v>
      </c>
      <c r="E525" t="s">
        <v>52</v>
      </c>
      <c r="F525" t="s">
        <v>18</v>
      </c>
      <c r="G525" s="1">
        <v>45319</v>
      </c>
      <c r="H525" s="1">
        <v>45482</v>
      </c>
      <c r="I525" t="s">
        <v>2060</v>
      </c>
      <c r="J525" t="s">
        <v>2061</v>
      </c>
      <c r="K525" t="s">
        <v>90</v>
      </c>
      <c r="M525" t="s">
        <v>22</v>
      </c>
    </row>
    <row r="526" spans="1:13" x14ac:dyDescent="0.3">
      <c r="A526" t="s">
        <v>2062</v>
      </c>
      <c r="B526" t="s">
        <v>2063</v>
      </c>
      <c r="C526" t="s">
        <v>40</v>
      </c>
      <c r="D526" t="s">
        <v>51</v>
      </c>
      <c r="E526" t="s">
        <v>52</v>
      </c>
      <c r="F526" t="s">
        <v>18</v>
      </c>
      <c r="G526" s="1">
        <v>44430</v>
      </c>
      <c r="H526" s="1">
        <v>44582</v>
      </c>
      <c r="I526" t="s">
        <v>2064</v>
      </c>
      <c r="J526" t="s">
        <v>2065</v>
      </c>
      <c r="K526" t="s">
        <v>21</v>
      </c>
      <c r="M526" t="s">
        <v>22</v>
      </c>
    </row>
    <row r="527" spans="1:13" x14ac:dyDescent="0.3">
      <c r="A527" t="s">
        <v>2066</v>
      </c>
      <c r="B527" t="s">
        <v>2067</v>
      </c>
      <c r="C527" t="s">
        <v>87</v>
      </c>
      <c r="D527" t="s">
        <v>16</v>
      </c>
      <c r="E527" t="s">
        <v>17</v>
      </c>
      <c r="F527" t="s">
        <v>18</v>
      </c>
      <c r="G527" s="1">
        <v>45052</v>
      </c>
      <c r="H527" s="1">
        <v>45388</v>
      </c>
      <c r="I527" t="s">
        <v>2068</v>
      </c>
      <c r="J527" t="s">
        <v>2069</v>
      </c>
      <c r="K527" t="s">
        <v>21</v>
      </c>
      <c r="L527" t="s">
        <v>30</v>
      </c>
      <c r="M527" t="s">
        <v>22</v>
      </c>
    </row>
    <row r="528" spans="1:13" x14ac:dyDescent="0.3">
      <c r="A528" t="s">
        <v>2070</v>
      </c>
      <c r="B528" t="s">
        <v>2071</v>
      </c>
      <c r="C528" t="s">
        <v>40</v>
      </c>
      <c r="D528" t="s">
        <v>77</v>
      </c>
      <c r="E528" t="s">
        <v>52</v>
      </c>
      <c r="F528" t="s">
        <v>18</v>
      </c>
      <c r="G528" s="1">
        <v>44116</v>
      </c>
      <c r="H528" s="1">
        <v>44302</v>
      </c>
      <c r="I528" t="s">
        <v>2072</v>
      </c>
      <c r="J528" t="s">
        <v>2073</v>
      </c>
      <c r="K528" t="s">
        <v>21</v>
      </c>
      <c r="L528" t="s">
        <v>30</v>
      </c>
      <c r="M528" t="s">
        <v>22</v>
      </c>
    </row>
    <row r="529" spans="1:13" x14ac:dyDescent="0.3">
      <c r="A529" t="s">
        <v>2074</v>
      </c>
      <c r="B529" t="s">
        <v>2075</v>
      </c>
      <c r="C529" t="s">
        <v>46</v>
      </c>
      <c r="D529" t="s">
        <v>67</v>
      </c>
      <c r="E529" t="s">
        <v>26</v>
      </c>
      <c r="F529" t="s">
        <v>18</v>
      </c>
      <c r="G529" s="1">
        <v>43877</v>
      </c>
      <c r="H529" s="1">
        <v>43976</v>
      </c>
      <c r="I529" t="s">
        <v>2076</v>
      </c>
      <c r="J529" t="s">
        <v>2077</v>
      </c>
      <c r="K529" t="s">
        <v>29</v>
      </c>
      <c r="L529" t="s">
        <v>55</v>
      </c>
      <c r="M529" t="s">
        <v>22</v>
      </c>
    </row>
    <row r="530" spans="1:13" x14ac:dyDescent="0.3">
      <c r="A530" t="s">
        <v>2078</v>
      </c>
      <c r="B530" t="s">
        <v>2079</v>
      </c>
      <c r="C530" t="s">
        <v>33</v>
      </c>
      <c r="D530" t="s">
        <v>77</v>
      </c>
      <c r="E530" t="s">
        <v>52</v>
      </c>
      <c r="F530" t="s">
        <v>151</v>
      </c>
      <c r="G530" s="1">
        <v>44124</v>
      </c>
      <c r="H530" s="1">
        <v>44488</v>
      </c>
      <c r="I530" t="s">
        <v>2080</v>
      </c>
      <c r="J530" t="s">
        <v>2081</v>
      </c>
      <c r="K530" t="s">
        <v>37</v>
      </c>
      <c r="L530" t="s">
        <v>55</v>
      </c>
      <c r="M530" t="s">
        <v>22</v>
      </c>
    </row>
    <row r="531" spans="1:13" x14ac:dyDescent="0.3">
      <c r="A531" t="s">
        <v>2082</v>
      </c>
      <c r="B531" t="s">
        <v>2083</v>
      </c>
      <c r="C531" t="s">
        <v>181</v>
      </c>
      <c r="D531" t="s">
        <v>25</v>
      </c>
      <c r="F531" t="s">
        <v>18</v>
      </c>
      <c r="G531" s="1">
        <v>44787</v>
      </c>
      <c r="H531" s="1">
        <v>45092</v>
      </c>
      <c r="I531" t="s">
        <v>2084</v>
      </c>
      <c r="J531" t="s">
        <v>2085</v>
      </c>
      <c r="K531" t="s">
        <v>21</v>
      </c>
      <c r="L531" t="s">
        <v>91</v>
      </c>
      <c r="M531" t="s">
        <v>22</v>
      </c>
    </row>
    <row r="532" spans="1:13" x14ac:dyDescent="0.3">
      <c r="A532" t="s">
        <v>2086</v>
      </c>
      <c r="B532" t="s">
        <v>2087</v>
      </c>
      <c r="C532" t="s">
        <v>181</v>
      </c>
      <c r="D532" t="s">
        <v>16</v>
      </c>
      <c r="E532" t="s">
        <v>17</v>
      </c>
      <c r="F532" t="s">
        <v>18</v>
      </c>
      <c r="G532" s="1">
        <v>44944</v>
      </c>
      <c r="H532" s="1">
        <v>45227</v>
      </c>
      <c r="I532" t="s">
        <v>2088</v>
      </c>
      <c r="J532" t="s">
        <v>2089</v>
      </c>
      <c r="K532" t="s">
        <v>21</v>
      </c>
      <c r="L532" t="s">
        <v>91</v>
      </c>
      <c r="M532" t="s">
        <v>22</v>
      </c>
    </row>
    <row r="533" spans="1:13" x14ac:dyDescent="0.3">
      <c r="A533" t="s">
        <v>2090</v>
      </c>
      <c r="B533" t="s">
        <v>2091</v>
      </c>
      <c r="C533" t="s">
        <v>33</v>
      </c>
      <c r="D533" t="s">
        <v>51</v>
      </c>
      <c r="E533" t="s">
        <v>52</v>
      </c>
      <c r="F533" t="s">
        <v>18</v>
      </c>
      <c r="G533" s="1">
        <v>43725</v>
      </c>
      <c r="H533" s="1">
        <v>43810</v>
      </c>
      <c r="I533" t="s">
        <v>2092</v>
      </c>
      <c r="J533" t="s">
        <v>2093</v>
      </c>
      <c r="K533" t="s">
        <v>21</v>
      </c>
      <c r="L533" t="s">
        <v>116</v>
      </c>
      <c r="M533" t="s">
        <v>22</v>
      </c>
    </row>
    <row r="534" spans="1:13" x14ac:dyDescent="0.3">
      <c r="A534" t="s">
        <v>2094</v>
      </c>
      <c r="B534" t="s">
        <v>2095</v>
      </c>
      <c r="C534" t="s">
        <v>181</v>
      </c>
      <c r="D534" t="s">
        <v>16</v>
      </c>
      <c r="E534" t="s">
        <v>17</v>
      </c>
      <c r="F534" t="s">
        <v>18</v>
      </c>
      <c r="G534" s="1">
        <v>43559</v>
      </c>
      <c r="H534" s="1">
        <v>43711</v>
      </c>
      <c r="I534" t="s">
        <v>2096</v>
      </c>
      <c r="J534" t="s">
        <v>2097</v>
      </c>
      <c r="K534" t="s">
        <v>21</v>
      </c>
      <c r="L534" t="s">
        <v>91</v>
      </c>
      <c r="M534" t="s">
        <v>22</v>
      </c>
    </row>
    <row r="535" spans="1:13" x14ac:dyDescent="0.3">
      <c r="A535" t="s">
        <v>2098</v>
      </c>
      <c r="B535" t="s">
        <v>2099</v>
      </c>
      <c r="C535" t="s">
        <v>40</v>
      </c>
      <c r="D535" t="s">
        <v>51</v>
      </c>
      <c r="E535" t="s">
        <v>52</v>
      </c>
      <c r="F535" t="s">
        <v>18</v>
      </c>
      <c r="G535" s="1">
        <v>43866</v>
      </c>
      <c r="H535" s="1">
        <v>44083</v>
      </c>
      <c r="I535" t="s">
        <v>2100</v>
      </c>
      <c r="J535" t="s">
        <v>2101</v>
      </c>
      <c r="K535" t="s">
        <v>21</v>
      </c>
      <c r="L535" t="s">
        <v>55</v>
      </c>
      <c r="M535" t="s">
        <v>22</v>
      </c>
    </row>
    <row r="536" spans="1:13" x14ac:dyDescent="0.3">
      <c r="A536" t="s">
        <v>2102</v>
      </c>
      <c r="B536" t="s">
        <v>2103</v>
      </c>
      <c r="C536" t="s">
        <v>181</v>
      </c>
      <c r="D536" t="s">
        <v>77</v>
      </c>
      <c r="E536" t="s">
        <v>52</v>
      </c>
      <c r="F536" t="s">
        <v>18</v>
      </c>
      <c r="G536" s="1">
        <v>45182</v>
      </c>
      <c r="H536" s="1">
        <v>45482</v>
      </c>
      <c r="I536" t="s">
        <v>2104</v>
      </c>
      <c r="J536" t="s">
        <v>2105</v>
      </c>
      <c r="K536" t="s">
        <v>90</v>
      </c>
      <c r="L536" t="s">
        <v>30</v>
      </c>
      <c r="M536" t="s">
        <v>22</v>
      </c>
    </row>
    <row r="537" spans="1:13" x14ac:dyDescent="0.3">
      <c r="A537" t="s">
        <v>2106</v>
      </c>
      <c r="B537" t="s">
        <v>2107</v>
      </c>
      <c r="C537" t="s">
        <v>46</v>
      </c>
      <c r="D537" t="s">
        <v>51</v>
      </c>
      <c r="E537" t="s">
        <v>52</v>
      </c>
      <c r="F537" t="s">
        <v>18</v>
      </c>
      <c r="G537" s="1">
        <v>43706</v>
      </c>
      <c r="H537" s="1">
        <v>43732</v>
      </c>
      <c r="I537" t="s">
        <v>2108</v>
      </c>
      <c r="J537" t="s">
        <v>2109</v>
      </c>
      <c r="K537" t="s">
        <v>21</v>
      </c>
      <c r="L537" t="s">
        <v>116</v>
      </c>
      <c r="M537" t="s">
        <v>22</v>
      </c>
    </row>
    <row r="538" spans="1:13" x14ac:dyDescent="0.3">
      <c r="A538" t="s">
        <v>2110</v>
      </c>
      <c r="B538" t="s">
        <v>2111</v>
      </c>
      <c r="C538" t="s">
        <v>33</v>
      </c>
      <c r="D538" t="s">
        <v>77</v>
      </c>
      <c r="E538" t="s">
        <v>52</v>
      </c>
      <c r="F538" t="s">
        <v>151</v>
      </c>
      <c r="G538" s="1">
        <v>44871</v>
      </c>
      <c r="H538" s="1">
        <v>45058</v>
      </c>
      <c r="I538" t="s">
        <v>2112</v>
      </c>
      <c r="J538" t="s">
        <v>2113</v>
      </c>
      <c r="K538" t="s">
        <v>21</v>
      </c>
      <c r="L538" t="s">
        <v>55</v>
      </c>
      <c r="M538" t="s">
        <v>22</v>
      </c>
    </row>
    <row r="539" spans="1:13" x14ac:dyDescent="0.3">
      <c r="A539" t="s">
        <v>2114</v>
      </c>
      <c r="B539" t="s">
        <v>2115</v>
      </c>
      <c r="C539" t="s">
        <v>15</v>
      </c>
      <c r="D539" t="s">
        <v>41</v>
      </c>
      <c r="E539" t="s">
        <v>17</v>
      </c>
      <c r="F539" t="s">
        <v>18</v>
      </c>
      <c r="G539" s="1">
        <v>43638</v>
      </c>
      <c r="H539" s="1">
        <v>43935</v>
      </c>
      <c r="I539" t="s">
        <v>2116</v>
      </c>
      <c r="J539" t="s">
        <v>2117</v>
      </c>
      <c r="K539" t="s">
        <v>29</v>
      </c>
      <c r="L539" t="s">
        <v>60</v>
      </c>
      <c r="M539" t="s">
        <v>22</v>
      </c>
    </row>
    <row r="540" spans="1:13" x14ac:dyDescent="0.3">
      <c r="A540" t="s">
        <v>2118</v>
      </c>
      <c r="B540" t="s">
        <v>2119</v>
      </c>
      <c r="C540" t="s">
        <v>40</v>
      </c>
      <c r="D540" t="s">
        <v>67</v>
      </c>
      <c r="E540" t="s">
        <v>26</v>
      </c>
      <c r="F540" t="s">
        <v>151</v>
      </c>
      <c r="G540" s="1">
        <v>43554</v>
      </c>
      <c r="H540" s="1">
        <v>43574</v>
      </c>
      <c r="I540" t="s">
        <v>2120</v>
      </c>
      <c r="J540" t="s">
        <v>2121</v>
      </c>
      <c r="K540" t="s">
        <v>29</v>
      </c>
      <c r="L540" t="s">
        <v>116</v>
      </c>
      <c r="M540" t="s">
        <v>22</v>
      </c>
    </row>
    <row r="541" spans="1:13" x14ac:dyDescent="0.3">
      <c r="A541" t="s">
        <v>2122</v>
      </c>
      <c r="B541" t="s">
        <v>2123</v>
      </c>
      <c r="C541" t="s">
        <v>40</v>
      </c>
      <c r="D541" t="s">
        <v>34</v>
      </c>
      <c r="E541" t="s">
        <v>26</v>
      </c>
      <c r="F541" t="s">
        <v>18</v>
      </c>
      <c r="G541" s="1">
        <v>45282</v>
      </c>
      <c r="H541" s="1">
        <v>45319</v>
      </c>
      <c r="I541" t="s">
        <v>2124</v>
      </c>
      <c r="J541" t="s">
        <v>1248</v>
      </c>
      <c r="K541" t="s">
        <v>37</v>
      </c>
      <c r="L541" t="s">
        <v>60</v>
      </c>
      <c r="M541" t="s">
        <v>22</v>
      </c>
    </row>
    <row r="542" spans="1:13" x14ac:dyDescent="0.3">
      <c r="A542" t="s">
        <v>2125</v>
      </c>
      <c r="B542" t="s">
        <v>2126</v>
      </c>
      <c r="C542" t="s">
        <v>40</v>
      </c>
      <c r="D542" t="s">
        <v>25</v>
      </c>
      <c r="E542" t="s">
        <v>26</v>
      </c>
      <c r="F542" t="s">
        <v>18</v>
      </c>
      <c r="G542" s="1">
        <v>43618</v>
      </c>
      <c r="H542" s="1">
        <v>43773</v>
      </c>
      <c r="I542" t="s">
        <v>2127</v>
      </c>
      <c r="J542" t="s">
        <v>2128</v>
      </c>
      <c r="K542" t="s">
        <v>90</v>
      </c>
      <c r="L542" t="s">
        <v>55</v>
      </c>
      <c r="M542" t="s">
        <v>22</v>
      </c>
    </row>
    <row r="543" spans="1:13" x14ac:dyDescent="0.3">
      <c r="A543" t="s">
        <v>2129</v>
      </c>
      <c r="B543" t="s">
        <v>2130</v>
      </c>
      <c r="C543" t="s">
        <v>33</v>
      </c>
      <c r="D543" t="s">
        <v>51</v>
      </c>
      <c r="E543" t="s">
        <v>52</v>
      </c>
      <c r="F543" t="s">
        <v>18</v>
      </c>
      <c r="G543" s="1">
        <v>44312</v>
      </c>
      <c r="H543" s="1">
        <v>44577</v>
      </c>
      <c r="I543" t="s">
        <v>2131</v>
      </c>
      <c r="J543" t="s">
        <v>2132</v>
      </c>
      <c r="K543" t="s">
        <v>21</v>
      </c>
      <c r="L543" t="s">
        <v>30</v>
      </c>
      <c r="M543" t="s">
        <v>22</v>
      </c>
    </row>
    <row r="544" spans="1:13" x14ac:dyDescent="0.3">
      <c r="A544" t="s">
        <v>1280</v>
      </c>
      <c r="B544" t="s">
        <v>1281</v>
      </c>
      <c r="C544" t="s">
        <v>181</v>
      </c>
      <c r="D544" t="s">
        <v>77</v>
      </c>
      <c r="E544" t="s">
        <v>52</v>
      </c>
      <c r="F544" t="s">
        <v>18</v>
      </c>
      <c r="G544" s="1">
        <v>45396</v>
      </c>
      <c r="H544" s="1">
        <v>45712</v>
      </c>
      <c r="I544" t="s">
        <v>177</v>
      </c>
      <c r="J544" t="s">
        <v>1283</v>
      </c>
      <c r="K544" t="s">
        <v>37</v>
      </c>
      <c r="L544" t="s">
        <v>60</v>
      </c>
      <c r="M544" t="s">
        <v>22</v>
      </c>
    </row>
    <row r="545" spans="1:13" x14ac:dyDescent="0.3">
      <c r="A545" t="s">
        <v>2133</v>
      </c>
      <c r="B545" t="s">
        <v>2134</v>
      </c>
      <c r="C545" t="s">
        <v>40</v>
      </c>
      <c r="D545" t="s">
        <v>16</v>
      </c>
      <c r="E545" t="s">
        <v>17</v>
      </c>
      <c r="F545" t="s">
        <v>160</v>
      </c>
      <c r="G545" s="1">
        <v>45182</v>
      </c>
      <c r="H545" s="1">
        <v>45457</v>
      </c>
      <c r="I545" t="s">
        <v>2135</v>
      </c>
      <c r="J545" t="s">
        <v>2136</v>
      </c>
      <c r="K545" t="s">
        <v>21</v>
      </c>
      <c r="L545" t="s">
        <v>55</v>
      </c>
      <c r="M545" t="s">
        <v>22</v>
      </c>
    </row>
    <row r="546" spans="1:13" x14ac:dyDescent="0.3">
      <c r="A546" t="s">
        <v>487</v>
      </c>
      <c r="B546" t="s">
        <v>488</v>
      </c>
      <c r="C546" t="s">
        <v>40</v>
      </c>
      <c r="D546" t="s">
        <v>67</v>
      </c>
      <c r="E546" t="s">
        <v>26</v>
      </c>
      <c r="F546" t="s">
        <v>18</v>
      </c>
      <c r="G546" s="1">
        <v>45056</v>
      </c>
      <c r="H546" s="1">
        <v>45180</v>
      </c>
      <c r="I546" t="s">
        <v>489</v>
      </c>
      <c r="J546" t="s">
        <v>490</v>
      </c>
      <c r="K546" t="s">
        <v>29</v>
      </c>
      <c r="M546" t="s">
        <v>22</v>
      </c>
    </row>
    <row r="547" spans="1:13" x14ac:dyDescent="0.3">
      <c r="A547" t="s">
        <v>2137</v>
      </c>
      <c r="B547" t="s">
        <v>2138</v>
      </c>
      <c r="C547" t="s">
        <v>40</v>
      </c>
      <c r="D547" t="s">
        <v>77</v>
      </c>
      <c r="E547" t="s">
        <v>52</v>
      </c>
      <c r="F547" t="s">
        <v>18</v>
      </c>
      <c r="G547" s="1">
        <v>43644</v>
      </c>
      <c r="H547" s="1">
        <v>43758</v>
      </c>
      <c r="I547" t="s">
        <v>2139</v>
      </c>
      <c r="J547" t="s">
        <v>2140</v>
      </c>
      <c r="K547" t="s">
        <v>21</v>
      </c>
      <c r="L547" t="s">
        <v>91</v>
      </c>
      <c r="M547" t="s">
        <v>22</v>
      </c>
    </row>
    <row r="548" spans="1:13" x14ac:dyDescent="0.3">
      <c r="A548" t="s">
        <v>2141</v>
      </c>
      <c r="B548" t="s">
        <v>2142</v>
      </c>
      <c r="C548" t="s">
        <v>87</v>
      </c>
      <c r="D548" t="s">
        <v>34</v>
      </c>
      <c r="E548" t="s">
        <v>26</v>
      </c>
      <c r="F548" t="s">
        <v>18</v>
      </c>
      <c r="G548" s="1">
        <v>44283</v>
      </c>
      <c r="H548" s="1">
        <v>44332</v>
      </c>
      <c r="I548" t="s">
        <v>2143</v>
      </c>
      <c r="J548" t="s">
        <v>2144</v>
      </c>
      <c r="K548" t="s">
        <v>37</v>
      </c>
      <c r="M548" t="s">
        <v>22</v>
      </c>
    </row>
    <row r="549" spans="1:13" x14ac:dyDescent="0.3">
      <c r="A549" t="s">
        <v>2145</v>
      </c>
      <c r="B549" t="s">
        <v>2146</v>
      </c>
      <c r="C549" t="s">
        <v>33</v>
      </c>
      <c r="D549" t="s">
        <v>77</v>
      </c>
      <c r="E549" t="s">
        <v>52</v>
      </c>
      <c r="F549" t="s">
        <v>18</v>
      </c>
      <c r="G549" s="1">
        <v>44570</v>
      </c>
      <c r="H549" s="1">
        <v>44622</v>
      </c>
      <c r="I549" t="s">
        <v>2147</v>
      </c>
      <c r="J549" t="s">
        <v>2148</v>
      </c>
      <c r="K549" t="s">
        <v>37</v>
      </c>
      <c r="L549" t="s">
        <v>30</v>
      </c>
      <c r="M549" t="s">
        <v>22</v>
      </c>
    </row>
    <row r="550" spans="1:13" x14ac:dyDescent="0.3">
      <c r="A550" t="s">
        <v>2149</v>
      </c>
      <c r="B550" t="s">
        <v>2150</v>
      </c>
      <c r="C550" t="s">
        <v>76</v>
      </c>
      <c r="D550" t="s">
        <v>51</v>
      </c>
      <c r="E550" t="s">
        <v>52</v>
      </c>
      <c r="F550" t="s">
        <v>18</v>
      </c>
      <c r="G550" s="1">
        <v>45226</v>
      </c>
      <c r="H550" s="1">
        <v>45522</v>
      </c>
      <c r="I550" t="s">
        <v>2151</v>
      </c>
      <c r="J550" t="s">
        <v>2152</v>
      </c>
      <c r="K550" t="s">
        <v>21</v>
      </c>
      <c r="L550" t="s">
        <v>30</v>
      </c>
      <c r="M550" t="s">
        <v>22</v>
      </c>
    </row>
    <row r="551" spans="1:13" x14ac:dyDescent="0.3">
      <c r="A551" t="s">
        <v>2153</v>
      </c>
      <c r="B551" t="s">
        <v>2154</v>
      </c>
      <c r="C551" t="s">
        <v>46</v>
      </c>
      <c r="D551" t="s">
        <v>41</v>
      </c>
      <c r="E551" t="s">
        <v>17</v>
      </c>
      <c r="F551" t="s">
        <v>18</v>
      </c>
      <c r="G551" s="1">
        <v>43545</v>
      </c>
      <c r="H551" s="1">
        <v>43740</v>
      </c>
      <c r="I551" t="s">
        <v>2155</v>
      </c>
      <c r="J551" t="s">
        <v>2156</v>
      </c>
      <c r="K551" t="s">
        <v>21</v>
      </c>
      <c r="L551" t="s">
        <v>116</v>
      </c>
      <c r="M551" t="s">
        <v>22</v>
      </c>
    </row>
    <row r="552" spans="1:13" x14ac:dyDescent="0.3">
      <c r="A552" t="s">
        <v>2157</v>
      </c>
      <c r="B552" t="s">
        <v>2158</v>
      </c>
      <c r="C552" t="s">
        <v>46</v>
      </c>
      <c r="D552" t="s">
        <v>77</v>
      </c>
      <c r="E552" t="s">
        <v>52</v>
      </c>
      <c r="F552" t="s">
        <v>18</v>
      </c>
      <c r="G552" s="1">
        <v>43590</v>
      </c>
      <c r="H552" s="1">
        <v>43844</v>
      </c>
      <c r="I552" t="s">
        <v>2159</v>
      </c>
      <c r="J552" t="s">
        <v>2160</v>
      </c>
      <c r="K552" t="s">
        <v>29</v>
      </c>
      <c r="L552" t="s">
        <v>30</v>
      </c>
      <c r="M552" t="s">
        <v>22</v>
      </c>
    </row>
    <row r="553" spans="1:13" x14ac:dyDescent="0.3">
      <c r="A553" t="s">
        <v>2161</v>
      </c>
      <c r="B553" t="s">
        <v>2162</v>
      </c>
      <c r="C553" t="s">
        <v>87</v>
      </c>
      <c r="D553" t="s">
        <v>34</v>
      </c>
      <c r="E553" t="s">
        <v>26</v>
      </c>
      <c r="F553" t="s">
        <v>18</v>
      </c>
      <c r="G553" s="1">
        <v>44943</v>
      </c>
      <c r="H553" s="1">
        <v>44977</v>
      </c>
      <c r="I553" t="s">
        <v>2163</v>
      </c>
      <c r="J553" t="s">
        <v>2164</v>
      </c>
      <c r="K553" t="s">
        <v>90</v>
      </c>
      <c r="L553" t="s">
        <v>30</v>
      </c>
      <c r="M553" t="s">
        <v>22</v>
      </c>
    </row>
    <row r="554" spans="1:13" x14ac:dyDescent="0.3">
      <c r="A554" t="s">
        <v>2165</v>
      </c>
      <c r="B554" t="s">
        <v>2166</v>
      </c>
      <c r="C554" t="s">
        <v>40</v>
      </c>
      <c r="D554" t="s">
        <v>77</v>
      </c>
      <c r="E554" t="s">
        <v>52</v>
      </c>
      <c r="F554" t="s">
        <v>18</v>
      </c>
      <c r="G554" s="1">
        <v>45198</v>
      </c>
      <c r="H554" s="1">
        <v>45244</v>
      </c>
      <c r="I554" t="s">
        <v>2167</v>
      </c>
      <c r="J554" t="s">
        <v>2168</v>
      </c>
      <c r="K554" t="s">
        <v>37</v>
      </c>
      <c r="L554" t="s">
        <v>30</v>
      </c>
      <c r="M554" t="s">
        <v>22</v>
      </c>
    </row>
    <row r="555" spans="1:13" x14ac:dyDescent="0.3">
      <c r="A555" t="s">
        <v>2169</v>
      </c>
      <c r="B555" t="s">
        <v>2170</v>
      </c>
      <c r="C555" t="s">
        <v>15</v>
      </c>
      <c r="D555" t="s">
        <v>67</v>
      </c>
      <c r="E555" t="s">
        <v>26</v>
      </c>
      <c r="F555" t="s">
        <v>160</v>
      </c>
      <c r="G555" s="1">
        <v>45276</v>
      </c>
      <c r="H555" s="1">
        <v>45449</v>
      </c>
      <c r="I555" t="s">
        <v>2171</v>
      </c>
      <c r="J555" t="s">
        <v>2172</v>
      </c>
      <c r="K555" t="s">
        <v>90</v>
      </c>
      <c r="L555" t="s">
        <v>55</v>
      </c>
      <c r="M555" t="s">
        <v>22</v>
      </c>
    </row>
    <row r="556" spans="1:13" x14ac:dyDescent="0.3">
      <c r="A556" t="s">
        <v>2173</v>
      </c>
      <c r="B556" t="s">
        <v>2174</v>
      </c>
      <c r="C556" t="s">
        <v>46</v>
      </c>
      <c r="D556" t="s">
        <v>41</v>
      </c>
      <c r="E556" t="s">
        <v>17</v>
      </c>
      <c r="F556" t="s">
        <v>18</v>
      </c>
      <c r="G556" s="1">
        <v>45059</v>
      </c>
      <c r="H556" s="1">
        <v>45405</v>
      </c>
      <c r="I556" t="s">
        <v>2175</v>
      </c>
      <c r="J556" t="s">
        <v>2176</v>
      </c>
      <c r="K556" t="s">
        <v>21</v>
      </c>
      <c r="M556" t="s">
        <v>22</v>
      </c>
    </row>
    <row r="557" spans="1:13" x14ac:dyDescent="0.3">
      <c r="A557" t="s">
        <v>2177</v>
      </c>
      <c r="B557" t="s">
        <v>2178</v>
      </c>
      <c r="C557" t="s">
        <v>87</v>
      </c>
      <c r="D557" t="s">
        <v>51</v>
      </c>
      <c r="E557" t="s">
        <v>52</v>
      </c>
      <c r="F557" t="s">
        <v>18</v>
      </c>
      <c r="G557" s="1">
        <v>45280</v>
      </c>
      <c r="H557" s="1">
        <v>45395</v>
      </c>
      <c r="I557" t="s">
        <v>2179</v>
      </c>
      <c r="K557" t="s">
        <v>37</v>
      </c>
      <c r="M557" t="s">
        <v>22</v>
      </c>
    </row>
    <row r="558" spans="1:13" x14ac:dyDescent="0.3">
      <c r="A558" t="s">
        <v>2180</v>
      </c>
      <c r="B558" t="s">
        <v>1774</v>
      </c>
      <c r="C558" t="s">
        <v>87</v>
      </c>
      <c r="D558" t="s">
        <v>16</v>
      </c>
      <c r="E558" t="s">
        <v>17</v>
      </c>
      <c r="F558" t="s">
        <v>18</v>
      </c>
      <c r="G558" s="1">
        <v>44573</v>
      </c>
      <c r="H558" s="1">
        <v>44709</v>
      </c>
      <c r="I558" t="s">
        <v>1775</v>
      </c>
      <c r="J558" t="s">
        <v>2181</v>
      </c>
      <c r="K558" t="s">
        <v>21</v>
      </c>
      <c r="L558" t="s">
        <v>30</v>
      </c>
      <c r="M558" t="s">
        <v>22</v>
      </c>
    </row>
    <row r="559" spans="1:13" x14ac:dyDescent="0.3">
      <c r="A559" t="s">
        <v>2182</v>
      </c>
      <c r="B559" t="s">
        <v>2183</v>
      </c>
      <c r="C559" t="s">
        <v>33</v>
      </c>
      <c r="D559" t="s">
        <v>34</v>
      </c>
      <c r="E559" t="s">
        <v>26</v>
      </c>
      <c r="F559" t="s">
        <v>151</v>
      </c>
      <c r="G559" s="1">
        <v>44977</v>
      </c>
      <c r="H559" s="1">
        <v>45209</v>
      </c>
      <c r="I559" t="s">
        <v>2184</v>
      </c>
      <c r="J559" t="s">
        <v>2185</v>
      </c>
      <c r="K559" t="s">
        <v>90</v>
      </c>
      <c r="M559" t="s">
        <v>22</v>
      </c>
    </row>
    <row r="560" spans="1:13" x14ac:dyDescent="0.3">
      <c r="A560" t="s">
        <v>2186</v>
      </c>
      <c r="B560" t="s">
        <v>2187</v>
      </c>
      <c r="C560" t="s">
        <v>15</v>
      </c>
      <c r="D560" t="s">
        <v>34</v>
      </c>
      <c r="E560" t="s">
        <v>26</v>
      </c>
      <c r="F560" t="s">
        <v>18</v>
      </c>
      <c r="G560" s="1">
        <v>43631</v>
      </c>
      <c r="H560" s="1">
        <v>43741</v>
      </c>
      <c r="I560" t="s">
        <v>2188</v>
      </c>
      <c r="J560" t="s">
        <v>2189</v>
      </c>
      <c r="K560" t="s">
        <v>90</v>
      </c>
      <c r="M560" t="s">
        <v>22</v>
      </c>
    </row>
    <row r="561" spans="1:13" x14ac:dyDescent="0.3">
      <c r="A561" t="s">
        <v>2190</v>
      </c>
      <c r="B561" t="s">
        <v>2191</v>
      </c>
      <c r="C561" t="s">
        <v>46</v>
      </c>
      <c r="D561" t="s">
        <v>25</v>
      </c>
      <c r="E561" t="s">
        <v>26</v>
      </c>
      <c r="F561" t="s">
        <v>18</v>
      </c>
      <c r="G561" s="1">
        <v>43974</v>
      </c>
      <c r="H561" s="1">
        <v>44247</v>
      </c>
      <c r="I561" t="s">
        <v>2192</v>
      </c>
      <c r="J561" t="s">
        <v>2193</v>
      </c>
      <c r="K561" t="s">
        <v>90</v>
      </c>
      <c r="M561" t="s">
        <v>22</v>
      </c>
    </row>
    <row r="562" spans="1:13" x14ac:dyDescent="0.3">
      <c r="A562" t="s">
        <v>2194</v>
      </c>
      <c r="B562" t="s">
        <v>2195</v>
      </c>
      <c r="C562" t="s">
        <v>87</v>
      </c>
      <c r="D562" t="s">
        <v>51</v>
      </c>
      <c r="E562" t="s">
        <v>52</v>
      </c>
      <c r="F562" t="s">
        <v>160</v>
      </c>
      <c r="G562" s="1">
        <v>43696</v>
      </c>
      <c r="H562" s="1">
        <v>43876</v>
      </c>
      <c r="I562" t="s">
        <v>2196</v>
      </c>
      <c r="J562" t="s">
        <v>2197</v>
      </c>
      <c r="K562" t="s">
        <v>29</v>
      </c>
      <c r="L562" t="s">
        <v>30</v>
      </c>
      <c r="M562" t="s">
        <v>22</v>
      </c>
    </row>
    <row r="563" spans="1:13" x14ac:dyDescent="0.3">
      <c r="A563" t="s">
        <v>2198</v>
      </c>
      <c r="B563" t="s">
        <v>2199</v>
      </c>
      <c r="C563" t="s">
        <v>76</v>
      </c>
      <c r="D563" t="s">
        <v>77</v>
      </c>
      <c r="E563" t="s">
        <v>52</v>
      </c>
      <c r="F563" t="s">
        <v>18</v>
      </c>
      <c r="G563" s="1">
        <v>44948</v>
      </c>
      <c r="H563" s="1">
        <v>45210</v>
      </c>
      <c r="I563" t="s">
        <v>2200</v>
      </c>
      <c r="J563" t="s">
        <v>2201</v>
      </c>
      <c r="K563" t="s">
        <v>21</v>
      </c>
      <c r="L563" t="s">
        <v>91</v>
      </c>
      <c r="M563" t="s">
        <v>22</v>
      </c>
    </row>
    <row r="564" spans="1:13" x14ac:dyDescent="0.3">
      <c r="A564" t="s">
        <v>2202</v>
      </c>
      <c r="B564" t="s">
        <v>2203</v>
      </c>
      <c r="C564" t="s">
        <v>40</v>
      </c>
      <c r="D564" t="s">
        <v>25</v>
      </c>
      <c r="E564" t="s">
        <v>26</v>
      </c>
      <c r="F564" t="s">
        <v>151</v>
      </c>
      <c r="G564" s="1">
        <v>43678</v>
      </c>
      <c r="H564" s="1">
        <v>43843</v>
      </c>
      <c r="I564" t="s">
        <v>2204</v>
      </c>
      <c r="J564" t="s">
        <v>2205</v>
      </c>
      <c r="K564" t="s">
        <v>29</v>
      </c>
      <c r="L564" t="s">
        <v>60</v>
      </c>
      <c r="M564" t="s">
        <v>22</v>
      </c>
    </row>
    <row r="565" spans="1:13" x14ac:dyDescent="0.3">
      <c r="A565" t="s">
        <v>2206</v>
      </c>
      <c r="B565" t="s">
        <v>2207</v>
      </c>
      <c r="C565" t="s">
        <v>181</v>
      </c>
      <c r="D565" t="s">
        <v>34</v>
      </c>
      <c r="E565" t="s">
        <v>26</v>
      </c>
      <c r="F565" t="s">
        <v>18</v>
      </c>
      <c r="G565" s="1">
        <v>43902</v>
      </c>
      <c r="H565" s="1">
        <v>44119</v>
      </c>
      <c r="I565" t="s">
        <v>2208</v>
      </c>
      <c r="J565" t="s">
        <v>2209</v>
      </c>
      <c r="K565" t="s">
        <v>21</v>
      </c>
      <c r="L565" t="s">
        <v>60</v>
      </c>
      <c r="M565" t="s">
        <v>22</v>
      </c>
    </row>
    <row r="566" spans="1:13" x14ac:dyDescent="0.3">
      <c r="A566" t="s">
        <v>2210</v>
      </c>
      <c r="B566" t="s">
        <v>2211</v>
      </c>
      <c r="C566" t="s">
        <v>33</v>
      </c>
      <c r="D566" t="s">
        <v>16</v>
      </c>
      <c r="E566" t="s">
        <v>17</v>
      </c>
      <c r="F566" t="s">
        <v>160</v>
      </c>
      <c r="G566" s="1">
        <v>44935</v>
      </c>
      <c r="H566" s="1">
        <v>45237</v>
      </c>
      <c r="I566" t="s">
        <v>2212</v>
      </c>
      <c r="J566" t="s">
        <v>2213</v>
      </c>
      <c r="K566" t="s">
        <v>37</v>
      </c>
      <c r="L566" t="s">
        <v>91</v>
      </c>
      <c r="M566" t="s">
        <v>22</v>
      </c>
    </row>
    <row r="567" spans="1:13" x14ac:dyDescent="0.3">
      <c r="A567" t="s">
        <v>2214</v>
      </c>
      <c r="B567" t="s">
        <v>2215</v>
      </c>
      <c r="C567" t="s">
        <v>76</v>
      </c>
      <c r="D567" t="s">
        <v>77</v>
      </c>
      <c r="E567" t="s">
        <v>52</v>
      </c>
      <c r="F567" t="s">
        <v>160</v>
      </c>
      <c r="G567" s="1">
        <v>43638</v>
      </c>
      <c r="H567" s="1">
        <v>43891</v>
      </c>
      <c r="I567" t="s">
        <v>2216</v>
      </c>
      <c r="J567" t="s">
        <v>2217</v>
      </c>
      <c r="K567" t="s">
        <v>37</v>
      </c>
      <c r="M567" t="s">
        <v>22</v>
      </c>
    </row>
    <row r="568" spans="1:13" x14ac:dyDescent="0.3">
      <c r="A568" t="s">
        <v>2218</v>
      </c>
      <c r="B568" t="s">
        <v>2219</v>
      </c>
      <c r="C568" t="s">
        <v>87</v>
      </c>
      <c r="D568" t="s">
        <v>25</v>
      </c>
      <c r="E568" t="s">
        <v>26</v>
      </c>
      <c r="F568" t="s">
        <v>18</v>
      </c>
      <c r="G568" s="1">
        <v>45349</v>
      </c>
      <c r="H568" s="1">
        <v>45388</v>
      </c>
      <c r="I568" t="s">
        <v>2220</v>
      </c>
      <c r="J568" t="s">
        <v>2221</v>
      </c>
      <c r="K568" t="s">
        <v>21</v>
      </c>
      <c r="M568" t="s">
        <v>22</v>
      </c>
    </row>
    <row r="569" spans="1:13" x14ac:dyDescent="0.3">
      <c r="A569" t="s">
        <v>2222</v>
      </c>
      <c r="B569" t="s">
        <v>2223</v>
      </c>
      <c r="C569" t="s">
        <v>33</v>
      </c>
      <c r="D569" t="s">
        <v>77</v>
      </c>
      <c r="E569" t="s">
        <v>52</v>
      </c>
      <c r="F569" t="s">
        <v>18</v>
      </c>
      <c r="G569" s="1">
        <v>44657</v>
      </c>
      <c r="H569" s="1">
        <v>44725</v>
      </c>
      <c r="I569" t="s">
        <v>2224</v>
      </c>
      <c r="J569" t="s">
        <v>2225</v>
      </c>
      <c r="K569" t="s">
        <v>90</v>
      </c>
      <c r="L569" t="s">
        <v>30</v>
      </c>
      <c r="M569" t="s">
        <v>22</v>
      </c>
    </row>
    <row r="570" spans="1:13" x14ac:dyDescent="0.3">
      <c r="A570" t="s">
        <v>2226</v>
      </c>
      <c r="B570" t="s">
        <v>2227</v>
      </c>
      <c r="C570" t="s">
        <v>15</v>
      </c>
      <c r="D570" t="s">
        <v>25</v>
      </c>
      <c r="E570" t="s">
        <v>26</v>
      </c>
      <c r="F570" t="s">
        <v>18</v>
      </c>
      <c r="G570" s="1">
        <v>43757</v>
      </c>
      <c r="H570" s="1">
        <v>43998</v>
      </c>
      <c r="I570" t="s">
        <v>2228</v>
      </c>
      <c r="J570" t="s">
        <v>2229</v>
      </c>
      <c r="K570" t="s">
        <v>90</v>
      </c>
      <c r="M570" t="s">
        <v>22</v>
      </c>
    </row>
    <row r="571" spans="1:13" x14ac:dyDescent="0.3">
      <c r="A571" t="s">
        <v>2230</v>
      </c>
      <c r="B571" t="s">
        <v>2231</v>
      </c>
      <c r="C571" t="s">
        <v>40</v>
      </c>
      <c r="D571" t="s">
        <v>77</v>
      </c>
      <c r="E571" t="s">
        <v>52</v>
      </c>
      <c r="F571" t="s">
        <v>151</v>
      </c>
      <c r="G571" s="1">
        <v>44278</v>
      </c>
      <c r="H571" s="1">
        <v>44316</v>
      </c>
      <c r="I571" t="s">
        <v>2232</v>
      </c>
      <c r="J571" t="s">
        <v>2233</v>
      </c>
      <c r="K571" t="s">
        <v>90</v>
      </c>
      <c r="M571" t="s">
        <v>22</v>
      </c>
    </row>
    <row r="572" spans="1:13" x14ac:dyDescent="0.3">
      <c r="A572" t="s">
        <v>2234</v>
      </c>
      <c r="B572" t="s">
        <v>2235</v>
      </c>
      <c r="C572" t="s">
        <v>76</v>
      </c>
      <c r="D572" t="s">
        <v>16</v>
      </c>
      <c r="E572" t="s">
        <v>17</v>
      </c>
      <c r="F572" t="s">
        <v>18</v>
      </c>
      <c r="G572" s="1">
        <v>44639</v>
      </c>
      <c r="H572" s="1">
        <v>44960</v>
      </c>
      <c r="I572" t="s">
        <v>2236</v>
      </c>
      <c r="J572" t="s">
        <v>2237</v>
      </c>
      <c r="K572" t="s">
        <v>21</v>
      </c>
      <c r="M572" t="s">
        <v>22</v>
      </c>
    </row>
    <row r="573" spans="1:13" x14ac:dyDescent="0.3">
      <c r="A573" t="s">
        <v>2238</v>
      </c>
      <c r="B573" t="s">
        <v>2239</v>
      </c>
      <c r="C573" t="s">
        <v>181</v>
      </c>
      <c r="D573" t="s">
        <v>67</v>
      </c>
      <c r="E573" t="s">
        <v>26</v>
      </c>
      <c r="F573" t="s">
        <v>18</v>
      </c>
      <c r="G573" s="1">
        <v>45402</v>
      </c>
      <c r="H573" s="1">
        <v>45526</v>
      </c>
      <c r="I573" t="s">
        <v>2240</v>
      </c>
      <c r="J573" t="s">
        <v>2241</v>
      </c>
      <c r="K573" t="s">
        <v>37</v>
      </c>
      <c r="L573" t="s">
        <v>60</v>
      </c>
      <c r="M573" t="s">
        <v>22</v>
      </c>
    </row>
    <row r="574" spans="1:13" x14ac:dyDescent="0.3">
      <c r="A574" t="s">
        <v>2242</v>
      </c>
      <c r="B574" t="s">
        <v>2243</v>
      </c>
      <c r="C574" t="s">
        <v>46</v>
      </c>
      <c r="D574" t="s">
        <v>34</v>
      </c>
      <c r="E574" t="s">
        <v>26</v>
      </c>
      <c r="F574" t="s">
        <v>151</v>
      </c>
      <c r="G574" s="1">
        <v>43998</v>
      </c>
      <c r="H574" s="1">
        <v>44302</v>
      </c>
      <c r="I574" t="s">
        <v>2244</v>
      </c>
      <c r="J574" t="s">
        <v>2245</v>
      </c>
      <c r="K574" t="s">
        <v>21</v>
      </c>
      <c r="L574" t="s">
        <v>30</v>
      </c>
      <c r="M574" t="s">
        <v>22</v>
      </c>
    </row>
    <row r="575" spans="1:13" x14ac:dyDescent="0.3">
      <c r="A575" t="s">
        <v>633</v>
      </c>
      <c r="B575" t="s">
        <v>634</v>
      </c>
      <c r="C575" t="s">
        <v>87</v>
      </c>
      <c r="D575" t="s">
        <v>67</v>
      </c>
      <c r="E575" t="s">
        <v>26</v>
      </c>
      <c r="F575" t="s">
        <v>18</v>
      </c>
      <c r="G575" s="1">
        <v>44461</v>
      </c>
      <c r="H575" s="1">
        <v>44531</v>
      </c>
      <c r="I575" t="s">
        <v>635</v>
      </c>
      <c r="J575" t="s">
        <v>2246</v>
      </c>
      <c r="K575" t="s">
        <v>37</v>
      </c>
      <c r="L575" t="s">
        <v>116</v>
      </c>
      <c r="M575" t="s">
        <v>22</v>
      </c>
    </row>
    <row r="576" spans="1:13" x14ac:dyDescent="0.3">
      <c r="A576" t="s">
        <v>2247</v>
      </c>
      <c r="B576" t="s">
        <v>2248</v>
      </c>
      <c r="C576" t="s">
        <v>33</v>
      </c>
      <c r="D576" t="s">
        <v>67</v>
      </c>
      <c r="E576" t="s">
        <v>26</v>
      </c>
      <c r="F576" t="s">
        <v>18</v>
      </c>
      <c r="G576" s="1">
        <v>45280</v>
      </c>
      <c r="H576" s="1">
        <v>45422</v>
      </c>
      <c r="I576" t="s">
        <v>2249</v>
      </c>
      <c r="J576" t="s">
        <v>2250</v>
      </c>
      <c r="K576" t="s">
        <v>90</v>
      </c>
      <c r="L576" t="s">
        <v>91</v>
      </c>
      <c r="M576" t="s">
        <v>22</v>
      </c>
    </row>
    <row r="577" spans="1:13" x14ac:dyDescent="0.3">
      <c r="A577" t="s">
        <v>2251</v>
      </c>
      <c r="B577" t="s">
        <v>2252</v>
      </c>
      <c r="C577" t="s">
        <v>40</v>
      </c>
      <c r="D577" t="s">
        <v>51</v>
      </c>
      <c r="E577" t="s">
        <v>52</v>
      </c>
      <c r="F577" t="s">
        <v>160</v>
      </c>
      <c r="G577" s="1">
        <v>44141</v>
      </c>
      <c r="H577" s="1">
        <v>44347</v>
      </c>
      <c r="I577" t="s">
        <v>2253</v>
      </c>
      <c r="K577" t="s">
        <v>37</v>
      </c>
      <c r="M577" t="s">
        <v>22</v>
      </c>
    </row>
    <row r="578" spans="1:13" x14ac:dyDescent="0.3">
      <c r="A578" t="s">
        <v>2254</v>
      </c>
      <c r="B578" t="s">
        <v>2255</v>
      </c>
      <c r="C578" t="s">
        <v>15</v>
      </c>
      <c r="D578" t="s">
        <v>77</v>
      </c>
      <c r="E578" t="s">
        <v>52</v>
      </c>
      <c r="F578" t="s">
        <v>151</v>
      </c>
      <c r="G578" s="1">
        <v>45365</v>
      </c>
      <c r="H578" s="1">
        <v>45721</v>
      </c>
      <c r="I578" t="s">
        <v>2256</v>
      </c>
      <c r="J578" t="s">
        <v>2257</v>
      </c>
      <c r="K578" t="s">
        <v>90</v>
      </c>
      <c r="L578" t="s">
        <v>55</v>
      </c>
      <c r="M578" t="s">
        <v>22</v>
      </c>
    </row>
    <row r="579" spans="1:13" x14ac:dyDescent="0.3">
      <c r="A579" t="s">
        <v>2258</v>
      </c>
      <c r="B579" t="s">
        <v>2259</v>
      </c>
      <c r="C579" t="s">
        <v>40</v>
      </c>
      <c r="D579" t="s">
        <v>67</v>
      </c>
      <c r="E579" t="s">
        <v>26</v>
      </c>
      <c r="F579" t="s">
        <v>18</v>
      </c>
      <c r="G579" s="1">
        <v>43561</v>
      </c>
      <c r="H579" s="1">
        <v>43735</v>
      </c>
      <c r="I579" t="s">
        <v>2260</v>
      </c>
      <c r="J579" t="s">
        <v>2261</v>
      </c>
      <c r="K579" t="s">
        <v>21</v>
      </c>
      <c r="L579" t="s">
        <v>60</v>
      </c>
      <c r="M579" t="s">
        <v>22</v>
      </c>
    </row>
    <row r="580" spans="1:13" x14ac:dyDescent="0.3">
      <c r="A580" t="s">
        <v>2262</v>
      </c>
      <c r="B580" t="s">
        <v>2263</v>
      </c>
      <c r="C580" t="s">
        <v>33</v>
      </c>
      <c r="D580" t="s">
        <v>16</v>
      </c>
      <c r="E580" t="s">
        <v>17</v>
      </c>
      <c r="F580" t="s">
        <v>151</v>
      </c>
      <c r="G580" s="1">
        <v>44482</v>
      </c>
      <c r="H580" s="1">
        <v>44618</v>
      </c>
      <c r="I580" t="s">
        <v>2264</v>
      </c>
      <c r="J580" t="s">
        <v>347</v>
      </c>
      <c r="K580" t="s">
        <v>21</v>
      </c>
      <c r="L580" t="s">
        <v>60</v>
      </c>
      <c r="M580" t="s">
        <v>22</v>
      </c>
    </row>
    <row r="581" spans="1:13" x14ac:dyDescent="0.3">
      <c r="A581" t="s">
        <v>2265</v>
      </c>
      <c r="B581" t="s">
        <v>2266</v>
      </c>
      <c r="C581" t="s">
        <v>602</v>
      </c>
      <c r="D581" t="s">
        <v>25</v>
      </c>
      <c r="E581" t="s">
        <v>26</v>
      </c>
      <c r="F581" t="s">
        <v>18</v>
      </c>
      <c r="G581" s="1">
        <v>43645</v>
      </c>
      <c r="H581" s="1">
        <v>43747</v>
      </c>
      <c r="I581" t="s">
        <v>2267</v>
      </c>
      <c r="J581" t="s">
        <v>2268</v>
      </c>
      <c r="K581" t="s">
        <v>29</v>
      </c>
      <c r="L581" t="s">
        <v>91</v>
      </c>
      <c r="M581" t="s">
        <v>22</v>
      </c>
    </row>
    <row r="582" spans="1:13" x14ac:dyDescent="0.3">
      <c r="A582" t="s">
        <v>2269</v>
      </c>
      <c r="B582" t="s">
        <v>2270</v>
      </c>
      <c r="C582" t="s">
        <v>40</v>
      </c>
      <c r="D582" t="s">
        <v>16</v>
      </c>
      <c r="E582" t="s">
        <v>17</v>
      </c>
      <c r="F582" t="s">
        <v>18</v>
      </c>
      <c r="G582" s="1">
        <v>44246</v>
      </c>
      <c r="H582" s="1">
        <v>44272</v>
      </c>
      <c r="I582" t="s">
        <v>2271</v>
      </c>
      <c r="J582" t="s">
        <v>2272</v>
      </c>
      <c r="K582" t="s">
        <v>90</v>
      </c>
      <c r="L582" t="s">
        <v>60</v>
      </c>
      <c r="M582" t="s">
        <v>22</v>
      </c>
    </row>
    <row r="583" spans="1:13" x14ac:dyDescent="0.3">
      <c r="A583" t="s">
        <v>2273</v>
      </c>
      <c r="B583" t="s">
        <v>2274</v>
      </c>
      <c r="C583" t="s">
        <v>76</v>
      </c>
      <c r="D583" t="s">
        <v>77</v>
      </c>
      <c r="E583" t="s">
        <v>52</v>
      </c>
      <c r="F583" t="s">
        <v>18</v>
      </c>
      <c r="G583" s="1">
        <v>43900</v>
      </c>
      <c r="H583" s="1">
        <v>44065</v>
      </c>
      <c r="I583" t="s">
        <v>2275</v>
      </c>
      <c r="J583" t="s">
        <v>2276</v>
      </c>
      <c r="K583" t="s">
        <v>90</v>
      </c>
      <c r="L583" t="s">
        <v>30</v>
      </c>
      <c r="M583" t="s">
        <v>22</v>
      </c>
    </row>
    <row r="584" spans="1:13" x14ac:dyDescent="0.3">
      <c r="A584" t="s">
        <v>2277</v>
      </c>
      <c r="B584" t="s">
        <v>2278</v>
      </c>
      <c r="C584" t="s">
        <v>15</v>
      </c>
      <c r="D584" t="s">
        <v>51</v>
      </c>
      <c r="E584" t="s">
        <v>52</v>
      </c>
      <c r="F584" t="s">
        <v>18</v>
      </c>
      <c r="G584" s="2">
        <v>44562</v>
      </c>
      <c r="H584" s="1">
        <v>44756</v>
      </c>
      <c r="I584" t="s">
        <v>2279</v>
      </c>
      <c r="J584" t="s">
        <v>2280</v>
      </c>
      <c r="K584" t="s">
        <v>90</v>
      </c>
      <c r="L584" t="s">
        <v>91</v>
      </c>
      <c r="M584" t="s">
        <v>22</v>
      </c>
    </row>
    <row r="585" spans="1:13" x14ac:dyDescent="0.3">
      <c r="A585" t="s">
        <v>2281</v>
      </c>
      <c r="B585" t="s">
        <v>2282</v>
      </c>
      <c r="C585" t="s">
        <v>181</v>
      </c>
      <c r="D585" t="s">
        <v>25</v>
      </c>
      <c r="F585" t="s">
        <v>18</v>
      </c>
      <c r="G585" s="1">
        <v>45527</v>
      </c>
      <c r="H585" s="1">
        <v>45640</v>
      </c>
      <c r="I585" t="s">
        <v>2283</v>
      </c>
      <c r="J585" t="s">
        <v>2284</v>
      </c>
      <c r="K585" t="s">
        <v>90</v>
      </c>
      <c r="L585" t="s">
        <v>30</v>
      </c>
      <c r="M585" t="s">
        <v>22</v>
      </c>
    </row>
    <row r="586" spans="1:13" x14ac:dyDescent="0.3">
      <c r="A586" t="s">
        <v>2285</v>
      </c>
      <c r="B586" t="s">
        <v>2286</v>
      </c>
      <c r="C586" t="s">
        <v>40</v>
      </c>
      <c r="D586" t="s">
        <v>67</v>
      </c>
      <c r="E586" t="s">
        <v>26</v>
      </c>
      <c r="F586" t="s">
        <v>18</v>
      </c>
      <c r="G586" s="1">
        <v>44998</v>
      </c>
      <c r="H586" s="1">
        <v>45128</v>
      </c>
      <c r="I586" t="s">
        <v>2287</v>
      </c>
      <c r="J586" t="s">
        <v>877</v>
      </c>
      <c r="K586" t="s">
        <v>37</v>
      </c>
      <c r="L586" t="s">
        <v>60</v>
      </c>
      <c r="M586" t="s">
        <v>22</v>
      </c>
    </row>
    <row r="587" spans="1:13" x14ac:dyDescent="0.3">
      <c r="A587" t="s">
        <v>2288</v>
      </c>
      <c r="B587" t="s">
        <v>2289</v>
      </c>
      <c r="C587" t="s">
        <v>87</v>
      </c>
      <c r="D587" t="s">
        <v>67</v>
      </c>
      <c r="E587" t="s">
        <v>26</v>
      </c>
      <c r="F587" t="s">
        <v>18</v>
      </c>
      <c r="G587" s="1">
        <v>44836</v>
      </c>
      <c r="H587" s="1">
        <v>44869</v>
      </c>
      <c r="I587" t="s">
        <v>2290</v>
      </c>
      <c r="J587" t="s">
        <v>2291</v>
      </c>
      <c r="K587" t="s">
        <v>21</v>
      </c>
      <c r="L587" t="s">
        <v>116</v>
      </c>
      <c r="M587" t="s">
        <v>22</v>
      </c>
    </row>
    <row r="588" spans="1:13" x14ac:dyDescent="0.3">
      <c r="A588" t="s">
        <v>2292</v>
      </c>
      <c r="B588" t="s">
        <v>2293</v>
      </c>
      <c r="C588" t="s">
        <v>181</v>
      </c>
      <c r="D588" t="s">
        <v>77</v>
      </c>
      <c r="E588" t="s">
        <v>52</v>
      </c>
      <c r="F588" t="s">
        <v>18</v>
      </c>
      <c r="G588" s="1">
        <v>45058</v>
      </c>
      <c r="H588" s="1">
        <v>45060</v>
      </c>
      <c r="I588" t="s">
        <v>2294</v>
      </c>
      <c r="J588" t="s">
        <v>2295</v>
      </c>
      <c r="K588" t="s">
        <v>29</v>
      </c>
      <c r="M588" t="s">
        <v>22</v>
      </c>
    </row>
    <row r="589" spans="1:13" x14ac:dyDescent="0.3">
      <c r="A589" t="s">
        <v>2296</v>
      </c>
      <c r="B589" t="s">
        <v>2297</v>
      </c>
      <c r="C589" t="s">
        <v>87</v>
      </c>
      <c r="D589" t="s">
        <v>16</v>
      </c>
      <c r="E589" t="s">
        <v>17</v>
      </c>
      <c r="F589" t="s">
        <v>18</v>
      </c>
      <c r="G589" s="1">
        <v>43751</v>
      </c>
      <c r="H589" s="1">
        <v>43794</v>
      </c>
      <c r="I589" t="s">
        <v>2298</v>
      </c>
      <c r="J589" t="s">
        <v>2299</v>
      </c>
      <c r="K589" t="s">
        <v>21</v>
      </c>
      <c r="L589" t="s">
        <v>55</v>
      </c>
      <c r="M589" t="s">
        <v>22</v>
      </c>
    </row>
    <row r="590" spans="1:13" x14ac:dyDescent="0.3">
      <c r="A590" t="s">
        <v>2300</v>
      </c>
      <c r="B590" t="s">
        <v>2301</v>
      </c>
      <c r="C590" t="s">
        <v>33</v>
      </c>
      <c r="D590" t="s">
        <v>25</v>
      </c>
      <c r="E590" t="s">
        <v>26</v>
      </c>
      <c r="F590" t="s">
        <v>18</v>
      </c>
      <c r="G590" s="1">
        <v>43667</v>
      </c>
      <c r="H590" s="1">
        <v>43947</v>
      </c>
      <c r="I590" t="s">
        <v>2302</v>
      </c>
      <c r="J590" t="s">
        <v>2303</v>
      </c>
      <c r="K590" t="s">
        <v>90</v>
      </c>
      <c r="L590" t="s">
        <v>30</v>
      </c>
      <c r="M590" t="s">
        <v>22</v>
      </c>
    </row>
    <row r="591" spans="1:13" x14ac:dyDescent="0.3">
      <c r="A591" t="s">
        <v>2304</v>
      </c>
      <c r="B591" t="s">
        <v>2305</v>
      </c>
      <c r="C591" t="s">
        <v>40</v>
      </c>
      <c r="D591" t="s">
        <v>34</v>
      </c>
      <c r="E591" t="s">
        <v>26</v>
      </c>
      <c r="F591" t="s">
        <v>160</v>
      </c>
      <c r="G591" s="1">
        <v>44037</v>
      </c>
      <c r="H591" s="1">
        <v>44337</v>
      </c>
      <c r="I591" t="s">
        <v>2306</v>
      </c>
      <c r="J591" t="s">
        <v>2307</v>
      </c>
      <c r="K591" t="s">
        <v>37</v>
      </c>
      <c r="L591" t="s">
        <v>55</v>
      </c>
      <c r="M591" t="s">
        <v>22</v>
      </c>
    </row>
    <row r="592" spans="1:13" x14ac:dyDescent="0.3">
      <c r="A592" t="s">
        <v>2308</v>
      </c>
      <c r="B592" t="s">
        <v>2309</v>
      </c>
      <c r="C592" t="s">
        <v>40</v>
      </c>
      <c r="D592" t="s">
        <v>25</v>
      </c>
      <c r="E592" t="s">
        <v>26</v>
      </c>
      <c r="F592" t="s">
        <v>18</v>
      </c>
      <c r="G592" s="1">
        <v>43728</v>
      </c>
      <c r="H592" s="1">
        <v>43901</v>
      </c>
      <c r="I592" t="s">
        <v>2310</v>
      </c>
      <c r="J592" t="s">
        <v>2311</v>
      </c>
      <c r="K592" t="s">
        <v>37</v>
      </c>
      <c r="L592" t="s">
        <v>60</v>
      </c>
      <c r="M592" t="s">
        <v>22</v>
      </c>
    </row>
    <row r="593" spans="1:13" x14ac:dyDescent="0.3">
      <c r="A593" t="s">
        <v>2312</v>
      </c>
      <c r="B593" t="s">
        <v>2313</v>
      </c>
      <c r="C593" t="s">
        <v>46</v>
      </c>
      <c r="D593" t="s">
        <v>34</v>
      </c>
      <c r="E593" t="s">
        <v>26</v>
      </c>
      <c r="F593" t="s">
        <v>18</v>
      </c>
      <c r="G593" s="1">
        <v>45301</v>
      </c>
      <c r="H593" s="1">
        <v>44992</v>
      </c>
      <c r="I593" t="s">
        <v>2314</v>
      </c>
      <c r="J593" t="s">
        <v>2315</v>
      </c>
      <c r="K593" t="s">
        <v>29</v>
      </c>
      <c r="L593" t="s">
        <v>30</v>
      </c>
      <c r="M593" t="s">
        <v>22</v>
      </c>
    </row>
    <row r="594" spans="1:13" x14ac:dyDescent="0.3">
      <c r="A594" t="s">
        <v>2316</v>
      </c>
      <c r="B594" t="s">
        <v>2317</v>
      </c>
      <c r="C594" t="s">
        <v>15</v>
      </c>
      <c r="D594" t="s">
        <v>41</v>
      </c>
      <c r="E594" t="s">
        <v>17</v>
      </c>
      <c r="F594" t="s">
        <v>18</v>
      </c>
      <c r="G594" s="1">
        <v>45066</v>
      </c>
      <c r="H594" s="1">
        <v>45366</v>
      </c>
      <c r="I594" t="s">
        <v>2318</v>
      </c>
      <c r="J594" t="s">
        <v>2319</v>
      </c>
      <c r="K594" t="s">
        <v>21</v>
      </c>
      <c r="M594" t="s">
        <v>22</v>
      </c>
    </row>
    <row r="595" spans="1:13" x14ac:dyDescent="0.3">
      <c r="A595" t="s">
        <v>2320</v>
      </c>
      <c r="B595" t="s">
        <v>2321</v>
      </c>
      <c r="C595" t="s">
        <v>87</v>
      </c>
      <c r="D595" t="s">
        <v>34</v>
      </c>
      <c r="E595" t="s">
        <v>26</v>
      </c>
      <c r="F595" t="s">
        <v>151</v>
      </c>
      <c r="G595" s="1">
        <v>45445</v>
      </c>
      <c r="H595" s="1">
        <v>45782</v>
      </c>
      <c r="I595" t="s">
        <v>2322</v>
      </c>
      <c r="J595" t="s">
        <v>2323</v>
      </c>
      <c r="K595" t="s">
        <v>90</v>
      </c>
      <c r="L595" t="s">
        <v>91</v>
      </c>
      <c r="M595" t="s">
        <v>22</v>
      </c>
    </row>
    <row r="596" spans="1:13" x14ac:dyDescent="0.3">
      <c r="A596" t="s">
        <v>2324</v>
      </c>
      <c r="B596" t="s">
        <v>2325</v>
      </c>
      <c r="C596" t="s">
        <v>181</v>
      </c>
      <c r="D596" t="s">
        <v>51</v>
      </c>
      <c r="F596" t="s">
        <v>18</v>
      </c>
      <c r="G596" s="1">
        <v>43752</v>
      </c>
      <c r="H596" s="1">
        <v>43984</v>
      </c>
      <c r="I596" t="s">
        <v>2326</v>
      </c>
      <c r="J596" t="s">
        <v>2327</v>
      </c>
      <c r="K596" t="s">
        <v>90</v>
      </c>
      <c r="L596" t="s">
        <v>55</v>
      </c>
      <c r="M596" t="s">
        <v>22</v>
      </c>
    </row>
    <row r="597" spans="1:13" x14ac:dyDescent="0.3">
      <c r="A597" t="s">
        <v>2328</v>
      </c>
      <c r="B597" t="s">
        <v>2329</v>
      </c>
      <c r="C597" t="s">
        <v>181</v>
      </c>
      <c r="D597" t="s">
        <v>77</v>
      </c>
      <c r="E597" t="s">
        <v>52</v>
      </c>
      <c r="F597" t="s">
        <v>18</v>
      </c>
      <c r="G597" s="1">
        <v>44492</v>
      </c>
      <c r="H597" s="1">
        <v>44550</v>
      </c>
      <c r="I597" t="s">
        <v>2330</v>
      </c>
      <c r="J597" t="s">
        <v>2331</v>
      </c>
      <c r="K597" t="s">
        <v>21</v>
      </c>
      <c r="L597" t="s">
        <v>30</v>
      </c>
      <c r="M597" t="s">
        <v>22</v>
      </c>
    </row>
    <row r="598" spans="1:13" x14ac:dyDescent="0.3">
      <c r="A598" t="s">
        <v>2332</v>
      </c>
      <c r="B598" t="s">
        <v>2333</v>
      </c>
      <c r="C598" t="s">
        <v>76</v>
      </c>
      <c r="D598" t="s">
        <v>77</v>
      </c>
      <c r="E598" t="s">
        <v>52</v>
      </c>
      <c r="F598" t="s">
        <v>18</v>
      </c>
      <c r="G598" s="1">
        <v>45585</v>
      </c>
      <c r="H598" s="1">
        <v>45761</v>
      </c>
      <c r="I598" t="s">
        <v>2334</v>
      </c>
      <c r="J598" t="s">
        <v>2335</v>
      </c>
      <c r="K598" t="s">
        <v>37</v>
      </c>
      <c r="L598" t="s">
        <v>30</v>
      </c>
      <c r="M598" t="s">
        <v>22</v>
      </c>
    </row>
    <row r="599" spans="1:13" x14ac:dyDescent="0.3">
      <c r="A599" t="s">
        <v>2336</v>
      </c>
      <c r="B599" t="s">
        <v>1617</v>
      </c>
      <c r="C599" t="s">
        <v>40</v>
      </c>
      <c r="D599" t="s">
        <v>25</v>
      </c>
      <c r="E599" t="s">
        <v>26</v>
      </c>
      <c r="F599" t="s">
        <v>18</v>
      </c>
      <c r="G599" s="1">
        <v>44809</v>
      </c>
      <c r="H599" s="1">
        <v>45121</v>
      </c>
      <c r="I599" t="s">
        <v>2337</v>
      </c>
      <c r="J599" t="s">
        <v>2338</v>
      </c>
      <c r="K599" t="s">
        <v>21</v>
      </c>
      <c r="M599" t="s">
        <v>22</v>
      </c>
    </row>
    <row r="600" spans="1:13" x14ac:dyDescent="0.3">
      <c r="A600" t="s">
        <v>2339</v>
      </c>
      <c r="B600" t="s">
        <v>2340</v>
      </c>
      <c r="C600" t="s">
        <v>181</v>
      </c>
      <c r="D600" t="s">
        <v>16</v>
      </c>
      <c r="E600" t="s">
        <v>17</v>
      </c>
      <c r="F600" t="s">
        <v>18</v>
      </c>
      <c r="G600" s="1">
        <v>44688</v>
      </c>
      <c r="H600" s="1">
        <v>44857</v>
      </c>
      <c r="I600" t="s">
        <v>2341</v>
      </c>
      <c r="J600" t="s">
        <v>2342</v>
      </c>
      <c r="K600" t="s">
        <v>90</v>
      </c>
      <c r="L600" t="s">
        <v>30</v>
      </c>
      <c r="M600" t="s">
        <v>22</v>
      </c>
    </row>
    <row r="601" spans="1:13" x14ac:dyDescent="0.3">
      <c r="A601" t="s">
        <v>2343</v>
      </c>
      <c r="B601" t="s">
        <v>2344</v>
      </c>
      <c r="C601" t="s">
        <v>40</v>
      </c>
      <c r="D601" t="s">
        <v>25</v>
      </c>
      <c r="E601" t="s">
        <v>26</v>
      </c>
      <c r="F601" t="s">
        <v>160</v>
      </c>
      <c r="G601" s="1">
        <v>44910</v>
      </c>
      <c r="H601" s="1">
        <v>45224</v>
      </c>
      <c r="I601" t="s">
        <v>2345</v>
      </c>
      <c r="J601" t="s">
        <v>2346</v>
      </c>
      <c r="K601" t="s">
        <v>90</v>
      </c>
      <c r="L601" t="s">
        <v>60</v>
      </c>
      <c r="M601" t="s">
        <v>22</v>
      </c>
    </row>
    <row r="602" spans="1:13" x14ac:dyDescent="0.3">
      <c r="A602" t="s">
        <v>2347</v>
      </c>
      <c r="B602" t="s">
        <v>2348</v>
      </c>
      <c r="C602" t="s">
        <v>33</v>
      </c>
      <c r="D602" t="s">
        <v>34</v>
      </c>
      <c r="E602" t="s">
        <v>26</v>
      </c>
      <c r="F602" t="s">
        <v>18</v>
      </c>
      <c r="G602" s="1">
        <v>44561</v>
      </c>
      <c r="H602" s="1">
        <v>44824</v>
      </c>
      <c r="I602" t="s">
        <v>2349</v>
      </c>
      <c r="J602" t="s">
        <v>2350</v>
      </c>
      <c r="K602" t="s">
        <v>21</v>
      </c>
      <c r="L602" t="s">
        <v>60</v>
      </c>
      <c r="M602" t="s">
        <v>22</v>
      </c>
    </row>
    <row r="603" spans="1:13" x14ac:dyDescent="0.3">
      <c r="A603" t="s">
        <v>2351</v>
      </c>
      <c r="B603" t="s">
        <v>2352</v>
      </c>
      <c r="C603" t="s">
        <v>76</v>
      </c>
      <c r="D603" t="s">
        <v>67</v>
      </c>
      <c r="E603" t="s">
        <v>26</v>
      </c>
      <c r="F603" t="s">
        <v>18</v>
      </c>
      <c r="G603" s="1">
        <v>44966</v>
      </c>
      <c r="H603" s="1">
        <v>45144</v>
      </c>
      <c r="I603" t="s">
        <v>2353</v>
      </c>
      <c r="J603" t="s">
        <v>2354</v>
      </c>
      <c r="K603" t="s">
        <v>29</v>
      </c>
      <c r="L603" t="s">
        <v>30</v>
      </c>
      <c r="M603" t="s">
        <v>22</v>
      </c>
    </row>
    <row r="604" spans="1:13" x14ac:dyDescent="0.3">
      <c r="A604" t="s">
        <v>2355</v>
      </c>
      <c r="B604" t="s">
        <v>2356</v>
      </c>
      <c r="C604" t="s">
        <v>40</v>
      </c>
      <c r="D604" t="s">
        <v>77</v>
      </c>
      <c r="E604" t="s">
        <v>52</v>
      </c>
      <c r="F604" t="s">
        <v>18</v>
      </c>
      <c r="G604" s="1">
        <v>43919</v>
      </c>
      <c r="H604" s="1">
        <v>43985</v>
      </c>
      <c r="I604" t="s">
        <v>2357</v>
      </c>
      <c r="J604" t="s">
        <v>2358</v>
      </c>
      <c r="K604" t="s">
        <v>21</v>
      </c>
      <c r="M604" t="s">
        <v>22</v>
      </c>
    </row>
    <row r="605" spans="1:13" x14ac:dyDescent="0.3">
      <c r="A605" t="s">
        <v>2359</v>
      </c>
      <c r="B605" t="s">
        <v>2360</v>
      </c>
      <c r="C605" t="s">
        <v>87</v>
      </c>
      <c r="D605" t="s">
        <v>16</v>
      </c>
      <c r="E605" t="s">
        <v>17</v>
      </c>
      <c r="F605" t="s">
        <v>18</v>
      </c>
      <c r="G605" s="1">
        <v>44663</v>
      </c>
      <c r="H605" s="1">
        <v>44894</v>
      </c>
      <c r="I605" t="s">
        <v>2361</v>
      </c>
      <c r="J605" t="s">
        <v>2362</v>
      </c>
      <c r="K605" t="s">
        <v>90</v>
      </c>
      <c r="L605" t="s">
        <v>55</v>
      </c>
      <c r="M605" t="s">
        <v>22</v>
      </c>
    </row>
    <row r="606" spans="1:13" x14ac:dyDescent="0.3">
      <c r="A606" t="s">
        <v>2363</v>
      </c>
      <c r="B606" t="s">
        <v>2364</v>
      </c>
      <c r="C606" t="s">
        <v>76</v>
      </c>
      <c r="D606" t="s">
        <v>34</v>
      </c>
      <c r="E606" t="s">
        <v>26</v>
      </c>
      <c r="F606" t="s">
        <v>18</v>
      </c>
      <c r="G606" s="1">
        <v>44086</v>
      </c>
      <c r="H606" s="1">
        <v>44444</v>
      </c>
      <c r="I606" t="s">
        <v>2365</v>
      </c>
      <c r="J606" t="s">
        <v>2366</v>
      </c>
      <c r="K606" t="s">
        <v>90</v>
      </c>
      <c r="L606" t="s">
        <v>91</v>
      </c>
      <c r="M606" t="s">
        <v>22</v>
      </c>
    </row>
    <row r="607" spans="1:13" x14ac:dyDescent="0.3">
      <c r="A607" t="s">
        <v>2367</v>
      </c>
      <c r="B607" t="s">
        <v>2368</v>
      </c>
      <c r="C607" t="s">
        <v>40</v>
      </c>
      <c r="D607" t="s">
        <v>67</v>
      </c>
      <c r="E607" t="s">
        <v>26</v>
      </c>
      <c r="F607" t="s">
        <v>18</v>
      </c>
      <c r="G607" s="1">
        <v>43603</v>
      </c>
      <c r="H607" s="1">
        <v>43622</v>
      </c>
      <c r="I607" t="s">
        <v>2369</v>
      </c>
      <c r="J607" t="s">
        <v>2370</v>
      </c>
      <c r="K607" t="s">
        <v>29</v>
      </c>
      <c r="L607" t="s">
        <v>60</v>
      </c>
      <c r="M607" t="s">
        <v>22</v>
      </c>
    </row>
    <row r="608" spans="1:13" x14ac:dyDescent="0.3">
      <c r="A608" t="s">
        <v>2371</v>
      </c>
      <c r="B608" t="s">
        <v>2372</v>
      </c>
      <c r="C608" t="s">
        <v>76</v>
      </c>
      <c r="D608" t="s">
        <v>41</v>
      </c>
      <c r="E608" t="s">
        <v>17</v>
      </c>
      <c r="F608" t="s">
        <v>160</v>
      </c>
      <c r="G608" s="1">
        <v>45417</v>
      </c>
      <c r="H608" s="1">
        <v>45739</v>
      </c>
      <c r="I608" t="s">
        <v>2373</v>
      </c>
      <c r="K608" t="s">
        <v>29</v>
      </c>
      <c r="L608" t="s">
        <v>116</v>
      </c>
      <c r="M608" t="s">
        <v>22</v>
      </c>
    </row>
    <row r="609" spans="1:13" x14ac:dyDescent="0.3">
      <c r="A609" t="s">
        <v>1398</v>
      </c>
      <c r="B609" t="s">
        <v>1399</v>
      </c>
      <c r="C609" t="s">
        <v>46</v>
      </c>
      <c r="D609" t="s">
        <v>67</v>
      </c>
      <c r="E609" t="s">
        <v>26</v>
      </c>
      <c r="F609" t="s">
        <v>18</v>
      </c>
      <c r="G609" s="1">
        <v>44534</v>
      </c>
      <c r="H609" s="1">
        <v>44638</v>
      </c>
      <c r="I609" t="s">
        <v>1400</v>
      </c>
      <c r="J609" t="s">
        <v>1401</v>
      </c>
      <c r="K609" t="s">
        <v>29</v>
      </c>
      <c r="L609" t="s">
        <v>30</v>
      </c>
      <c r="M609" t="s">
        <v>22</v>
      </c>
    </row>
    <row r="610" spans="1:13" x14ac:dyDescent="0.3">
      <c r="A610" t="s">
        <v>2374</v>
      </c>
      <c r="C610" t="s">
        <v>33</v>
      </c>
      <c r="D610" t="s">
        <v>67</v>
      </c>
      <c r="E610" t="s">
        <v>26</v>
      </c>
      <c r="F610" t="s">
        <v>18</v>
      </c>
      <c r="G610" s="1">
        <v>45188</v>
      </c>
      <c r="H610" s="1">
        <v>45528</v>
      </c>
      <c r="I610" t="s">
        <v>2375</v>
      </c>
      <c r="J610" t="s">
        <v>2376</v>
      </c>
      <c r="K610" t="s">
        <v>29</v>
      </c>
      <c r="L610" t="s">
        <v>30</v>
      </c>
      <c r="M610" t="s">
        <v>22</v>
      </c>
    </row>
    <row r="611" spans="1:13" x14ac:dyDescent="0.3">
      <c r="A611" t="s">
        <v>2377</v>
      </c>
      <c r="B611" t="s">
        <v>2378</v>
      </c>
      <c r="C611" t="s">
        <v>40</v>
      </c>
      <c r="D611" t="s">
        <v>41</v>
      </c>
      <c r="E611" t="s">
        <v>17</v>
      </c>
      <c r="F611" t="s">
        <v>18</v>
      </c>
      <c r="G611" s="1">
        <v>44184</v>
      </c>
      <c r="H611" s="1">
        <v>44217</v>
      </c>
      <c r="I611" t="s">
        <v>2379</v>
      </c>
      <c r="J611" t="s">
        <v>2380</v>
      </c>
      <c r="K611" t="s">
        <v>90</v>
      </c>
      <c r="L611" t="s">
        <v>55</v>
      </c>
      <c r="M611" t="s">
        <v>22</v>
      </c>
    </row>
    <row r="612" spans="1:13" x14ac:dyDescent="0.3">
      <c r="A612" t="s">
        <v>2381</v>
      </c>
      <c r="B612" t="s">
        <v>2382</v>
      </c>
      <c r="C612" t="s">
        <v>15</v>
      </c>
      <c r="D612" t="s">
        <v>34</v>
      </c>
      <c r="E612" t="s">
        <v>26</v>
      </c>
      <c r="F612" t="s">
        <v>151</v>
      </c>
      <c r="G612" s="1">
        <v>45622</v>
      </c>
      <c r="H612" s="1">
        <v>45669</v>
      </c>
      <c r="I612" t="s">
        <v>2383</v>
      </c>
      <c r="J612" t="s">
        <v>2384</v>
      </c>
      <c r="K612" t="s">
        <v>29</v>
      </c>
      <c r="L612" t="s">
        <v>60</v>
      </c>
      <c r="M612" t="s">
        <v>22</v>
      </c>
    </row>
    <row r="613" spans="1:13" x14ac:dyDescent="0.3">
      <c r="A613" t="s">
        <v>2385</v>
      </c>
      <c r="B613" t="s">
        <v>2386</v>
      </c>
      <c r="C613" t="s">
        <v>15</v>
      </c>
      <c r="D613" t="s">
        <v>34</v>
      </c>
      <c r="E613" t="s">
        <v>26</v>
      </c>
      <c r="F613" t="s">
        <v>151</v>
      </c>
      <c r="G613" s="1">
        <v>43977</v>
      </c>
      <c r="H613" s="1">
        <v>44213</v>
      </c>
      <c r="I613" t="s">
        <v>2387</v>
      </c>
      <c r="J613" t="s">
        <v>2388</v>
      </c>
      <c r="K613" t="s">
        <v>21</v>
      </c>
      <c r="L613" t="s">
        <v>60</v>
      </c>
      <c r="M613" t="s">
        <v>22</v>
      </c>
    </row>
    <row r="614" spans="1:13" x14ac:dyDescent="0.3">
      <c r="A614" t="s">
        <v>2161</v>
      </c>
      <c r="C614" t="s">
        <v>87</v>
      </c>
      <c r="D614" t="s">
        <v>34</v>
      </c>
      <c r="E614" t="s">
        <v>26</v>
      </c>
      <c r="F614" t="s">
        <v>18</v>
      </c>
      <c r="G614" s="1">
        <v>44943</v>
      </c>
      <c r="H614" s="1">
        <v>44977</v>
      </c>
      <c r="I614" t="s">
        <v>2163</v>
      </c>
      <c r="K614" t="s">
        <v>90</v>
      </c>
      <c r="L614" t="s">
        <v>30</v>
      </c>
      <c r="M614" t="s">
        <v>22</v>
      </c>
    </row>
    <row r="615" spans="1:13" x14ac:dyDescent="0.3">
      <c r="A615" t="s">
        <v>2389</v>
      </c>
      <c r="B615" t="s">
        <v>2390</v>
      </c>
      <c r="C615" t="s">
        <v>46</v>
      </c>
      <c r="D615" t="s">
        <v>77</v>
      </c>
      <c r="E615" t="s">
        <v>52</v>
      </c>
      <c r="F615" t="s">
        <v>151</v>
      </c>
      <c r="G615" s="1">
        <v>44289</v>
      </c>
      <c r="H615" s="1">
        <v>44654</v>
      </c>
      <c r="I615" t="s">
        <v>2391</v>
      </c>
      <c r="J615" t="s">
        <v>2392</v>
      </c>
      <c r="K615" t="s">
        <v>29</v>
      </c>
      <c r="L615" t="s">
        <v>30</v>
      </c>
      <c r="M615" t="s">
        <v>22</v>
      </c>
    </row>
    <row r="616" spans="1:13" x14ac:dyDescent="0.3">
      <c r="A616" t="s">
        <v>2393</v>
      </c>
      <c r="B616" t="s">
        <v>2394</v>
      </c>
      <c r="C616" t="s">
        <v>971</v>
      </c>
      <c r="D616" t="s">
        <v>41</v>
      </c>
      <c r="E616" t="s">
        <v>17</v>
      </c>
      <c r="F616" t="s">
        <v>18</v>
      </c>
      <c r="G616" s="1">
        <v>43878</v>
      </c>
      <c r="H616" s="1">
        <v>44044</v>
      </c>
      <c r="I616" t="s">
        <v>2395</v>
      </c>
      <c r="J616" t="s">
        <v>2396</v>
      </c>
      <c r="K616" t="s">
        <v>37</v>
      </c>
      <c r="L616" t="s">
        <v>91</v>
      </c>
      <c r="M616" t="s">
        <v>22</v>
      </c>
    </row>
    <row r="617" spans="1:13" x14ac:dyDescent="0.3">
      <c r="A617" t="s">
        <v>2397</v>
      </c>
      <c r="B617" t="s">
        <v>2398</v>
      </c>
      <c r="C617" t="s">
        <v>15</v>
      </c>
      <c r="D617" t="s">
        <v>41</v>
      </c>
      <c r="E617" t="s">
        <v>17</v>
      </c>
      <c r="F617" t="s">
        <v>18</v>
      </c>
      <c r="G617" s="1">
        <v>44386</v>
      </c>
      <c r="H617" s="1">
        <v>44487</v>
      </c>
      <c r="I617" t="s">
        <v>2399</v>
      </c>
      <c r="J617" t="s">
        <v>2400</v>
      </c>
      <c r="K617" t="s">
        <v>90</v>
      </c>
      <c r="L617" t="s">
        <v>55</v>
      </c>
      <c r="M617" t="s">
        <v>22</v>
      </c>
    </row>
    <row r="618" spans="1:13" x14ac:dyDescent="0.3">
      <c r="A618" t="s">
        <v>797</v>
      </c>
      <c r="B618" t="s">
        <v>798</v>
      </c>
      <c r="C618" t="s">
        <v>15</v>
      </c>
      <c r="D618" t="s">
        <v>16</v>
      </c>
      <c r="E618" t="s">
        <v>17</v>
      </c>
      <c r="F618" t="s">
        <v>18</v>
      </c>
      <c r="G618" s="1">
        <v>45163</v>
      </c>
      <c r="H618" s="1">
        <v>45485</v>
      </c>
      <c r="I618" t="s">
        <v>799</v>
      </c>
      <c r="J618" t="s">
        <v>800</v>
      </c>
      <c r="K618" t="s">
        <v>21</v>
      </c>
      <c r="L618" t="s">
        <v>30</v>
      </c>
      <c r="M618" t="s">
        <v>22</v>
      </c>
    </row>
    <row r="619" spans="1:13" x14ac:dyDescent="0.3">
      <c r="A619" t="s">
        <v>2401</v>
      </c>
      <c r="B619" t="s">
        <v>2402</v>
      </c>
      <c r="C619" t="s">
        <v>87</v>
      </c>
      <c r="D619" t="s">
        <v>51</v>
      </c>
      <c r="E619" t="s">
        <v>52</v>
      </c>
      <c r="F619" t="s">
        <v>18</v>
      </c>
      <c r="G619" s="1">
        <v>45329</v>
      </c>
      <c r="H619" s="1">
        <v>45672</v>
      </c>
      <c r="I619" t="s">
        <v>2403</v>
      </c>
      <c r="J619" t="s">
        <v>2404</v>
      </c>
      <c r="K619" t="s">
        <v>29</v>
      </c>
      <c r="L619" t="s">
        <v>55</v>
      </c>
      <c r="M619" t="s">
        <v>22</v>
      </c>
    </row>
    <row r="620" spans="1:13" x14ac:dyDescent="0.3">
      <c r="A620" t="s">
        <v>2405</v>
      </c>
      <c r="B620" t="s">
        <v>2406</v>
      </c>
      <c r="C620" t="s">
        <v>87</v>
      </c>
      <c r="D620" t="s">
        <v>41</v>
      </c>
      <c r="E620" t="s">
        <v>17</v>
      </c>
      <c r="F620" t="s">
        <v>18</v>
      </c>
      <c r="G620" s="2">
        <v>43891</v>
      </c>
      <c r="H620" s="1">
        <v>43595</v>
      </c>
      <c r="I620" t="s">
        <v>2407</v>
      </c>
      <c r="J620" t="s">
        <v>2408</v>
      </c>
      <c r="K620" t="s">
        <v>37</v>
      </c>
      <c r="M620" t="s">
        <v>22</v>
      </c>
    </row>
    <row r="621" spans="1:13" x14ac:dyDescent="0.3">
      <c r="A621" t="s">
        <v>2409</v>
      </c>
      <c r="B621" t="s">
        <v>2410</v>
      </c>
      <c r="C621" t="s">
        <v>602</v>
      </c>
      <c r="D621" t="s">
        <v>77</v>
      </c>
      <c r="E621" t="s">
        <v>52</v>
      </c>
      <c r="F621" t="s">
        <v>18</v>
      </c>
      <c r="G621" s="1">
        <v>45120</v>
      </c>
      <c r="H621" s="1">
        <v>45155</v>
      </c>
      <c r="I621" t="s">
        <v>2411</v>
      </c>
      <c r="J621" t="s">
        <v>2412</v>
      </c>
      <c r="K621" t="s">
        <v>90</v>
      </c>
      <c r="L621" t="s">
        <v>30</v>
      </c>
      <c r="M621" t="s">
        <v>22</v>
      </c>
    </row>
    <row r="622" spans="1:13" x14ac:dyDescent="0.3">
      <c r="A622" t="s">
        <v>2413</v>
      </c>
      <c r="B622" t="s">
        <v>2414</v>
      </c>
      <c r="C622" t="s">
        <v>46</v>
      </c>
      <c r="D622" t="s">
        <v>41</v>
      </c>
      <c r="E622" t="s">
        <v>17</v>
      </c>
      <c r="F622" t="s">
        <v>18</v>
      </c>
      <c r="G622" s="1">
        <v>44523</v>
      </c>
      <c r="H622" s="1">
        <v>44615</v>
      </c>
      <c r="I622" t="s">
        <v>2415</v>
      </c>
      <c r="J622" t="s">
        <v>2416</v>
      </c>
      <c r="K622" t="s">
        <v>90</v>
      </c>
      <c r="M622" t="s">
        <v>22</v>
      </c>
    </row>
    <row r="623" spans="1:13" x14ac:dyDescent="0.3">
      <c r="A623" t="s">
        <v>2417</v>
      </c>
      <c r="B623" t="s">
        <v>2418</v>
      </c>
      <c r="C623" t="s">
        <v>76</v>
      </c>
      <c r="D623" t="s">
        <v>25</v>
      </c>
      <c r="E623" t="s">
        <v>26</v>
      </c>
      <c r="F623" t="s">
        <v>160</v>
      </c>
      <c r="G623" s="1">
        <v>44046</v>
      </c>
      <c r="H623" s="1">
        <v>44224</v>
      </c>
      <c r="I623" t="s">
        <v>2419</v>
      </c>
      <c r="J623" t="s">
        <v>2420</v>
      </c>
      <c r="K623" t="s">
        <v>21</v>
      </c>
      <c r="L623" t="s">
        <v>55</v>
      </c>
      <c r="M623" t="s">
        <v>22</v>
      </c>
    </row>
    <row r="624" spans="1:13" x14ac:dyDescent="0.3">
      <c r="A624" t="s">
        <v>2421</v>
      </c>
      <c r="B624" t="s">
        <v>2422</v>
      </c>
      <c r="C624" t="s">
        <v>33</v>
      </c>
      <c r="D624" t="s">
        <v>67</v>
      </c>
      <c r="E624" t="s">
        <v>26</v>
      </c>
      <c r="F624" t="s">
        <v>18</v>
      </c>
      <c r="G624" s="1">
        <v>45210</v>
      </c>
      <c r="H624" s="1">
        <v>45348</v>
      </c>
      <c r="I624" t="s">
        <v>2423</v>
      </c>
      <c r="J624" t="s">
        <v>2424</v>
      </c>
      <c r="K624" t="s">
        <v>37</v>
      </c>
      <c r="M624" t="s">
        <v>22</v>
      </c>
    </row>
    <row r="625" spans="1:13" x14ac:dyDescent="0.3">
      <c r="A625" t="s">
        <v>2425</v>
      </c>
      <c r="B625" t="s">
        <v>373</v>
      </c>
      <c r="C625" t="s">
        <v>46</v>
      </c>
      <c r="D625" t="s">
        <v>25</v>
      </c>
      <c r="E625" t="s">
        <v>26</v>
      </c>
      <c r="F625" t="s">
        <v>18</v>
      </c>
      <c r="G625" s="1">
        <v>45257</v>
      </c>
      <c r="H625" s="1">
        <v>45297</v>
      </c>
      <c r="I625" t="s">
        <v>374</v>
      </c>
      <c r="J625" t="s">
        <v>2426</v>
      </c>
      <c r="K625" t="s">
        <v>37</v>
      </c>
      <c r="L625" t="s">
        <v>55</v>
      </c>
      <c r="M625" t="s">
        <v>22</v>
      </c>
    </row>
    <row r="626" spans="1:13" x14ac:dyDescent="0.3">
      <c r="A626" t="s">
        <v>2427</v>
      </c>
      <c r="B626" t="s">
        <v>2428</v>
      </c>
      <c r="C626" t="s">
        <v>40</v>
      </c>
      <c r="D626" t="s">
        <v>16</v>
      </c>
      <c r="E626" t="s">
        <v>17</v>
      </c>
      <c r="F626" t="s">
        <v>18</v>
      </c>
      <c r="G626" s="1">
        <v>44816</v>
      </c>
      <c r="H626" s="1">
        <v>44970</v>
      </c>
      <c r="J626" t="s">
        <v>2429</v>
      </c>
      <c r="K626" t="s">
        <v>29</v>
      </c>
      <c r="M626" t="s">
        <v>22</v>
      </c>
    </row>
    <row r="627" spans="1:13" x14ac:dyDescent="0.3">
      <c r="A627" t="s">
        <v>2430</v>
      </c>
      <c r="B627" t="s">
        <v>2431</v>
      </c>
      <c r="C627" t="s">
        <v>46</v>
      </c>
      <c r="D627" t="s">
        <v>41</v>
      </c>
      <c r="E627" t="s">
        <v>17</v>
      </c>
      <c r="F627" t="s">
        <v>18</v>
      </c>
      <c r="G627" s="1">
        <v>45546</v>
      </c>
      <c r="H627" s="1">
        <v>45587</v>
      </c>
      <c r="I627" t="s">
        <v>2432</v>
      </c>
      <c r="J627" t="s">
        <v>2433</v>
      </c>
      <c r="K627" t="s">
        <v>90</v>
      </c>
      <c r="M627" t="s">
        <v>22</v>
      </c>
    </row>
    <row r="628" spans="1:13" x14ac:dyDescent="0.3">
      <c r="A628" t="s">
        <v>2434</v>
      </c>
      <c r="B628" t="s">
        <v>2435</v>
      </c>
      <c r="C628" t="s">
        <v>40</v>
      </c>
      <c r="D628" t="s">
        <v>34</v>
      </c>
      <c r="E628" t="s">
        <v>26</v>
      </c>
      <c r="F628" t="s">
        <v>160</v>
      </c>
      <c r="G628" s="1">
        <v>45574</v>
      </c>
      <c r="H628" s="1">
        <v>45789</v>
      </c>
      <c r="I628" t="s">
        <v>2436</v>
      </c>
      <c r="J628" t="s">
        <v>2437</v>
      </c>
      <c r="K628" t="s">
        <v>21</v>
      </c>
      <c r="L628" t="s">
        <v>91</v>
      </c>
      <c r="M628" t="s">
        <v>22</v>
      </c>
    </row>
    <row r="629" spans="1:13" x14ac:dyDescent="0.3">
      <c r="A629" t="s">
        <v>2438</v>
      </c>
      <c r="B629" t="s">
        <v>2439</v>
      </c>
      <c r="C629" t="s">
        <v>33</v>
      </c>
      <c r="D629" t="s">
        <v>34</v>
      </c>
      <c r="E629" t="s">
        <v>17</v>
      </c>
      <c r="F629" t="s">
        <v>18</v>
      </c>
      <c r="G629" s="1">
        <v>44009</v>
      </c>
      <c r="H629" s="1">
        <v>44372</v>
      </c>
      <c r="I629" t="s">
        <v>2440</v>
      </c>
      <c r="J629" t="s">
        <v>2441</v>
      </c>
      <c r="K629" t="s">
        <v>29</v>
      </c>
      <c r="M629" t="s">
        <v>22</v>
      </c>
    </row>
    <row r="630" spans="1:13" x14ac:dyDescent="0.3">
      <c r="A630" t="s">
        <v>2442</v>
      </c>
      <c r="B630" t="s">
        <v>2443</v>
      </c>
      <c r="C630" t="s">
        <v>33</v>
      </c>
      <c r="D630" t="s">
        <v>67</v>
      </c>
      <c r="E630" t="s">
        <v>26</v>
      </c>
      <c r="F630" t="s">
        <v>18</v>
      </c>
      <c r="G630" s="1">
        <v>45067</v>
      </c>
      <c r="H630" s="1">
        <v>45262</v>
      </c>
      <c r="I630" t="s">
        <v>2444</v>
      </c>
      <c r="J630" t="s">
        <v>2445</v>
      </c>
      <c r="K630" t="s">
        <v>90</v>
      </c>
      <c r="L630" t="s">
        <v>91</v>
      </c>
      <c r="M630" t="s">
        <v>22</v>
      </c>
    </row>
    <row r="631" spans="1:13" x14ac:dyDescent="0.3">
      <c r="A631" t="s">
        <v>2446</v>
      </c>
      <c r="B631" t="s">
        <v>2447</v>
      </c>
      <c r="C631" t="s">
        <v>46</v>
      </c>
      <c r="D631" t="s">
        <v>34</v>
      </c>
      <c r="E631" t="s">
        <v>26</v>
      </c>
      <c r="F631" t="s">
        <v>160</v>
      </c>
      <c r="G631" s="1">
        <v>44389</v>
      </c>
      <c r="H631" s="1">
        <v>44472</v>
      </c>
      <c r="I631" t="s">
        <v>2448</v>
      </c>
      <c r="J631" t="s">
        <v>2449</v>
      </c>
      <c r="K631" t="s">
        <v>90</v>
      </c>
      <c r="L631" t="s">
        <v>116</v>
      </c>
      <c r="M631" t="s">
        <v>22</v>
      </c>
    </row>
    <row r="632" spans="1:13" x14ac:dyDescent="0.3">
      <c r="A632" t="s">
        <v>2450</v>
      </c>
      <c r="B632" t="s">
        <v>2451</v>
      </c>
      <c r="C632" t="s">
        <v>87</v>
      </c>
      <c r="D632" t="s">
        <v>51</v>
      </c>
      <c r="E632" t="s">
        <v>52</v>
      </c>
      <c r="F632" t="s">
        <v>18</v>
      </c>
      <c r="G632" s="1">
        <v>43925</v>
      </c>
      <c r="H632" s="1">
        <v>43956</v>
      </c>
      <c r="I632" t="s">
        <v>2452</v>
      </c>
      <c r="J632" t="s">
        <v>2453</v>
      </c>
      <c r="K632" t="s">
        <v>37</v>
      </c>
      <c r="L632" t="s">
        <v>91</v>
      </c>
      <c r="M632" t="s">
        <v>22</v>
      </c>
    </row>
    <row r="633" spans="1:13" x14ac:dyDescent="0.3">
      <c r="A633" t="s">
        <v>2454</v>
      </c>
      <c r="B633" t="s">
        <v>2455</v>
      </c>
      <c r="C633" t="s">
        <v>15</v>
      </c>
      <c r="D633" t="s">
        <v>77</v>
      </c>
      <c r="E633" t="s">
        <v>52</v>
      </c>
      <c r="F633" t="s">
        <v>151</v>
      </c>
      <c r="G633" s="1">
        <v>44099</v>
      </c>
      <c r="H633" s="1">
        <v>44220</v>
      </c>
      <c r="I633" t="s">
        <v>2456</v>
      </c>
      <c r="J633" t="s">
        <v>2457</v>
      </c>
      <c r="K633" t="s">
        <v>21</v>
      </c>
      <c r="L633" t="s">
        <v>60</v>
      </c>
      <c r="M633" t="s">
        <v>22</v>
      </c>
    </row>
    <row r="634" spans="1:13" x14ac:dyDescent="0.3">
      <c r="A634" t="s">
        <v>2458</v>
      </c>
      <c r="B634" t="s">
        <v>2459</v>
      </c>
      <c r="C634" t="s">
        <v>76</v>
      </c>
      <c r="D634" t="s">
        <v>67</v>
      </c>
      <c r="E634" t="s">
        <v>26</v>
      </c>
      <c r="F634" t="s">
        <v>18</v>
      </c>
      <c r="G634" s="1">
        <v>45258</v>
      </c>
      <c r="H634" s="1">
        <v>45329</v>
      </c>
      <c r="I634" t="s">
        <v>2460</v>
      </c>
      <c r="J634" t="s">
        <v>2461</v>
      </c>
      <c r="K634" t="s">
        <v>37</v>
      </c>
      <c r="L634" t="s">
        <v>55</v>
      </c>
      <c r="M634" t="s">
        <v>22</v>
      </c>
    </row>
    <row r="635" spans="1:13" x14ac:dyDescent="0.3">
      <c r="A635" t="s">
        <v>2462</v>
      </c>
      <c r="B635" t="s">
        <v>2463</v>
      </c>
      <c r="C635" t="s">
        <v>40</v>
      </c>
      <c r="D635" t="s">
        <v>51</v>
      </c>
      <c r="E635" t="s">
        <v>52</v>
      </c>
      <c r="F635" t="s">
        <v>18</v>
      </c>
      <c r="G635" s="1">
        <v>43608</v>
      </c>
      <c r="H635" s="1">
        <v>43865</v>
      </c>
      <c r="I635" t="s">
        <v>2464</v>
      </c>
      <c r="J635" t="s">
        <v>2465</v>
      </c>
      <c r="K635" t="s">
        <v>37</v>
      </c>
      <c r="L635" t="s">
        <v>60</v>
      </c>
      <c r="M635" t="s">
        <v>22</v>
      </c>
    </row>
    <row r="636" spans="1:13" x14ac:dyDescent="0.3">
      <c r="A636" t="s">
        <v>2466</v>
      </c>
      <c r="B636" t="s">
        <v>2467</v>
      </c>
      <c r="C636" t="s">
        <v>15</v>
      </c>
      <c r="D636" t="s">
        <v>67</v>
      </c>
      <c r="E636" t="s">
        <v>26</v>
      </c>
      <c r="F636" t="s">
        <v>18</v>
      </c>
      <c r="G636" s="1">
        <v>43616</v>
      </c>
      <c r="H636" s="1">
        <v>43898</v>
      </c>
      <c r="J636" t="s">
        <v>2468</v>
      </c>
      <c r="K636" t="s">
        <v>21</v>
      </c>
      <c r="M636" t="s">
        <v>22</v>
      </c>
    </row>
    <row r="637" spans="1:13" x14ac:dyDescent="0.3">
      <c r="A637" t="s">
        <v>2469</v>
      </c>
      <c r="B637" t="s">
        <v>2470</v>
      </c>
      <c r="C637" t="s">
        <v>87</v>
      </c>
      <c r="D637" t="s">
        <v>51</v>
      </c>
      <c r="E637" t="s">
        <v>52</v>
      </c>
      <c r="F637" t="s">
        <v>18</v>
      </c>
      <c r="G637" s="1">
        <v>44932</v>
      </c>
      <c r="H637" s="1">
        <v>45023</v>
      </c>
      <c r="I637" t="s">
        <v>2471</v>
      </c>
      <c r="J637" t="s">
        <v>2472</v>
      </c>
      <c r="K637" t="s">
        <v>37</v>
      </c>
      <c r="L637" t="s">
        <v>30</v>
      </c>
      <c r="M637" t="s">
        <v>22</v>
      </c>
    </row>
    <row r="638" spans="1:13" x14ac:dyDescent="0.3">
      <c r="A638" t="s">
        <v>2473</v>
      </c>
      <c r="B638" t="s">
        <v>2474</v>
      </c>
      <c r="C638" t="s">
        <v>46</v>
      </c>
      <c r="D638" t="s">
        <v>25</v>
      </c>
      <c r="E638" t="s">
        <v>26</v>
      </c>
      <c r="F638" t="s">
        <v>18</v>
      </c>
      <c r="G638" s="1">
        <v>45174</v>
      </c>
      <c r="H638" s="1">
        <v>45416</v>
      </c>
      <c r="I638" t="s">
        <v>2475</v>
      </c>
      <c r="J638" t="s">
        <v>2476</v>
      </c>
      <c r="K638" t="s">
        <v>29</v>
      </c>
      <c r="L638" t="s">
        <v>30</v>
      </c>
      <c r="M638" t="s">
        <v>22</v>
      </c>
    </row>
    <row r="639" spans="1:13" x14ac:dyDescent="0.3">
      <c r="A639" t="s">
        <v>2477</v>
      </c>
      <c r="B639" t="s">
        <v>2478</v>
      </c>
      <c r="C639" t="s">
        <v>181</v>
      </c>
      <c r="D639" t="s">
        <v>77</v>
      </c>
      <c r="E639" t="s">
        <v>52</v>
      </c>
      <c r="F639" t="s">
        <v>18</v>
      </c>
      <c r="G639" s="1">
        <v>44302</v>
      </c>
      <c r="H639" s="1">
        <v>44568</v>
      </c>
      <c r="I639" t="s">
        <v>2479</v>
      </c>
      <c r="J639" t="s">
        <v>2480</v>
      </c>
      <c r="K639" t="s">
        <v>21</v>
      </c>
      <c r="M639" t="s">
        <v>22</v>
      </c>
    </row>
    <row r="640" spans="1:13" x14ac:dyDescent="0.3">
      <c r="A640" t="s">
        <v>2481</v>
      </c>
      <c r="C640" t="s">
        <v>87</v>
      </c>
      <c r="D640" t="s">
        <v>67</v>
      </c>
      <c r="E640" t="s">
        <v>26</v>
      </c>
      <c r="F640" t="s">
        <v>18</v>
      </c>
      <c r="G640" s="1">
        <v>43634</v>
      </c>
      <c r="H640" s="1">
        <v>43648</v>
      </c>
      <c r="I640" t="s">
        <v>2482</v>
      </c>
      <c r="J640" t="s">
        <v>36</v>
      </c>
      <c r="K640" t="s">
        <v>29</v>
      </c>
      <c r="M640" t="s">
        <v>22</v>
      </c>
    </row>
    <row r="641" spans="1:13" x14ac:dyDescent="0.3">
      <c r="A641" t="s">
        <v>2483</v>
      </c>
      <c r="B641" t="s">
        <v>2484</v>
      </c>
      <c r="C641" t="s">
        <v>33</v>
      </c>
      <c r="D641" t="s">
        <v>16</v>
      </c>
      <c r="E641" t="s">
        <v>17</v>
      </c>
      <c r="F641" t="s">
        <v>18</v>
      </c>
      <c r="G641" s="1">
        <v>44129</v>
      </c>
      <c r="H641" s="1">
        <v>44447</v>
      </c>
      <c r="I641" t="s">
        <v>2485</v>
      </c>
      <c r="J641" t="s">
        <v>2486</v>
      </c>
      <c r="K641" t="s">
        <v>90</v>
      </c>
      <c r="M641" t="s">
        <v>22</v>
      </c>
    </row>
    <row r="642" spans="1:13" x14ac:dyDescent="0.3">
      <c r="A642" t="s">
        <v>2487</v>
      </c>
      <c r="B642" t="s">
        <v>2488</v>
      </c>
      <c r="C642" t="s">
        <v>40</v>
      </c>
      <c r="D642" t="s">
        <v>77</v>
      </c>
      <c r="E642" t="s">
        <v>52</v>
      </c>
      <c r="F642" t="s">
        <v>151</v>
      </c>
      <c r="G642" s="1">
        <v>45580</v>
      </c>
      <c r="H642" s="1">
        <v>45929</v>
      </c>
      <c r="I642" t="s">
        <v>2489</v>
      </c>
      <c r="J642" t="s">
        <v>2490</v>
      </c>
      <c r="K642" t="s">
        <v>21</v>
      </c>
      <c r="L642" t="s">
        <v>55</v>
      </c>
      <c r="M642" t="s">
        <v>22</v>
      </c>
    </row>
    <row r="643" spans="1:13" x14ac:dyDescent="0.3">
      <c r="A643" t="s">
        <v>2491</v>
      </c>
      <c r="B643" t="s">
        <v>2492</v>
      </c>
      <c r="C643" t="s">
        <v>40</v>
      </c>
      <c r="D643" t="s">
        <v>34</v>
      </c>
      <c r="E643" t="s">
        <v>26</v>
      </c>
      <c r="F643" t="s">
        <v>160</v>
      </c>
      <c r="G643" s="1">
        <v>44368</v>
      </c>
      <c r="H643" s="1">
        <v>44714</v>
      </c>
      <c r="I643" t="s">
        <v>2493</v>
      </c>
      <c r="J643" t="s">
        <v>2494</v>
      </c>
      <c r="K643" t="s">
        <v>21</v>
      </c>
      <c r="L643" t="s">
        <v>116</v>
      </c>
      <c r="M643" t="s">
        <v>22</v>
      </c>
    </row>
    <row r="644" spans="1:13" x14ac:dyDescent="0.3">
      <c r="A644" t="s">
        <v>2495</v>
      </c>
      <c r="B644" t="s">
        <v>2496</v>
      </c>
      <c r="C644" t="s">
        <v>46</v>
      </c>
      <c r="D644" t="s">
        <v>25</v>
      </c>
      <c r="E644" t="s">
        <v>26</v>
      </c>
      <c r="F644" t="s">
        <v>151</v>
      </c>
      <c r="G644" s="1">
        <v>45016</v>
      </c>
      <c r="H644" s="1">
        <v>45056</v>
      </c>
      <c r="I644" t="s">
        <v>2497</v>
      </c>
      <c r="J644" t="s">
        <v>2480</v>
      </c>
      <c r="K644" t="s">
        <v>29</v>
      </c>
      <c r="L644" t="s">
        <v>91</v>
      </c>
      <c r="M644" t="s">
        <v>22</v>
      </c>
    </row>
    <row r="645" spans="1:13" x14ac:dyDescent="0.3">
      <c r="A645" t="s">
        <v>2498</v>
      </c>
      <c r="B645" t="s">
        <v>2499</v>
      </c>
      <c r="C645" t="s">
        <v>40</v>
      </c>
      <c r="D645" t="s">
        <v>51</v>
      </c>
      <c r="E645" t="s">
        <v>52</v>
      </c>
      <c r="F645" t="s">
        <v>151</v>
      </c>
      <c r="G645" s="1">
        <v>43995</v>
      </c>
      <c r="H645" s="1">
        <v>44103</v>
      </c>
      <c r="I645" t="s">
        <v>2500</v>
      </c>
      <c r="J645" t="s">
        <v>2501</v>
      </c>
      <c r="K645" t="s">
        <v>29</v>
      </c>
      <c r="L645" t="s">
        <v>60</v>
      </c>
      <c r="M645" t="s">
        <v>22</v>
      </c>
    </row>
    <row r="646" spans="1:13" x14ac:dyDescent="0.3">
      <c r="A646" t="s">
        <v>2502</v>
      </c>
      <c r="B646" t="s">
        <v>2503</v>
      </c>
      <c r="C646" t="s">
        <v>87</v>
      </c>
      <c r="D646" t="s">
        <v>16</v>
      </c>
      <c r="E646" t="s">
        <v>17</v>
      </c>
      <c r="F646" t="s">
        <v>151</v>
      </c>
      <c r="G646" s="1">
        <v>44941</v>
      </c>
      <c r="H646" s="1">
        <v>44996</v>
      </c>
      <c r="I646" t="s">
        <v>2504</v>
      </c>
      <c r="J646" t="s">
        <v>2505</v>
      </c>
      <c r="K646" t="s">
        <v>21</v>
      </c>
      <c r="L646" t="s">
        <v>55</v>
      </c>
      <c r="M646" t="s">
        <v>22</v>
      </c>
    </row>
    <row r="647" spans="1:13" x14ac:dyDescent="0.3">
      <c r="A647" t="s">
        <v>2506</v>
      </c>
      <c r="B647" t="s">
        <v>2507</v>
      </c>
      <c r="C647" t="s">
        <v>15</v>
      </c>
      <c r="D647" t="s">
        <v>34</v>
      </c>
      <c r="E647" t="s">
        <v>26</v>
      </c>
      <c r="F647" t="s">
        <v>160</v>
      </c>
      <c r="G647" s="1">
        <v>43887</v>
      </c>
      <c r="H647" s="1">
        <v>44086</v>
      </c>
      <c r="I647" t="s">
        <v>2508</v>
      </c>
      <c r="J647" t="s">
        <v>2509</v>
      </c>
      <c r="K647" t="s">
        <v>90</v>
      </c>
      <c r="L647" t="s">
        <v>91</v>
      </c>
      <c r="M647" t="s">
        <v>22</v>
      </c>
    </row>
    <row r="648" spans="1:13" x14ac:dyDescent="0.3">
      <c r="A648" t="s">
        <v>2510</v>
      </c>
      <c r="B648" t="s">
        <v>2511</v>
      </c>
      <c r="C648" t="s">
        <v>181</v>
      </c>
      <c r="D648" t="s">
        <v>51</v>
      </c>
      <c r="E648" t="s">
        <v>52</v>
      </c>
      <c r="F648" t="s">
        <v>18</v>
      </c>
      <c r="G648" s="1">
        <v>45270</v>
      </c>
      <c r="H648" s="1">
        <v>45506</v>
      </c>
      <c r="I648" t="s">
        <v>2512</v>
      </c>
      <c r="J648" t="s">
        <v>2513</v>
      </c>
      <c r="K648" t="s">
        <v>21</v>
      </c>
      <c r="L648" t="s">
        <v>55</v>
      </c>
      <c r="M648" t="s">
        <v>22</v>
      </c>
    </row>
    <row r="649" spans="1:13" x14ac:dyDescent="0.3">
      <c r="A649" t="s">
        <v>2514</v>
      </c>
      <c r="B649" t="s">
        <v>2515</v>
      </c>
      <c r="C649" t="s">
        <v>46</v>
      </c>
      <c r="D649" t="s">
        <v>51</v>
      </c>
      <c r="E649" t="s">
        <v>52</v>
      </c>
      <c r="F649" t="s">
        <v>160</v>
      </c>
      <c r="G649" s="1">
        <v>45544</v>
      </c>
      <c r="H649" s="1">
        <v>45656</v>
      </c>
      <c r="I649" t="s">
        <v>2516</v>
      </c>
      <c r="J649" t="s">
        <v>2517</v>
      </c>
      <c r="K649" t="s">
        <v>29</v>
      </c>
      <c r="L649" t="s">
        <v>60</v>
      </c>
      <c r="M649" t="s">
        <v>22</v>
      </c>
    </row>
    <row r="650" spans="1:13" x14ac:dyDescent="0.3">
      <c r="A650" t="s">
        <v>2518</v>
      </c>
      <c r="B650" t="s">
        <v>2519</v>
      </c>
      <c r="C650" t="s">
        <v>76</v>
      </c>
      <c r="D650" t="s">
        <v>77</v>
      </c>
      <c r="E650" t="s">
        <v>52</v>
      </c>
      <c r="F650" t="s">
        <v>18</v>
      </c>
      <c r="G650" s="1">
        <v>44872</v>
      </c>
      <c r="H650" s="1">
        <v>45237</v>
      </c>
      <c r="I650" t="s">
        <v>2520</v>
      </c>
      <c r="J650" t="s">
        <v>2521</v>
      </c>
      <c r="K650" t="s">
        <v>37</v>
      </c>
      <c r="L650" t="s">
        <v>60</v>
      </c>
      <c r="M650" t="s">
        <v>22</v>
      </c>
    </row>
    <row r="651" spans="1:13" x14ac:dyDescent="0.3">
      <c r="A651" t="s">
        <v>2522</v>
      </c>
      <c r="B651" t="s">
        <v>2523</v>
      </c>
      <c r="C651" t="s">
        <v>15</v>
      </c>
      <c r="D651" t="s">
        <v>16</v>
      </c>
      <c r="E651" t="s">
        <v>17</v>
      </c>
      <c r="F651" t="s">
        <v>18</v>
      </c>
      <c r="G651" s="1">
        <v>44129</v>
      </c>
      <c r="H651" s="1">
        <v>44166</v>
      </c>
      <c r="I651" t="s">
        <v>2524</v>
      </c>
      <c r="J651" t="s">
        <v>2525</v>
      </c>
      <c r="K651" t="s">
        <v>21</v>
      </c>
      <c r="L651" t="s">
        <v>30</v>
      </c>
      <c r="M651" t="s">
        <v>22</v>
      </c>
    </row>
    <row r="652" spans="1:13" x14ac:dyDescent="0.3">
      <c r="A652" t="s">
        <v>2526</v>
      </c>
      <c r="B652" t="s">
        <v>2503</v>
      </c>
      <c r="C652" t="s">
        <v>46</v>
      </c>
      <c r="D652" t="s">
        <v>77</v>
      </c>
      <c r="E652" t="s">
        <v>52</v>
      </c>
      <c r="F652" t="s">
        <v>18</v>
      </c>
      <c r="G652" s="1">
        <v>44180</v>
      </c>
      <c r="H652" s="1">
        <v>44492</v>
      </c>
      <c r="I652" t="s">
        <v>2504</v>
      </c>
      <c r="J652" t="s">
        <v>2527</v>
      </c>
      <c r="K652" t="s">
        <v>21</v>
      </c>
      <c r="L652" t="s">
        <v>91</v>
      </c>
      <c r="M652" t="s">
        <v>22</v>
      </c>
    </row>
    <row r="653" spans="1:13" x14ac:dyDescent="0.3">
      <c r="A653" t="s">
        <v>2528</v>
      </c>
      <c r="B653" t="s">
        <v>2529</v>
      </c>
      <c r="C653" t="s">
        <v>76</v>
      </c>
      <c r="D653" t="s">
        <v>25</v>
      </c>
      <c r="E653" t="s">
        <v>26</v>
      </c>
      <c r="F653" t="s">
        <v>160</v>
      </c>
      <c r="G653" s="1">
        <v>43537</v>
      </c>
      <c r="H653" s="1">
        <v>43782</v>
      </c>
      <c r="I653" t="s">
        <v>2530</v>
      </c>
      <c r="J653" t="s">
        <v>2531</v>
      </c>
      <c r="K653" t="s">
        <v>29</v>
      </c>
      <c r="L653" t="s">
        <v>55</v>
      </c>
      <c r="M653" t="s">
        <v>22</v>
      </c>
    </row>
    <row r="654" spans="1:13" x14ac:dyDescent="0.3">
      <c r="A654" t="s">
        <v>2532</v>
      </c>
      <c r="B654" t="s">
        <v>2533</v>
      </c>
      <c r="C654" t="s">
        <v>33</v>
      </c>
      <c r="D654" t="s">
        <v>34</v>
      </c>
      <c r="E654" t="s">
        <v>26</v>
      </c>
      <c r="F654" t="s">
        <v>18</v>
      </c>
      <c r="G654" s="1">
        <v>44674</v>
      </c>
      <c r="H654" s="1">
        <v>44841</v>
      </c>
      <c r="I654" t="s">
        <v>2534</v>
      </c>
      <c r="J654" t="s">
        <v>2535</v>
      </c>
      <c r="K654" t="s">
        <v>37</v>
      </c>
      <c r="L654" t="s">
        <v>55</v>
      </c>
      <c r="M654" t="s">
        <v>22</v>
      </c>
    </row>
    <row r="655" spans="1:13" x14ac:dyDescent="0.3">
      <c r="A655" t="s">
        <v>2536</v>
      </c>
      <c r="B655" t="s">
        <v>2537</v>
      </c>
      <c r="C655" t="s">
        <v>181</v>
      </c>
      <c r="D655" t="s">
        <v>25</v>
      </c>
      <c r="E655" t="s">
        <v>26</v>
      </c>
      <c r="F655" t="s">
        <v>18</v>
      </c>
      <c r="G655" s="1">
        <v>45372</v>
      </c>
      <c r="H655" s="1">
        <v>45529</v>
      </c>
      <c r="I655" t="s">
        <v>2538</v>
      </c>
      <c r="J655" t="s">
        <v>2416</v>
      </c>
      <c r="K655" t="s">
        <v>29</v>
      </c>
      <c r="M655" t="s">
        <v>22</v>
      </c>
    </row>
    <row r="656" spans="1:13" x14ac:dyDescent="0.3">
      <c r="A656" t="s">
        <v>2539</v>
      </c>
      <c r="B656" t="s">
        <v>134</v>
      </c>
      <c r="C656" t="s">
        <v>33</v>
      </c>
      <c r="D656" t="s">
        <v>67</v>
      </c>
      <c r="E656" t="s">
        <v>26</v>
      </c>
      <c r="F656" t="s">
        <v>160</v>
      </c>
      <c r="G656" s="1">
        <v>44858</v>
      </c>
      <c r="H656" s="1">
        <v>44899</v>
      </c>
      <c r="I656" t="s">
        <v>135</v>
      </c>
      <c r="J656" t="s">
        <v>2540</v>
      </c>
      <c r="K656" t="s">
        <v>37</v>
      </c>
      <c r="L656" t="s">
        <v>55</v>
      </c>
      <c r="M656" t="s">
        <v>22</v>
      </c>
    </row>
    <row r="657" spans="1:13" x14ac:dyDescent="0.3">
      <c r="A657" t="s">
        <v>2541</v>
      </c>
      <c r="B657" t="s">
        <v>2542</v>
      </c>
      <c r="C657" t="s">
        <v>33</v>
      </c>
      <c r="D657" t="s">
        <v>25</v>
      </c>
      <c r="E657" t="s">
        <v>26</v>
      </c>
      <c r="F657" t="s">
        <v>18</v>
      </c>
      <c r="G657" s="1">
        <v>43695</v>
      </c>
      <c r="H657" s="1">
        <v>43845</v>
      </c>
      <c r="I657" t="s">
        <v>2543</v>
      </c>
      <c r="J657" t="s">
        <v>2544</v>
      </c>
      <c r="K657" t="s">
        <v>21</v>
      </c>
      <c r="L657" t="s">
        <v>55</v>
      </c>
      <c r="M657" t="s">
        <v>22</v>
      </c>
    </row>
    <row r="658" spans="1:13" x14ac:dyDescent="0.3">
      <c r="A658" t="s">
        <v>2545</v>
      </c>
      <c r="B658" t="s">
        <v>2546</v>
      </c>
      <c r="C658" t="s">
        <v>40</v>
      </c>
      <c r="D658" t="s">
        <v>77</v>
      </c>
      <c r="E658" t="s">
        <v>52</v>
      </c>
      <c r="F658" t="s">
        <v>18</v>
      </c>
      <c r="G658" s="1">
        <v>44537</v>
      </c>
      <c r="H658" s="1">
        <v>44872</v>
      </c>
      <c r="I658" t="s">
        <v>2547</v>
      </c>
      <c r="J658" t="s">
        <v>2548</v>
      </c>
      <c r="K658" t="s">
        <v>37</v>
      </c>
      <c r="M658" t="s">
        <v>22</v>
      </c>
    </row>
    <row r="659" spans="1:13" x14ac:dyDescent="0.3">
      <c r="A659" t="s">
        <v>2549</v>
      </c>
      <c r="B659" t="s">
        <v>2154</v>
      </c>
      <c r="C659" t="s">
        <v>181</v>
      </c>
      <c r="D659" t="s">
        <v>25</v>
      </c>
      <c r="E659" t="s">
        <v>26</v>
      </c>
      <c r="F659" t="s">
        <v>18</v>
      </c>
      <c r="G659" s="1">
        <v>43706</v>
      </c>
      <c r="H659" s="1">
        <v>43787</v>
      </c>
      <c r="I659" t="s">
        <v>2550</v>
      </c>
      <c r="J659" t="s">
        <v>2551</v>
      </c>
      <c r="K659" t="s">
        <v>21</v>
      </c>
      <c r="L659" t="s">
        <v>91</v>
      </c>
      <c r="M659" t="s">
        <v>22</v>
      </c>
    </row>
    <row r="660" spans="1:13" x14ac:dyDescent="0.3">
      <c r="A660" t="s">
        <v>2552</v>
      </c>
      <c r="B660" t="s">
        <v>2553</v>
      </c>
      <c r="C660" t="s">
        <v>181</v>
      </c>
      <c r="D660" t="s">
        <v>51</v>
      </c>
      <c r="E660" t="s">
        <v>52</v>
      </c>
      <c r="F660" t="s">
        <v>18</v>
      </c>
      <c r="G660" s="1">
        <v>44020</v>
      </c>
      <c r="H660" s="1">
        <v>44202</v>
      </c>
      <c r="I660" t="s">
        <v>2554</v>
      </c>
      <c r="J660" t="s">
        <v>2555</v>
      </c>
      <c r="K660" t="s">
        <v>29</v>
      </c>
      <c r="L660" t="s">
        <v>116</v>
      </c>
      <c r="M660" t="s">
        <v>22</v>
      </c>
    </row>
    <row r="661" spans="1:13" x14ac:dyDescent="0.3">
      <c r="A661" t="s">
        <v>2556</v>
      </c>
      <c r="B661" t="s">
        <v>2557</v>
      </c>
      <c r="C661" t="s">
        <v>87</v>
      </c>
      <c r="D661" t="s">
        <v>67</v>
      </c>
      <c r="E661" t="s">
        <v>26</v>
      </c>
      <c r="F661" t="s">
        <v>151</v>
      </c>
      <c r="G661" s="1">
        <v>45227</v>
      </c>
      <c r="H661" s="1">
        <v>45301</v>
      </c>
      <c r="I661" t="s">
        <v>2558</v>
      </c>
      <c r="J661" t="s">
        <v>1074</v>
      </c>
      <c r="K661" t="s">
        <v>29</v>
      </c>
      <c r="L661" t="s">
        <v>60</v>
      </c>
      <c r="M661" t="s">
        <v>22</v>
      </c>
    </row>
    <row r="662" spans="1:13" x14ac:dyDescent="0.3">
      <c r="A662" t="s">
        <v>2559</v>
      </c>
      <c r="B662" t="s">
        <v>2560</v>
      </c>
      <c r="C662" t="s">
        <v>33</v>
      </c>
      <c r="D662" t="s">
        <v>51</v>
      </c>
      <c r="E662" t="s">
        <v>52</v>
      </c>
      <c r="F662" t="s">
        <v>18</v>
      </c>
      <c r="G662" s="1">
        <v>43697</v>
      </c>
      <c r="H662" s="1">
        <v>44035</v>
      </c>
      <c r="I662" t="s">
        <v>2561</v>
      </c>
      <c r="J662" t="s">
        <v>2562</v>
      </c>
      <c r="K662" t="s">
        <v>37</v>
      </c>
      <c r="M662" t="s">
        <v>22</v>
      </c>
    </row>
    <row r="663" spans="1:13" x14ac:dyDescent="0.3">
      <c r="A663" t="s">
        <v>2563</v>
      </c>
      <c r="B663" t="s">
        <v>2564</v>
      </c>
      <c r="C663" t="s">
        <v>46</v>
      </c>
      <c r="D663" t="s">
        <v>34</v>
      </c>
      <c r="E663" t="s">
        <v>26</v>
      </c>
      <c r="F663" t="s">
        <v>18</v>
      </c>
      <c r="G663" s="1">
        <v>45096</v>
      </c>
      <c r="H663" s="1">
        <v>45237</v>
      </c>
      <c r="I663" t="s">
        <v>2565</v>
      </c>
      <c r="J663" t="s">
        <v>2566</v>
      </c>
      <c r="K663" t="s">
        <v>21</v>
      </c>
      <c r="L663" t="s">
        <v>60</v>
      </c>
      <c r="M663" t="s">
        <v>22</v>
      </c>
    </row>
    <row r="664" spans="1:13" x14ac:dyDescent="0.3">
      <c r="A664" t="s">
        <v>2567</v>
      </c>
      <c r="B664" t="s">
        <v>2568</v>
      </c>
      <c r="C664" t="s">
        <v>33</v>
      </c>
      <c r="D664" t="s">
        <v>16</v>
      </c>
      <c r="E664" t="s">
        <v>17</v>
      </c>
      <c r="F664" t="s">
        <v>160</v>
      </c>
      <c r="G664" s="1">
        <v>45450</v>
      </c>
      <c r="H664" s="1">
        <v>45770</v>
      </c>
      <c r="I664" t="s">
        <v>2569</v>
      </c>
      <c r="J664" t="s">
        <v>2570</v>
      </c>
      <c r="K664" t="s">
        <v>21</v>
      </c>
      <c r="L664" t="s">
        <v>60</v>
      </c>
      <c r="M664" t="s">
        <v>22</v>
      </c>
    </row>
    <row r="665" spans="1:13" x14ac:dyDescent="0.3">
      <c r="A665" t="s">
        <v>2571</v>
      </c>
      <c r="B665" t="s">
        <v>2572</v>
      </c>
      <c r="C665" t="s">
        <v>15</v>
      </c>
      <c r="D665" t="s">
        <v>34</v>
      </c>
      <c r="E665" t="s">
        <v>26</v>
      </c>
      <c r="F665" t="s">
        <v>160</v>
      </c>
      <c r="G665" s="1">
        <v>45308</v>
      </c>
      <c r="H665" s="1">
        <v>45600</v>
      </c>
      <c r="I665" t="s">
        <v>2573</v>
      </c>
      <c r="J665" t="s">
        <v>2574</v>
      </c>
      <c r="K665" t="s">
        <v>21</v>
      </c>
      <c r="L665" t="s">
        <v>91</v>
      </c>
      <c r="M665" t="s">
        <v>22</v>
      </c>
    </row>
    <row r="666" spans="1:13" x14ac:dyDescent="0.3">
      <c r="A666" t="s">
        <v>2575</v>
      </c>
      <c r="B666" t="s">
        <v>1836</v>
      </c>
      <c r="C666" t="s">
        <v>87</v>
      </c>
      <c r="D666" t="s">
        <v>77</v>
      </c>
      <c r="E666" t="s">
        <v>52</v>
      </c>
      <c r="F666" t="s">
        <v>18</v>
      </c>
      <c r="G666" s="1">
        <v>45421</v>
      </c>
      <c r="H666" s="1">
        <v>45617</v>
      </c>
      <c r="I666" t="s">
        <v>2576</v>
      </c>
      <c r="J666" t="s">
        <v>2577</v>
      </c>
      <c r="K666" t="s">
        <v>37</v>
      </c>
      <c r="M666" t="s">
        <v>22</v>
      </c>
    </row>
    <row r="667" spans="1:13" x14ac:dyDescent="0.3">
      <c r="A667" t="s">
        <v>2578</v>
      </c>
      <c r="B667" t="s">
        <v>2579</v>
      </c>
      <c r="C667" t="s">
        <v>33</v>
      </c>
      <c r="D667" t="s">
        <v>34</v>
      </c>
      <c r="E667" t="s">
        <v>26</v>
      </c>
      <c r="F667" t="s">
        <v>160</v>
      </c>
      <c r="G667" s="1">
        <v>44590</v>
      </c>
      <c r="H667" s="1">
        <v>44687</v>
      </c>
      <c r="I667" t="s">
        <v>2580</v>
      </c>
      <c r="J667" t="s">
        <v>2581</v>
      </c>
      <c r="K667" t="s">
        <v>29</v>
      </c>
      <c r="L667" t="s">
        <v>60</v>
      </c>
      <c r="M667" t="s">
        <v>22</v>
      </c>
    </row>
    <row r="668" spans="1:13" x14ac:dyDescent="0.3">
      <c r="A668" t="s">
        <v>2582</v>
      </c>
      <c r="B668" t="s">
        <v>2583</v>
      </c>
      <c r="C668" t="s">
        <v>40</v>
      </c>
      <c r="D668" t="s">
        <v>16</v>
      </c>
      <c r="E668" t="s">
        <v>17</v>
      </c>
      <c r="F668" t="s">
        <v>18</v>
      </c>
      <c r="G668" s="1">
        <v>44822</v>
      </c>
      <c r="H668" s="1">
        <v>45166</v>
      </c>
      <c r="I668" t="s">
        <v>2584</v>
      </c>
      <c r="J668" t="s">
        <v>2585</v>
      </c>
      <c r="K668" t="s">
        <v>29</v>
      </c>
      <c r="M668" t="s">
        <v>22</v>
      </c>
    </row>
    <row r="669" spans="1:13" x14ac:dyDescent="0.3">
      <c r="A669" t="s">
        <v>2586</v>
      </c>
      <c r="B669" t="s">
        <v>2587</v>
      </c>
      <c r="C669" t="s">
        <v>181</v>
      </c>
      <c r="D669" t="s">
        <v>34</v>
      </c>
      <c r="E669" t="s">
        <v>26</v>
      </c>
      <c r="F669" t="s">
        <v>18</v>
      </c>
      <c r="G669" s="1">
        <v>44151</v>
      </c>
      <c r="H669" s="1">
        <v>44258</v>
      </c>
      <c r="I669" t="s">
        <v>2588</v>
      </c>
      <c r="J669" t="s">
        <v>2589</v>
      </c>
      <c r="K669" t="s">
        <v>90</v>
      </c>
      <c r="M669" t="s">
        <v>22</v>
      </c>
    </row>
    <row r="670" spans="1:13" x14ac:dyDescent="0.3">
      <c r="A670" t="s">
        <v>2590</v>
      </c>
      <c r="B670" t="s">
        <v>2591</v>
      </c>
      <c r="C670" t="s">
        <v>46</v>
      </c>
      <c r="D670" t="s">
        <v>51</v>
      </c>
      <c r="E670" t="s">
        <v>52</v>
      </c>
      <c r="F670" t="s">
        <v>18</v>
      </c>
      <c r="G670" s="1">
        <v>45083</v>
      </c>
      <c r="H670" s="1">
        <v>45237</v>
      </c>
      <c r="I670" t="s">
        <v>2592</v>
      </c>
      <c r="J670" t="s">
        <v>2593</v>
      </c>
      <c r="K670" t="s">
        <v>37</v>
      </c>
      <c r="L670" t="s">
        <v>60</v>
      </c>
      <c r="M670" t="s">
        <v>22</v>
      </c>
    </row>
    <row r="671" spans="1:13" x14ac:dyDescent="0.3">
      <c r="A671" t="s">
        <v>2594</v>
      </c>
      <c r="B671" t="s">
        <v>2595</v>
      </c>
      <c r="C671" t="s">
        <v>971</v>
      </c>
      <c r="D671" t="s">
        <v>25</v>
      </c>
      <c r="E671" t="s">
        <v>26</v>
      </c>
      <c r="F671" t="s">
        <v>18</v>
      </c>
      <c r="G671" s="1">
        <v>43765</v>
      </c>
      <c r="H671" s="1">
        <v>44092</v>
      </c>
      <c r="I671" t="s">
        <v>2596</v>
      </c>
      <c r="J671" t="s">
        <v>2597</v>
      </c>
      <c r="K671" t="s">
        <v>29</v>
      </c>
      <c r="M671" t="s">
        <v>22</v>
      </c>
    </row>
    <row r="672" spans="1:13" x14ac:dyDescent="0.3">
      <c r="A672" t="s">
        <v>2598</v>
      </c>
      <c r="B672" t="s">
        <v>2599</v>
      </c>
      <c r="C672" t="s">
        <v>40</v>
      </c>
      <c r="D672" t="s">
        <v>51</v>
      </c>
      <c r="E672" t="s">
        <v>52</v>
      </c>
      <c r="F672" t="s">
        <v>18</v>
      </c>
      <c r="G672" s="1">
        <v>44754</v>
      </c>
      <c r="H672" s="1">
        <v>44862</v>
      </c>
      <c r="I672" t="s">
        <v>2600</v>
      </c>
      <c r="J672" t="s">
        <v>2601</v>
      </c>
      <c r="K672" t="s">
        <v>21</v>
      </c>
      <c r="L672" t="s">
        <v>55</v>
      </c>
      <c r="M672" t="s">
        <v>22</v>
      </c>
    </row>
    <row r="673" spans="1:13" x14ac:dyDescent="0.3">
      <c r="A673" t="s">
        <v>2602</v>
      </c>
      <c r="B673" t="s">
        <v>782</v>
      </c>
      <c r="C673" t="s">
        <v>87</v>
      </c>
      <c r="D673" t="s">
        <v>16</v>
      </c>
      <c r="E673" t="s">
        <v>17</v>
      </c>
      <c r="F673" t="s">
        <v>18</v>
      </c>
      <c r="G673" s="1">
        <v>44804</v>
      </c>
      <c r="H673" s="1">
        <v>45036</v>
      </c>
      <c r="I673" t="s">
        <v>2603</v>
      </c>
      <c r="J673" t="s">
        <v>2604</v>
      </c>
      <c r="K673" t="s">
        <v>37</v>
      </c>
      <c r="M673" t="s">
        <v>22</v>
      </c>
    </row>
    <row r="674" spans="1:13" x14ac:dyDescent="0.3">
      <c r="A674" t="s">
        <v>2605</v>
      </c>
      <c r="B674" t="s">
        <v>2606</v>
      </c>
      <c r="C674" t="s">
        <v>33</v>
      </c>
      <c r="D674" t="s">
        <v>16</v>
      </c>
      <c r="E674" t="s">
        <v>17</v>
      </c>
      <c r="F674" t="s">
        <v>151</v>
      </c>
      <c r="G674" s="1">
        <v>43629</v>
      </c>
      <c r="H674" s="1">
        <v>43812</v>
      </c>
      <c r="I674" t="s">
        <v>2607</v>
      </c>
      <c r="J674" t="s">
        <v>2608</v>
      </c>
      <c r="K674" t="s">
        <v>90</v>
      </c>
      <c r="L674" t="s">
        <v>116</v>
      </c>
      <c r="M674" t="s">
        <v>22</v>
      </c>
    </row>
    <row r="675" spans="1:13" x14ac:dyDescent="0.3">
      <c r="A675" t="s">
        <v>2609</v>
      </c>
      <c r="B675" t="s">
        <v>2610</v>
      </c>
      <c r="C675" t="s">
        <v>87</v>
      </c>
      <c r="D675" t="s">
        <v>41</v>
      </c>
      <c r="E675" t="s">
        <v>17</v>
      </c>
      <c r="F675" t="s">
        <v>18</v>
      </c>
      <c r="G675" s="1">
        <v>43803</v>
      </c>
      <c r="H675" s="1">
        <v>43852</v>
      </c>
      <c r="I675" t="s">
        <v>2611</v>
      </c>
      <c r="J675" t="s">
        <v>2612</v>
      </c>
      <c r="K675" t="s">
        <v>90</v>
      </c>
      <c r="M675" t="s">
        <v>22</v>
      </c>
    </row>
    <row r="676" spans="1:13" x14ac:dyDescent="0.3">
      <c r="A676" t="s">
        <v>2613</v>
      </c>
      <c r="B676" t="s">
        <v>2614</v>
      </c>
      <c r="C676" t="s">
        <v>76</v>
      </c>
      <c r="D676" t="s">
        <v>41</v>
      </c>
      <c r="E676" t="s">
        <v>17</v>
      </c>
      <c r="F676" t="s">
        <v>18</v>
      </c>
      <c r="G676" s="1">
        <v>43785</v>
      </c>
      <c r="H676" s="1">
        <v>44135</v>
      </c>
      <c r="I676" t="s">
        <v>2615</v>
      </c>
      <c r="J676" t="s">
        <v>1439</v>
      </c>
      <c r="K676" t="s">
        <v>90</v>
      </c>
      <c r="L676" t="s">
        <v>116</v>
      </c>
      <c r="M676" t="s">
        <v>22</v>
      </c>
    </row>
    <row r="677" spans="1:13" x14ac:dyDescent="0.3">
      <c r="A677" t="s">
        <v>2616</v>
      </c>
      <c r="B677" t="s">
        <v>2617</v>
      </c>
      <c r="C677" t="s">
        <v>46</v>
      </c>
      <c r="D677" t="s">
        <v>34</v>
      </c>
      <c r="E677" t="s">
        <v>26</v>
      </c>
      <c r="F677" t="s">
        <v>151</v>
      </c>
      <c r="G677" s="1">
        <v>45612</v>
      </c>
      <c r="H677" s="1">
        <v>45629</v>
      </c>
      <c r="I677" t="s">
        <v>2618</v>
      </c>
      <c r="J677" t="s">
        <v>2619</v>
      </c>
      <c r="K677" t="s">
        <v>90</v>
      </c>
      <c r="L677" t="s">
        <v>30</v>
      </c>
      <c r="M677" t="s">
        <v>22</v>
      </c>
    </row>
    <row r="678" spans="1:13" x14ac:dyDescent="0.3">
      <c r="A678" t="s">
        <v>2620</v>
      </c>
      <c r="B678" t="s">
        <v>2621</v>
      </c>
      <c r="C678" t="s">
        <v>181</v>
      </c>
      <c r="D678" t="s">
        <v>67</v>
      </c>
      <c r="E678" t="s">
        <v>26</v>
      </c>
      <c r="F678" t="s">
        <v>18</v>
      </c>
      <c r="G678" s="1">
        <v>45162</v>
      </c>
      <c r="H678" s="1">
        <v>45354</v>
      </c>
      <c r="I678" t="s">
        <v>2622</v>
      </c>
      <c r="J678" t="s">
        <v>2623</v>
      </c>
      <c r="K678" t="s">
        <v>90</v>
      </c>
      <c r="L678" t="s">
        <v>30</v>
      </c>
      <c r="M678" t="s">
        <v>22</v>
      </c>
    </row>
    <row r="679" spans="1:13" x14ac:dyDescent="0.3">
      <c r="A679" t="s">
        <v>2624</v>
      </c>
      <c r="B679" t="s">
        <v>2625</v>
      </c>
      <c r="C679" t="s">
        <v>33</v>
      </c>
      <c r="D679" t="s">
        <v>67</v>
      </c>
      <c r="E679" t="s">
        <v>26</v>
      </c>
      <c r="F679" t="s">
        <v>18</v>
      </c>
      <c r="G679" s="1">
        <v>44702</v>
      </c>
      <c r="H679" s="1">
        <v>45001</v>
      </c>
      <c r="I679" t="s">
        <v>2626</v>
      </c>
      <c r="J679" t="s">
        <v>2627</v>
      </c>
      <c r="K679" t="s">
        <v>21</v>
      </c>
      <c r="L679" t="s">
        <v>55</v>
      </c>
      <c r="M679" t="s">
        <v>22</v>
      </c>
    </row>
    <row r="680" spans="1:13" x14ac:dyDescent="0.3">
      <c r="A680" t="s">
        <v>2628</v>
      </c>
      <c r="B680" t="s">
        <v>2629</v>
      </c>
      <c r="C680" t="s">
        <v>181</v>
      </c>
      <c r="D680" t="s">
        <v>67</v>
      </c>
      <c r="E680" t="s">
        <v>26</v>
      </c>
      <c r="F680" t="s">
        <v>18</v>
      </c>
      <c r="G680" s="1">
        <v>45613</v>
      </c>
      <c r="H680" s="1">
        <v>45739</v>
      </c>
      <c r="I680" t="s">
        <v>2630</v>
      </c>
      <c r="J680" t="s">
        <v>2631</v>
      </c>
      <c r="K680" t="s">
        <v>29</v>
      </c>
      <c r="L680" t="s">
        <v>30</v>
      </c>
      <c r="M680" t="s">
        <v>22</v>
      </c>
    </row>
    <row r="681" spans="1:13" x14ac:dyDescent="0.3">
      <c r="A681" t="s">
        <v>2632</v>
      </c>
      <c r="B681" t="s">
        <v>2633</v>
      </c>
      <c r="C681" t="s">
        <v>181</v>
      </c>
      <c r="D681" t="s">
        <v>34</v>
      </c>
      <c r="E681" t="s">
        <v>26</v>
      </c>
      <c r="F681" t="s">
        <v>18</v>
      </c>
      <c r="G681" s="1">
        <v>45053</v>
      </c>
      <c r="H681" s="1">
        <v>45418</v>
      </c>
      <c r="I681" t="s">
        <v>2634</v>
      </c>
      <c r="J681" t="s">
        <v>2635</v>
      </c>
      <c r="K681" t="s">
        <v>90</v>
      </c>
      <c r="L681" t="s">
        <v>116</v>
      </c>
      <c r="M681" t="s">
        <v>22</v>
      </c>
    </row>
    <row r="682" spans="1:13" x14ac:dyDescent="0.3">
      <c r="A682" t="s">
        <v>945</v>
      </c>
      <c r="B682" t="s">
        <v>946</v>
      </c>
      <c r="C682" t="s">
        <v>87</v>
      </c>
      <c r="D682" t="s">
        <v>51</v>
      </c>
      <c r="E682" t="s">
        <v>52</v>
      </c>
      <c r="F682" t="s">
        <v>151</v>
      </c>
      <c r="G682" s="1">
        <v>44294</v>
      </c>
      <c r="H682" s="1">
        <v>44465</v>
      </c>
      <c r="I682" t="s">
        <v>947</v>
      </c>
      <c r="J682" t="s">
        <v>948</v>
      </c>
      <c r="K682" t="s">
        <v>90</v>
      </c>
      <c r="L682" t="s">
        <v>116</v>
      </c>
      <c r="M682" t="s">
        <v>22</v>
      </c>
    </row>
    <row r="683" spans="1:13" x14ac:dyDescent="0.3">
      <c r="A683" t="s">
        <v>2636</v>
      </c>
      <c r="B683" t="s">
        <v>2637</v>
      </c>
      <c r="C683" t="s">
        <v>33</v>
      </c>
      <c r="D683" t="s">
        <v>34</v>
      </c>
      <c r="E683" t="s">
        <v>26</v>
      </c>
      <c r="F683" t="s">
        <v>151</v>
      </c>
      <c r="G683" s="1">
        <v>45574</v>
      </c>
      <c r="H683" s="1">
        <v>45919</v>
      </c>
      <c r="I683" t="s">
        <v>2638</v>
      </c>
      <c r="J683" t="s">
        <v>2639</v>
      </c>
      <c r="K683" t="s">
        <v>90</v>
      </c>
      <c r="L683" t="s">
        <v>30</v>
      </c>
      <c r="M683" t="s">
        <v>22</v>
      </c>
    </row>
    <row r="684" spans="1:13" x14ac:dyDescent="0.3">
      <c r="A684" t="s">
        <v>2640</v>
      </c>
      <c r="B684" t="s">
        <v>2641</v>
      </c>
      <c r="C684" t="s">
        <v>76</v>
      </c>
      <c r="D684" t="s">
        <v>41</v>
      </c>
      <c r="E684" t="s">
        <v>17</v>
      </c>
      <c r="F684" t="s">
        <v>151</v>
      </c>
      <c r="G684" s="1">
        <v>44754</v>
      </c>
      <c r="H684" s="1">
        <v>44762</v>
      </c>
      <c r="I684" t="s">
        <v>2642</v>
      </c>
      <c r="J684" t="s">
        <v>2643</v>
      </c>
      <c r="K684" t="s">
        <v>21</v>
      </c>
      <c r="L684" t="s">
        <v>60</v>
      </c>
      <c r="M684" t="s">
        <v>22</v>
      </c>
    </row>
    <row r="685" spans="1:13" x14ac:dyDescent="0.3">
      <c r="A685" t="s">
        <v>2644</v>
      </c>
      <c r="B685" t="s">
        <v>2645</v>
      </c>
      <c r="C685" t="s">
        <v>33</v>
      </c>
      <c r="D685" t="s">
        <v>67</v>
      </c>
      <c r="E685" t="s">
        <v>26</v>
      </c>
      <c r="F685" t="s">
        <v>18</v>
      </c>
      <c r="G685" s="1">
        <v>44915</v>
      </c>
      <c r="H685" s="1">
        <v>44981</v>
      </c>
      <c r="I685" t="s">
        <v>2646</v>
      </c>
      <c r="J685" t="s">
        <v>2647</v>
      </c>
      <c r="K685" t="s">
        <v>21</v>
      </c>
      <c r="L685" t="s">
        <v>30</v>
      </c>
      <c r="M685" t="s">
        <v>22</v>
      </c>
    </row>
    <row r="686" spans="1:13" x14ac:dyDescent="0.3">
      <c r="A686" t="s">
        <v>2648</v>
      </c>
      <c r="B686" t="s">
        <v>2649</v>
      </c>
      <c r="C686" t="s">
        <v>15</v>
      </c>
      <c r="D686" t="s">
        <v>51</v>
      </c>
      <c r="E686" t="s">
        <v>52</v>
      </c>
      <c r="F686" t="s">
        <v>18</v>
      </c>
      <c r="G686" s="1">
        <v>43636</v>
      </c>
      <c r="H686" s="1">
        <v>43861</v>
      </c>
      <c r="I686" t="s">
        <v>2650</v>
      </c>
      <c r="J686" t="s">
        <v>2651</v>
      </c>
      <c r="K686" t="s">
        <v>21</v>
      </c>
      <c r="L686" t="s">
        <v>60</v>
      </c>
      <c r="M686" t="s">
        <v>22</v>
      </c>
    </row>
    <row r="687" spans="1:13" x14ac:dyDescent="0.3">
      <c r="A687" t="s">
        <v>2652</v>
      </c>
      <c r="B687" t="s">
        <v>2653</v>
      </c>
      <c r="C687" t="s">
        <v>76</v>
      </c>
      <c r="D687" t="s">
        <v>25</v>
      </c>
      <c r="E687" t="s">
        <v>26</v>
      </c>
      <c r="F687" t="s">
        <v>160</v>
      </c>
      <c r="G687" s="1">
        <v>45489</v>
      </c>
      <c r="H687" s="1">
        <v>45565</v>
      </c>
      <c r="I687" t="s">
        <v>2654</v>
      </c>
      <c r="J687" t="s">
        <v>2655</v>
      </c>
      <c r="K687" t="s">
        <v>90</v>
      </c>
      <c r="M687" t="s">
        <v>22</v>
      </c>
    </row>
    <row r="688" spans="1:13" x14ac:dyDescent="0.3">
      <c r="A688" t="s">
        <v>2656</v>
      </c>
      <c r="B688" t="s">
        <v>2657</v>
      </c>
      <c r="C688" t="s">
        <v>76</v>
      </c>
      <c r="D688" t="s">
        <v>51</v>
      </c>
      <c r="E688" t="s">
        <v>52</v>
      </c>
      <c r="F688" t="s">
        <v>160</v>
      </c>
      <c r="G688" s="1">
        <v>43780</v>
      </c>
      <c r="H688" s="1">
        <v>44110</v>
      </c>
      <c r="I688" t="s">
        <v>2658</v>
      </c>
      <c r="J688" t="s">
        <v>2659</v>
      </c>
      <c r="K688" t="s">
        <v>21</v>
      </c>
      <c r="L688" t="s">
        <v>30</v>
      </c>
      <c r="M688" t="s">
        <v>22</v>
      </c>
    </row>
    <row r="689" spans="1:13" x14ac:dyDescent="0.3">
      <c r="A689" t="s">
        <v>2660</v>
      </c>
      <c r="B689" t="s">
        <v>2661</v>
      </c>
      <c r="C689" t="s">
        <v>33</v>
      </c>
      <c r="D689" t="s">
        <v>41</v>
      </c>
      <c r="E689" t="s">
        <v>17</v>
      </c>
      <c r="F689" t="s">
        <v>18</v>
      </c>
      <c r="G689" s="1">
        <v>44495</v>
      </c>
      <c r="H689" s="1">
        <v>44814</v>
      </c>
      <c r="I689" t="s">
        <v>2662</v>
      </c>
      <c r="J689" t="s">
        <v>2663</v>
      </c>
      <c r="K689" t="s">
        <v>37</v>
      </c>
      <c r="L689" t="s">
        <v>60</v>
      </c>
      <c r="M689" t="s">
        <v>22</v>
      </c>
    </row>
    <row r="690" spans="1:13" x14ac:dyDescent="0.3">
      <c r="A690" t="s">
        <v>2664</v>
      </c>
      <c r="B690" t="s">
        <v>2665</v>
      </c>
      <c r="C690" t="s">
        <v>46</v>
      </c>
      <c r="D690" t="s">
        <v>16</v>
      </c>
      <c r="E690" t="s">
        <v>17</v>
      </c>
      <c r="F690" t="s">
        <v>18</v>
      </c>
      <c r="G690" s="1">
        <v>43466</v>
      </c>
      <c r="H690" s="1">
        <v>43541</v>
      </c>
      <c r="I690" t="s">
        <v>2666</v>
      </c>
      <c r="J690" t="s">
        <v>2667</v>
      </c>
      <c r="K690" t="s">
        <v>29</v>
      </c>
      <c r="L690" t="s">
        <v>30</v>
      </c>
      <c r="M690" t="s">
        <v>22</v>
      </c>
    </row>
    <row r="691" spans="1:13" x14ac:dyDescent="0.3">
      <c r="A691" t="s">
        <v>2668</v>
      </c>
      <c r="B691" t="s">
        <v>2669</v>
      </c>
      <c r="C691" t="s">
        <v>82</v>
      </c>
      <c r="D691" t="s">
        <v>25</v>
      </c>
      <c r="E691" t="s">
        <v>26</v>
      </c>
      <c r="F691" t="s">
        <v>151</v>
      </c>
      <c r="G691" s="1">
        <v>45603</v>
      </c>
      <c r="H691" s="1">
        <v>45699</v>
      </c>
      <c r="I691" t="s">
        <v>2670</v>
      </c>
      <c r="J691" t="s">
        <v>2671</v>
      </c>
      <c r="K691" t="s">
        <v>90</v>
      </c>
      <c r="L691" t="s">
        <v>60</v>
      </c>
      <c r="M691" t="s">
        <v>22</v>
      </c>
    </row>
    <row r="692" spans="1:13" x14ac:dyDescent="0.3">
      <c r="A692" t="s">
        <v>2672</v>
      </c>
      <c r="B692" t="s">
        <v>2673</v>
      </c>
      <c r="C692" t="s">
        <v>87</v>
      </c>
      <c r="D692" t="s">
        <v>25</v>
      </c>
      <c r="E692" t="s">
        <v>52</v>
      </c>
      <c r="F692" t="s">
        <v>18</v>
      </c>
      <c r="G692" s="1">
        <v>45053</v>
      </c>
      <c r="H692" s="1">
        <v>45150</v>
      </c>
      <c r="I692" t="s">
        <v>2674</v>
      </c>
      <c r="J692" t="s">
        <v>2675</v>
      </c>
      <c r="K692" t="s">
        <v>37</v>
      </c>
      <c r="L692" t="s">
        <v>91</v>
      </c>
      <c r="M692" t="s">
        <v>22</v>
      </c>
    </row>
    <row r="693" spans="1:13" x14ac:dyDescent="0.3">
      <c r="A693" t="s">
        <v>2676</v>
      </c>
      <c r="B693" t="s">
        <v>2677</v>
      </c>
      <c r="C693" t="s">
        <v>76</v>
      </c>
      <c r="D693" t="s">
        <v>16</v>
      </c>
      <c r="E693" t="s">
        <v>17</v>
      </c>
      <c r="F693" t="s">
        <v>18</v>
      </c>
      <c r="G693" s="1">
        <v>45018</v>
      </c>
      <c r="H693" s="1">
        <v>45353</v>
      </c>
      <c r="I693" t="s">
        <v>2678</v>
      </c>
      <c r="J693" t="s">
        <v>2679</v>
      </c>
      <c r="K693" t="s">
        <v>37</v>
      </c>
      <c r="L693" t="s">
        <v>116</v>
      </c>
      <c r="M693" t="s">
        <v>22</v>
      </c>
    </row>
    <row r="694" spans="1:13" x14ac:dyDescent="0.3">
      <c r="A694" t="s">
        <v>2680</v>
      </c>
      <c r="B694" t="s">
        <v>2681</v>
      </c>
      <c r="C694" t="s">
        <v>76</v>
      </c>
      <c r="D694" t="s">
        <v>51</v>
      </c>
      <c r="E694" t="s">
        <v>52</v>
      </c>
      <c r="F694" t="s">
        <v>18</v>
      </c>
      <c r="G694" s="1">
        <v>45139</v>
      </c>
      <c r="H694" s="1">
        <v>45270</v>
      </c>
      <c r="I694" t="s">
        <v>2682</v>
      </c>
      <c r="J694" t="s">
        <v>2683</v>
      </c>
      <c r="K694" t="s">
        <v>90</v>
      </c>
      <c r="L694" t="s">
        <v>91</v>
      </c>
      <c r="M694" t="s">
        <v>22</v>
      </c>
    </row>
    <row r="695" spans="1:13" x14ac:dyDescent="0.3">
      <c r="A695" t="s">
        <v>2684</v>
      </c>
      <c r="B695" t="s">
        <v>2685</v>
      </c>
      <c r="C695" t="s">
        <v>15</v>
      </c>
      <c r="D695" t="s">
        <v>16</v>
      </c>
      <c r="E695" t="s">
        <v>17</v>
      </c>
      <c r="F695" t="s">
        <v>18</v>
      </c>
      <c r="G695" s="1">
        <v>44191</v>
      </c>
      <c r="H695" s="1">
        <v>44512</v>
      </c>
      <c r="I695" t="s">
        <v>2686</v>
      </c>
      <c r="J695" t="s">
        <v>2687</v>
      </c>
      <c r="K695" t="s">
        <v>21</v>
      </c>
      <c r="M695" t="s">
        <v>22</v>
      </c>
    </row>
    <row r="696" spans="1:13" x14ac:dyDescent="0.3">
      <c r="A696" t="s">
        <v>2688</v>
      </c>
      <c r="B696" t="s">
        <v>2689</v>
      </c>
      <c r="C696" t="s">
        <v>15</v>
      </c>
      <c r="D696" t="s">
        <v>34</v>
      </c>
      <c r="E696" t="s">
        <v>26</v>
      </c>
      <c r="F696" t="s">
        <v>160</v>
      </c>
      <c r="G696" s="1">
        <v>44433</v>
      </c>
      <c r="H696" s="1">
        <v>44485</v>
      </c>
      <c r="I696" t="s">
        <v>2690</v>
      </c>
      <c r="J696" t="s">
        <v>2691</v>
      </c>
      <c r="K696" t="s">
        <v>37</v>
      </c>
      <c r="L696" t="s">
        <v>55</v>
      </c>
      <c r="M696" t="s">
        <v>22</v>
      </c>
    </row>
    <row r="697" spans="1:13" x14ac:dyDescent="0.3">
      <c r="A697" t="s">
        <v>2692</v>
      </c>
      <c r="B697" t="s">
        <v>2693</v>
      </c>
      <c r="C697" t="s">
        <v>46</v>
      </c>
      <c r="D697" t="s">
        <v>25</v>
      </c>
      <c r="E697" t="s">
        <v>26</v>
      </c>
      <c r="F697" t="s">
        <v>18</v>
      </c>
      <c r="G697" s="1">
        <v>44183</v>
      </c>
      <c r="H697" s="1">
        <v>44514</v>
      </c>
      <c r="I697" t="s">
        <v>2694</v>
      </c>
      <c r="J697" t="s">
        <v>2695</v>
      </c>
      <c r="K697" t="s">
        <v>37</v>
      </c>
      <c r="L697" t="s">
        <v>55</v>
      </c>
      <c r="M697" t="s">
        <v>22</v>
      </c>
    </row>
    <row r="698" spans="1:13" x14ac:dyDescent="0.3">
      <c r="A698" t="s">
        <v>2696</v>
      </c>
      <c r="B698" t="s">
        <v>2697</v>
      </c>
      <c r="C698" t="s">
        <v>87</v>
      </c>
      <c r="D698" t="s">
        <v>41</v>
      </c>
      <c r="E698" t="s">
        <v>17</v>
      </c>
      <c r="F698" t="s">
        <v>18</v>
      </c>
      <c r="G698" s="1">
        <v>44473</v>
      </c>
      <c r="H698" s="1">
        <v>44564</v>
      </c>
      <c r="I698" t="s">
        <v>2698</v>
      </c>
      <c r="J698" t="s">
        <v>2699</v>
      </c>
      <c r="K698" t="s">
        <v>37</v>
      </c>
      <c r="L698" t="s">
        <v>116</v>
      </c>
      <c r="M698" t="s">
        <v>22</v>
      </c>
    </row>
    <row r="699" spans="1:13" x14ac:dyDescent="0.3">
      <c r="A699" t="s">
        <v>2700</v>
      </c>
      <c r="B699" t="s">
        <v>2701</v>
      </c>
      <c r="C699" t="s">
        <v>76</v>
      </c>
      <c r="D699" t="s">
        <v>34</v>
      </c>
      <c r="E699" t="s">
        <v>26</v>
      </c>
      <c r="F699" t="s">
        <v>151</v>
      </c>
      <c r="G699" s="1">
        <v>44528</v>
      </c>
      <c r="H699" s="1">
        <v>44872</v>
      </c>
      <c r="I699" t="s">
        <v>2702</v>
      </c>
      <c r="J699" t="s">
        <v>2703</v>
      </c>
      <c r="K699" t="s">
        <v>90</v>
      </c>
      <c r="L699" t="s">
        <v>60</v>
      </c>
      <c r="M699" t="s">
        <v>22</v>
      </c>
    </row>
    <row r="700" spans="1:13" x14ac:dyDescent="0.3">
      <c r="A700" t="s">
        <v>2704</v>
      </c>
      <c r="B700" t="s">
        <v>2705</v>
      </c>
      <c r="C700" t="s">
        <v>15</v>
      </c>
      <c r="D700" t="s">
        <v>25</v>
      </c>
      <c r="E700" t="s">
        <v>26</v>
      </c>
      <c r="F700" t="s">
        <v>18</v>
      </c>
      <c r="G700" s="1">
        <v>45366</v>
      </c>
      <c r="H700" s="1">
        <v>45570</v>
      </c>
      <c r="I700" t="s">
        <v>2706</v>
      </c>
      <c r="J700" t="s">
        <v>2707</v>
      </c>
      <c r="K700" t="s">
        <v>21</v>
      </c>
      <c r="M700" t="s">
        <v>22</v>
      </c>
    </row>
    <row r="701" spans="1:13" x14ac:dyDescent="0.3">
      <c r="A701" t="s">
        <v>2708</v>
      </c>
      <c r="B701" t="s">
        <v>1473</v>
      </c>
      <c r="C701" t="s">
        <v>46</v>
      </c>
      <c r="D701" t="s">
        <v>77</v>
      </c>
      <c r="E701" t="s">
        <v>52</v>
      </c>
      <c r="F701" t="s">
        <v>18</v>
      </c>
      <c r="G701" s="1">
        <v>44611</v>
      </c>
      <c r="H701" s="1">
        <v>44807</v>
      </c>
      <c r="I701" t="s">
        <v>2709</v>
      </c>
      <c r="J701" t="s">
        <v>2710</v>
      </c>
      <c r="K701" t="s">
        <v>37</v>
      </c>
      <c r="M701" t="s">
        <v>22</v>
      </c>
    </row>
    <row r="702" spans="1:13" x14ac:dyDescent="0.3">
      <c r="A702" t="s">
        <v>2711</v>
      </c>
      <c r="B702" t="s">
        <v>2712</v>
      </c>
      <c r="C702" t="s">
        <v>76</v>
      </c>
      <c r="D702" t="s">
        <v>41</v>
      </c>
      <c r="E702" t="s">
        <v>17</v>
      </c>
      <c r="F702" t="s">
        <v>160</v>
      </c>
      <c r="G702" s="1">
        <v>45461</v>
      </c>
      <c r="H702" s="1">
        <v>45630</v>
      </c>
      <c r="I702" t="s">
        <v>2713</v>
      </c>
      <c r="J702" t="s">
        <v>2714</v>
      </c>
      <c r="K702" t="s">
        <v>37</v>
      </c>
      <c r="L702" t="s">
        <v>60</v>
      </c>
      <c r="M702" t="s">
        <v>22</v>
      </c>
    </row>
    <row r="703" spans="1:13" x14ac:dyDescent="0.3">
      <c r="A703" t="s">
        <v>2715</v>
      </c>
      <c r="B703" t="s">
        <v>2716</v>
      </c>
      <c r="C703" t="s">
        <v>15</v>
      </c>
      <c r="D703" t="s">
        <v>16</v>
      </c>
      <c r="E703" t="s">
        <v>17</v>
      </c>
      <c r="F703" t="s">
        <v>160</v>
      </c>
      <c r="G703" s="1">
        <v>44149</v>
      </c>
      <c r="I703" t="s">
        <v>2717</v>
      </c>
      <c r="J703" t="s">
        <v>2718</v>
      </c>
      <c r="K703" t="s">
        <v>90</v>
      </c>
      <c r="L703" t="s">
        <v>60</v>
      </c>
      <c r="M703" t="s">
        <v>22</v>
      </c>
    </row>
    <row r="704" spans="1:13" x14ac:dyDescent="0.3">
      <c r="A704" t="s">
        <v>2719</v>
      </c>
      <c r="B704" t="s">
        <v>2720</v>
      </c>
      <c r="C704" t="s">
        <v>87</v>
      </c>
      <c r="D704" t="s">
        <v>77</v>
      </c>
      <c r="E704" t="s">
        <v>52</v>
      </c>
      <c r="F704" t="s">
        <v>151</v>
      </c>
      <c r="G704" s="1">
        <v>44775</v>
      </c>
      <c r="H704" s="1">
        <v>45116</v>
      </c>
      <c r="I704" t="s">
        <v>2721</v>
      </c>
      <c r="J704" t="s">
        <v>2722</v>
      </c>
      <c r="K704" t="s">
        <v>29</v>
      </c>
      <c r="L704" t="s">
        <v>116</v>
      </c>
      <c r="M704" t="s">
        <v>22</v>
      </c>
    </row>
    <row r="705" spans="1:13" x14ac:dyDescent="0.3">
      <c r="A705" t="s">
        <v>2723</v>
      </c>
      <c r="C705" t="s">
        <v>181</v>
      </c>
      <c r="D705" t="s">
        <v>67</v>
      </c>
      <c r="E705" t="s">
        <v>26</v>
      </c>
      <c r="F705" t="s">
        <v>18</v>
      </c>
      <c r="G705" s="1">
        <v>44179</v>
      </c>
      <c r="H705" s="1">
        <v>44314</v>
      </c>
      <c r="I705" t="s">
        <v>2724</v>
      </c>
      <c r="J705" t="s">
        <v>2725</v>
      </c>
      <c r="K705" t="s">
        <v>21</v>
      </c>
      <c r="L705" t="s">
        <v>91</v>
      </c>
      <c r="M705" t="s">
        <v>22</v>
      </c>
    </row>
    <row r="706" spans="1:13" x14ac:dyDescent="0.3">
      <c r="A706" t="s">
        <v>2726</v>
      </c>
      <c r="C706" t="s">
        <v>87</v>
      </c>
      <c r="D706" t="s">
        <v>51</v>
      </c>
      <c r="E706" t="s">
        <v>52</v>
      </c>
      <c r="F706" t="s">
        <v>151</v>
      </c>
      <c r="G706" s="1">
        <v>45384</v>
      </c>
      <c r="H706" s="1">
        <v>45451</v>
      </c>
      <c r="I706" t="s">
        <v>2727</v>
      </c>
      <c r="J706" t="s">
        <v>2728</v>
      </c>
      <c r="K706" t="s">
        <v>21</v>
      </c>
      <c r="M706" t="s">
        <v>22</v>
      </c>
    </row>
    <row r="707" spans="1:13" x14ac:dyDescent="0.3">
      <c r="A707" t="s">
        <v>2729</v>
      </c>
      <c r="B707" t="s">
        <v>2730</v>
      </c>
      <c r="C707" t="s">
        <v>87</v>
      </c>
      <c r="D707" t="s">
        <v>16</v>
      </c>
      <c r="E707" t="s">
        <v>17</v>
      </c>
      <c r="F707" t="s">
        <v>18</v>
      </c>
      <c r="G707" s="1">
        <v>45624</v>
      </c>
      <c r="H707" s="1">
        <v>45835</v>
      </c>
      <c r="I707" t="s">
        <v>2731</v>
      </c>
      <c r="J707" t="s">
        <v>2732</v>
      </c>
      <c r="K707" t="s">
        <v>37</v>
      </c>
      <c r="L707" t="s">
        <v>91</v>
      </c>
      <c r="M707" t="s">
        <v>22</v>
      </c>
    </row>
    <row r="708" spans="1:13" x14ac:dyDescent="0.3">
      <c r="A708" t="s">
        <v>2733</v>
      </c>
      <c r="B708" t="s">
        <v>2734</v>
      </c>
      <c r="C708" t="s">
        <v>33</v>
      </c>
      <c r="D708" t="s">
        <v>25</v>
      </c>
      <c r="E708" t="s">
        <v>26</v>
      </c>
      <c r="F708" t="s">
        <v>18</v>
      </c>
      <c r="G708" s="1">
        <v>44796</v>
      </c>
      <c r="H708" s="1">
        <v>44883</v>
      </c>
      <c r="I708" t="s">
        <v>2735</v>
      </c>
      <c r="J708" t="s">
        <v>2736</v>
      </c>
      <c r="K708" t="s">
        <v>29</v>
      </c>
      <c r="L708" t="s">
        <v>60</v>
      </c>
      <c r="M708" t="s">
        <v>22</v>
      </c>
    </row>
    <row r="709" spans="1:13" x14ac:dyDescent="0.3">
      <c r="A709" t="s">
        <v>2737</v>
      </c>
      <c r="B709" t="s">
        <v>2738</v>
      </c>
      <c r="C709" t="s">
        <v>40</v>
      </c>
      <c r="D709" t="s">
        <v>67</v>
      </c>
      <c r="E709" t="s">
        <v>26</v>
      </c>
      <c r="F709" t="s">
        <v>160</v>
      </c>
      <c r="G709" s="1">
        <v>45619</v>
      </c>
      <c r="H709" s="1">
        <v>45787</v>
      </c>
      <c r="I709" t="s">
        <v>736</v>
      </c>
      <c r="J709" t="s">
        <v>2739</v>
      </c>
      <c r="K709" t="s">
        <v>21</v>
      </c>
      <c r="L709" t="s">
        <v>30</v>
      </c>
      <c r="M709" t="s">
        <v>22</v>
      </c>
    </row>
    <row r="710" spans="1:13" x14ac:dyDescent="0.3">
      <c r="A710" t="s">
        <v>2740</v>
      </c>
      <c r="B710" t="s">
        <v>2741</v>
      </c>
      <c r="C710" t="s">
        <v>181</v>
      </c>
      <c r="D710" t="s">
        <v>51</v>
      </c>
      <c r="E710" t="s">
        <v>52</v>
      </c>
      <c r="F710" t="s">
        <v>18</v>
      </c>
      <c r="G710" s="1">
        <v>44746</v>
      </c>
      <c r="H710" s="1">
        <v>44909</v>
      </c>
      <c r="I710" t="s">
        <v>2742</v>
      </c>
      <c r="J710" t="s">
        <v>2743</v>
      </c>
      <c r="K710" t="s">
        <v>37</v>
      </c>
      <c r="L710" t="s">
        <v>116</v>
      </c>
      <c r="M710" t="s">
        <v>22</v>
      </c>
    </row>
    <row r="711" spans="1:13" x14ac:dyDescent="0.3">
      <c r="A711" t="s">
        <v>2744</v>
      </c>
      <c r="B711" t="s">
        <v>2745</v>
      </c>
      <c r="C711" t="s">
        <v>46</v>
      </c>
      <c r="D711" t="s">
        <v>34</v>
      </c>
      <c r="E711" t="s">
        <v>17</v>
      </c>
      <c r="F711" t="s">
        <v>151</v>
      </c>
      <c r="G711" s="1">
        <v>45632</v>
      </c>
      <c r="H711" s="1">
        <v>45676</v>
      </c>
      <c r="I711" t="s">
        <v>2746</v>
      </c>
      <c r="J711" t="s">
        <v>2747</v>
      </c>
      <c r="K711" t="s">
        <v>21</v>
      </c>
      <c r="L711" t="s">
        <v>91</v>
      </c>
      <c r="M711" t="s">
        <v>22</v>
      </c>
    </row>
    <row r="712" spans="1:13" x14ac:dyDescent="0.3">
      <c r="A712" t="s">
        <v>2748</v>
      </c>
      <c r="B712" t="s">
        <v>2749</v>
      </c>
      <c r="C712" t="s">
        <v>15</v>
      </c>
      <c r="D712" t="s">
        <v>34</v>
      </c>
      <c r="E712" t="s">
        <v>26</v>
      </c>
      <c r="F712" t="s">
        <v>18</v>
      </c>
      <c r="G712" s="1">
        <v>43616</v>
      </c>
      <c r="H712" s="1">
        <v>43800</v>
      </c>
      <c r="I712" t="s">
        <v>2750</v>
      </c>
      <c r="J712" t="s">
        <v>2751</v>
      </c>
      <c r="K712" t="s">
        <v>90</v>
      </c>
      <c r="L712" t="s">
        <v>55</v>
      </c>
      <c r="M712" t="s">
        <v>22</v>
      </c>
    </row>
    <row r="713" spans="1:13" x14ac:dyDescent="0.3">
      <c r="A713" t="s">
        <v>2752</v>
      </c>
      <c r="B713" t="s">
        <v>2753</v>
      </c>
      <c r="C713" t="s">
        <v>15</v>
      </c>
      <c r="D713" t="s">
        <v>77</v>
      </c>
      <c r="E713" t="s">
        <v>52</v>
      </c>
      <c r="F713" t="s">
        <v>18</v>
      </c>
      <c r="G713" s="1">
        <v>44936</v>
      </c>
      <c r="H713" s="1">
        <v>44940</v>
      </c>
      <c r="I713" t="s">
        <v>2754</v>
      </c>
      <c r="J713" t="s">
        <v>2755</v>
      </c>
      <c r="K713" t="s">
        <v>37</v>
      </c>
      <c r="L713" t="s">
        <v>30</v>
      </c>
      <c r="M713" t="s">
        <v>22</v>
      </c>
    </row>
    <row r="714" spans="1:13" x14ac:dyDescent="0.3">
      <c r="A714" t="s">
        <v>2756</v>
      </c>
      <c r="B714" t="s">
        <v>2757</v>
      </c>
      <c r="C714" t="s">
        <v>33</v>
      </c>
      <c r="D714" t="s">
        <v>77</v>
      </c>
      <c r="E714" t="s">
        <v>52</v>
      </c>
      <c r="F714" t="s">
        <v>18</v>
      </c>
      <c r="G714" s="1">
        <v>44083</v>
      </c>
      <c r="H714" s="1">
        <v>44153</v>
      </c>
      <c r="I714" t="s">
        <v>2758</v>
      </c>
      <c r="J714" t="s">
        <v>2759</v>
      </c>
      <c r="K714" t="s">
        <v>21</v>
      </c>
      <c r="L714" t="s">
        <v>91</v>
      </c>
      <c r="M714" t="s">
        <v>22</v>
      </c>
    </row>
    <row r="715" spans="1:13" x14ac:dyDescent="0.3">
      <c r="A715" t="s">
        <v>2760</v>
      </c>
      <c r="B715" t="s">
        <v>2761</v>
      </c>
      <c r="C715" t="s">
        <v>181</v>
      </c>
      <c r="D715" t="s">
        <v>67</v>
      </c>
      <c r="E715" t="s">
        <v>26</v>
      </c>
      <c r="F715" t="s">
        <v>18</v>
      </c>
      <c r="G715" s="1">
        <v>44180</v>
      </c>
      <c r="H715" s="1">
        <v>44236</v>
      </c>
      <c r="I715" t="s">
        <v>2762</v>
      </c>
      <c r="J715" t="s">
        <v>2763</v>
      </c>
      <c r="K715" t="s">
        <v>90</v>
      </c>
      <c r="L715" t="s">
        <v>116</v>
      </c>
      <c r="M715" t="s">
        <v>22</v>
      </c>
    </row>
    <row r="716" spans="1:13" x14ac:dyDescent="0.3">
      <c r="A716" t="s">
        <v>2764</v>
      </c>
      <c r="B716" t="s">
        <v>2765</v>
      </c>
      <c r="C716" t="s">
        <v>15</v>
      </c>
      <c r="D716" t="s">
        <v>25</v>
      </c>
      <c r="E716" t="s">
        <v>26</v>
      </c>
      <c r="F716" t="s">
        <v>18</v>
      </c>
      <c r="G716" s="1">
        <v>45634</v>
      </c>
      <c r="H716" s="1">
        <v>45821</v>
      </c>
      <c r="I716" t="s">
        <v>2766</v>
      </c>
      <c r="J716" t="s">
        <v>2767</v>
      </c>
      <c r="K716" t="s">
        <v>29</v>
      </c>
      <c r="L716" t="s">
        <v>55</v>
      </c>
      <c r="M716" t="s">
        <v>22</v>
      </c>
    </row>
    <row r="717" spans="1:13" x14ac:dyDescent="0.3">
      <c r="A717" t="s">
        <v>2768</v>
      </c>
      <c r="B717" t="s">
        <v>155</v>
      </c>
      <c r="C717" t="s">
        <v>33</v>
      </c>
      <c r="D717" t="s">
        <v>34</v>
      </c>
      <c r="E717" t="s">
        <v>26</v>
      </c>
      <c r="F717" t="s">
        <v>18</v>
      </c>
      <c r="G717" s="1">
        <v>45117</v>
      </c>
      <c r="H717" s="1">
        <v>45304</v>
      </c>
      <c r="I717" t="s">
        <v>2769</v>
      </c>
      <c r="J717" t="s">
        <v>2770</v>
      </c>
      <c r="K717" t="s">
        <v>90</v>
      </c>
      <c r="L717" t="s">
        <v>91</v>
      </c>
      <c r="M717" t="s">
        <v>22</v>
      </c>
    </row>
    <row r="718" spans="1:13" x14ac:dyDescent="0.3">
      <c r="A718" t="s">
        <v>2771</v>
      </c>
      <c r="C718" t="s">
        <v>33</v>
      </c>
      <c r="D718" t="s">
        <v>67</v>
      </c>
      <c r="E718" t="s">
        <v>26</v>
      </c>
      <c r="F718" t="s">
        <v>18</v>
      </c>
      <c r="G718" s="1">
        <v>44270</v>
      </c>
      <c r="H718" s="1">
        <v>45520</v>
      </c>
      <c r="I718" t="s">
        <v>2772</v>
      </c>
      <c r="J718" t="s">
        <v>2773</v>
      </c>
      <c r="K718" t="s">
        <v>21</v>
      </c>
      <c r="L718" t="s">
        <v>60</v>
      </c>
      <c r="M718" t="s">
        <v>22</v>
      </c>
    </row>
    <row r="719" spans="1:13" x14ac:dyDescent="0.3">
      <c r="A719" t="s">
        <v>2774</v>
      </c>
      <c r="B719" t="s">
        <v>814</v>
      </c>
      <c r="C719" t="s">
        <v>15</v>
      </c>
      <c r="D719" t="s">
        <v>67</v>
      </c>
      <c r="E719" t="s">
        <v>26</v>
      </c>
      <c r="F719" t="s">
        <v>160</v>
      </c>
      <c r="G719" s="1">
        <v>44354</v>
      </c>
      <c r="H719" s="1">
        <v>44599</v>
      </c>
      <c r="I719" t="s">
        <v>2775</v>
      </c>
      <c r="J719" t="s">
        <v>2776</v>
      </c>
      <c r="K719" t="s">
        <v>29</v>
      </c>
      <c r="L719" t="s">
        <v>60</v>
      </c>
      <c r="M719" t="s">
        <v>22</v>
      </c>
    </row>
    <row r="720" spans="1:13" x14ac:dyDescent="0.3">
      <c r="A720" t="s">
        <v>2777</v>
      </c>
      <c r="B720" t="s">
        <v>2778</v>
      </c>
      <c r="C720" t="s">
        <v>33</v>
      </c>
      <c r="D720" t="s">
        <v>34</v>
      </c>
      <c r="E720" t="s">
        <v>26</v>
      </c>
      <c r="F720" t="s">
        <v>18</v>
      </c>
      <c r="G720" s="1">
        <v>44678</v>
      </c>
      <c r="H720" s="1">
        <v>44813</v>
      </c>
      <c r="I720" t="s">
        <v>2779</v>
      </c>
      <c r="J720" t="s">
        <v>2780</v>
      </c>
      <c r="K720" t="s">
        <v>90</v>
      </c>
      <c r="L720" t="s">
        <v>55</v>
      </c>
      <c r="M720" t="s">
        <v>22</v>
      </c>
    </row>
    <row r="721" spans="1:13" x14ac:dyDescent="0.3">
      <c r="A721" t="s">
        <v>2781</v>
      </c>
      <c r="B721" t="s">
        <v>2782</v>
      </c>
      <c r="C721" t="s">
        <v>40</v>
      </c>
      <c r="D721" t="s">
        <v>77</v>
      </c>
      <c r="E721" t="s">
        <v>52</v>
      </c>
      <c r="F721" t="s">
        <v>18</v>
      </c>
      <c r="G721" s="1">
        <v>43600</v>
      </c>
      <c r="H721" s="1">
        <v>43690</v>
      </c>
      <c r="I721" t="s">
        <v>2783</v>
      </c>
      <c r="J721" t="s">
        <v>2784</v>
      </c>
      <c r="K721" t="s">
        <v>37</v>
      </c>
      <c r="L721" t="s">
        <v>30</v>
      </c>
      <c r="M721" t="s">
        <v>22</v>
      </c>
    </row>
    <row r="722" spans="1:13" x14ac:dyDescent="0.3">
      <c r="A722" t="s">
        <v>2785</v>
      </c>
      <c r="B722" t="s">
        <v>2786</v>
      </c>
      <c r="C722" t="s">
        <v>76</v>
      </c>
      <c r="D722" t="s">
        <v>16</v>
      </c>
      <c r="E722" t="s">
        <v>17</v>
      </c>
      <c r="F722" t="s">
        <v>151</v>
      </c>
      <c r="G722" s="1">
        <v>43972</v>
      </c>
      <c r="H722" s="1">
        <v>44210</v>
      </c>
      <c r="I722" t="s">
        <v>417</v>
      </c>
      <c r="J722" t="s">
        <v>2787</v>
      </c>
      <c r="K722" t="s">
        <v>37</v>
      </c>
      <c r="L722" t="s">
        <v>30</v>
      </c>
      <c r="M722" t="s">
        <v>22</v>
      </c>
    </row>
    <row r="723" spans="1:13" x14ac:dyDescent="0.3">
      <c r="A723" t="s">
        <v>2788</v>
      </c>
      <c r="B723" t="s">
        <v>2789</v>
      </c>
      <c r="C723" t="s">
        <v>76</v>
      </c>
      <c r="D723" t="s">
        <v>16</v>
      </c>
      <c r="E723" t="s">
        <v>17</v>
      </c>
      <c r="F723" t="s">
        <v>160</v>
      </c>
      <c r="G723" s="1">
        <v>44971</v>
      </c>
      <c r="H723" s="1">
        <v>45062</v>
      </c>
      <c r="I723" t="s">
        <v>2790</v>
      </c>
      <c r="J723" t="s">
        <v>20</v>
      </c>
      <c r="K723" t="s">
        <v>90</v>
      </c>
      <c r="L723" t="s">
        <v>30</v>
      </c>
      <c r="M723" t="s">
        <v>22</v>
      </c>
    </row>
    <row r="724" spans="1:13" x14ac:dyDescent="0.3">
      <c r="A724" t="s">
        <v>2791</v>
      </c>
      <c r="B724" t="s">
        <v>2792</v>
      </c>
      <c r="C724" t="s">
        <v>15</v>
      </c>
      <c r="D724" t="s">
        <v>34</v>
      </c>
      <c r="E724" t="s">
        <v>26</v>
      </c>
      <c r="F724" t="s">
        <v>18</v>
      </c>
      <c r="G724" s="1">
        <v>43973</v>
      </c>
      <c r="H724" s="1">
        <v>44302</v>
      </c>
      <c r="I724" t="s">
        <v>2793</v>
      </c>
      <c r="J724" t="s">
        <v>2794</v>
      </c>
      <c r="K724" t="s">
        <v>37</v>
      </c>
      <c r="L724" t="s">
        <v>91</v>
      </c>
      <c r="M724" t="s">
        <v>22</v>
      </c>
    </row>
    <row r="725" spans="1:13" x14ac:dyDescent="0.3">
      <c r="A725" t="s">
        <v>2795</v>
      </c>
      <c r="B725" t="s">
        <v>2796</v>
      </c>
      <c r="C725" t="s">
        <v>40</v>
      </c>
      <c r="D725" t="s">
        <v>51</v>
      </c>
      <c r="E725" t="s">
        <v>52</v>
      </c>
      <c r="F725" t="s">
        <v>160</v>
      </c>
      <c r="G725" s="1">
        <v>45099</v>
      </c>
      <c r="H725" s="1">
        <v>45311</v>
      </c>
      <c r="I725" t="s">
        <v>2797</v>
      </c>
      <c r="J725" t="s">
        <v>2798</v>
      </c>
      <c r="K725" t="s">
        <v>21</v>
      </c>
      <c r="L725" t="s">
        <v>116</v>
      </c>
      <c r="M725" t="s">
        <v>22</v>
      </c>
    </row>
    <row r="726" spans="1:13" x14ac:dyDescent="0.3">
      <c r="A726" t="s">
        <v>2799</v>
      </c>
      <c r="B726" t="s">
        <v>2800</v>
      </c>
      <c r="C726" t="s">
        <v>15</v>
      </c>
      <c r="D726" t="s">
        <v>77</v>
      </c>
      <c r="E726" t="s">
        <v>52</v>
      </c>
      <c r="F726" t="s">
        <v>18</v>
      </c>
      <c r="G726" s="1">
        <v>44867</v>
      </c>
      <c r="H726" s="1">
        <v>45145</v>
      </c>
      <c r="I726" t="s">
        <v>2801</v>
      </c>
      <c r="J726" t="s">
        <v>2802</v>
      </c>
      <c r="K726" t="s">
        <v>90</v>
      </c>
      <c r="M726" t="s">
        <v>22</v>
      </c>
    </row>
    <row r="727" spans="1:13" x14ac:dyDescent="0.3">
      <c r="A727" t="s">
        <v>2803</v>
      </c>
      <c r="B727" t="s">
        <v>2804</v>
      </c>
      <c r="C727" t="s">
        <v>76</v>
      </c>
      <c r="D727" t="s">
        <v>77</v>
      </c>
      <c r="E727" t="s">
        <v>52</v>
      </c>
      <c r="F727" t="s">
        <v>18</v>
      </c>
      <c r="G727" s="1">
        <v>44156</v>
      </c>
      <c r="H727" s="1">
        <v>44451</v>
      </c>
      <c r="I727" t="s">
        <v>2805</v>
      </c>
      <c r="J727" t="s">
        <v>2806</v>
      </c>
      <c r="K727" t="s">
        <v>90</v>
      </c>
      <c r="L727" t="s">
        <v>55</v>
      </c>
      <c r="M727" t="s">
        <v>22</v>
      </c>
    </row>
    <row r="728" spans="1:13" x14ac:dyDescent="0.3">
      <c r="A728" t="s">
        <v>1911</v>
      </c>
      <c r="B728" t="s">
        <v>2807</v>
      </c>
      <c r="C728" t="s">
        <v>15</v>
      </c>
      <c r="D728" t="s">
        <v>77</v>
      </c>
      <c r="E728" t="s">
        <v>52</v>
      </c>
      <c r="F728" t="s">
        <v>160</v>
      </c>
      <c r="G728" s="1">
        <v>45581</v>
      </c>
      <c r="H728" s="1">
        <v>45772</v>
      </c>
      <c r="I728" t="s">
        <v>1913</v>
      </c>
      <c r="J728" t="s">
        <v>1914</v>
      </c>
      <c r="K728" t="s">
        <v>37</v>
      </c>
      <c r="L728" t="s">
        <v>60</v>
      </c>
      <c r="M728" t="s">
        <v>22</v>
      </c>
    </row>
    <row r="729" spans="1:13" x14ac:dyDescent="0.3">
      <c r="A729" t="s">
        <v>2808</v>
      </c>
      <c r="B729" t="s">
        <v>2809</v>
      </c>
      <c r="C729" t="s">
        <v>181</v>
      </c>
      <c r="D729" t="s">
        <v>51</v>
      </c>
      <c r="E729" t="s">
        <v>52</v>
      </c>
      <c r="F729" t="s">
        <v>18</v>
      </c>
      <c r="G729" t="s">
        <v>317</v>
      </c>
      <c r="H729" s="1">
        <v>45183</v>
      </c>
      <c r="I729" t="s">
        <v>2810</v>
      </c>
      <c r="J729" t="s">
        <v>2811</v>
      </c>
      <c r="K729" t="s">
        <v>21</v>
      </c>
      <c r="L729" t="s">
        <v>116</v>
      </c>
      <c r="M729" t="s">
        <v>22</v>
      </c>
    </row>
    <row r="730" spans="1:13" x14ac:dyDescent="0.3">
      <c r="A730" t="s">
        <v>2812</v>
      </c>
      <c r="B730" t="s">
        <v>1866</v>
      </c>
      <c r="C730" t="s">
        <v>76</v>
      </c>
      <c r="D730" t="s">
        <v>77</v>
      </c>
      <c r="E730" t="s">
        <v>52</v>
      </c>
      <c r="F730" t="s">
        <v>18</v>
      </c>
      <c r="G730" s="1">
        <v>43801</v>
      </c>
      <c r="H730" s="1">
        <v>44093</v>
      </c>
      <c r="I730" t="s">
        <v>2813</v>
      </c>
      <c r="J730" t="s">
        <v>2814</v>
      </c>
      <c r="K730" t="s">
        <v>21</v>
      </c>
      <c r="L730" t="s">
        <v>60</v>
      </c>
      <c r="M730" t="s">
        <v>22</v>
      </c>
    </row>
    <row r="731" spans="1:13" x14ac:dyDescent="0.3">
      <c r="A731" t="s">
        <v>2815</v>
      </c>
      <c r="B731" t="s">
        <v>2816</v>
      </c>
      <c r="C731" t="s">
        <v>87</v>
      </c>
      <c r="D731" t="s">
        <v>25</v>
      </c>
      <c r="E731" t="s">
        <v>26</v>
      </c>
      <c r="F731" t="s">
        <v>151</v>
      </c>
      <c r="G731" s="1">
        <v>43832</v>
      </c>
      <c r="H731" s="1">
        <v>44165</v>
      </c>
      <c r="I731" t="s">
        <v>2817</v>
      </c>
      <c r="J731" t="s">
        <v>2818</v>
      </c>
      <c r="K731" t="s">
        <v>90</v>
      </c>
      <c r="L731" t="s">
        <v>55</v>
      </c>
      <c r="M731" t="s">
        <v>22</v>
      </c>
    </row>
    <row r="732" spans="1:13" x14ac:dyDescent="0.3">
      <c r="A732" t="s">
        <v>2819</v>
      </c>
      <c r="C732" t="s">
        <v>40</v>
      </c>
      <c r="D732" t="s">
        <v>41</v>
      </c>
      <c r="E732" t="s">
        <v>17</v>
      </c>
      <c r="F732" t="s">
        <v>18</v>
      </c>
      <c r="G732" s="1">
        <v>44762</v>
      </c>
      <c r="H732" s="1">
        <v>44915</v>
      </c>
      <c r="I732" t="s">
        <v>2820</v>
      </c>
      <c r="J732" t="s">
        <v>2821</v>
      </c>
      <c r="K732" t="s">
        <v>21</v>
      </c>
      <c r="M732" t="s">
        <v>22</v>
      </c>
    </row>
    <row r="733" spans="1:13" x14ac:dyDescent="0.3">
      <c r="A733" t="s">
        <v>2822</v>
      </c>
      <c r="B733" t="s">
        <v>2823</v>
      </c>
      <c r="C733" t="s">
        <v>46</v>
      </c>
      <c r="D733" t="s">
        <v>16</v>
      </c>
      <c r="E733" t="s">
        <v>17</v>
      </c>
      <c r="F733" t="s">
        <v>18</v>
      </c>
      <c r="G733" s="1">
        <v>44835</v>
      </c>
      <c r="H733" s="1">
        <v>44963</v>
      </c>
      <c r="I733" t="s">
        <v>2824</v>
      </c>
      <c r="J733" t="s">
        <v>2825</v>
      </c>
      <c r="K733" t="s">
        <v>21</v>
      </c>
      <c r="L733" t="s">
        <v>55</v>
      </c>
      <c r="M733" t="s">
        <v>22</v>
      </c>
    </row>
    <row r="734" spans="1:13" x14ac:dyDescent="0.3">
      <c r="A734" t="s">
        <v>2826</v>
      </c>
      <c r="B734" t="s">
        <v>2827</v>
      </c>
      <c r="C734" t="s">
        <v>76</v>
      </c>
      <c r="D734" t="s">
        <v>67</v>
      </c>
      <c r="E734" t="s">
        <v>26</v>
      </c>
      <c r="F734" t="s">
        <v>160</v>
      </c>
      <c r="G734" s="1">
        <v>44787</v>
      </c>
      <c r="H734" s="1">
        <v>44948</v>
      </c>
      <c r="I734" t="s">
        <v>2828</v>
      </c>
      <c r="J734" t="s">
        <v>2829</v>
      </c>
      <c r="K734" t="s">
        <v>29</v>
      </c>
      <c r="L734" t="s">
        <v>60</v>
      </c>
      <c r="M734" t="s">
        <v>22</v>
      </c>
    </row>
    <row r="735" spans="1:13" x14ac:dyDescent="0.3">
      <c r="A735" t="s">
        <v>2830</v>
      </c>
      <c r="B735" t="s">
        <v>2831</v>
      </c>
      <c r="C735" t="s">
        <v>15</v>
      </c>
      <c r="D735" t="s">
        <v>51</v>
      </c>
      <c r="F735" t="s">
        <v>160</v>
      </c>
      <c r="G735" s="1">
        <v>43877</v>
      </c>
      <c r="H735" s="1">
        <v>43959</v>
      </c>
      <c r="I735" t="s">
        <v>2832</v>
      </c>
      <c r="J735" t="s">
        <v>2833</v>
      </c>
      <c r="K735" t="s">
        <v>90</v>
      </c>
      <c r="L735" t="s">
        <v>116</v>
      </c>
      <c r="M735" t="s">
        <v>22</v>
      </c>
    </row>
    <row r="736" spans="1:13" x14ac:dyDescent="0.3">
      <c r="A736" t="s">
        <v>2834</v>
      </c>
      <c r="B736" t="s">
        <v>2625</v>
      </c>
      <c r="C736" t="s">
        <v>40</v>
      </c>
      <c r="D736" t="s">
        <v>25</v>
      </c>
      <c r="E736" t="s">
        <v>26</v>
      </c>
      <c r="F736" t="s">
        <v>18</v>
      </c>
      <c r="G736" s="1">
        <v>45149</v>
      </c>
      <c r="H736" s="1">
        <v>45268</v>
      </c>
      <c r="I736" t="s">
        <v>2835</v>
      </c>
      <c r="J736" t="s">
        <v>2836</v>
      </c>
      <c r="K736" t="s">
        <v>21</v>
      </c>
      <c r="L736" t="s">
        <v>30</v>
      </c>
      <c r="M736" t="s">
        <v>22</v>
      </c>
    </row>
    <row r="737" spans="1:13" x14ac:dyDescent="0.3">
      <c r="A737" t="s">
        <v>2837</v>
      </c>
      <c r="B737" t="s">
        <v>2838</v>
      </c>
      <c r="C737" t="s">
        <v>87</v>
      </c>
      <c r="D737" t="s">
        <v>16</v>
      </c>
      <c r="E737" t="s">
        <v>17</v>
      </c>
      <c r="F737" t="s">
        <v>18</v>
      </c>
      <c r="G737" s="1">
        <v>43822</v>
      </c>
      <c r="H737" s="1">
        <v>43992</v>
      </c>
      <c r="I737" t="s">
        <v>2839</v>
      </c>
      <c r="K737" t="s">
        <v>90</v>
      </c>
      <c r="L737" t="s">
        <v>91</v>
      </c>
      <c r="M737" t="s">
        <v>22</v>
      </c>
    </row>
    <row r="738" spans="1:13" x14ac:dyDescent="0.3">
      <c r="A738" t="s">
        <v>2840</v>
      </c>
      <c r="B738" t="s">
        <v>2841</v>
      </c>
      <c r="C738" t="s">
        <v>46</v>
      </c>
      <c r="D738" t="s">
        <v>16</v>
      </c>
      <c r="E738" t="s">
        <v>17</v>
      </c>
      <c r="F738" t="s">
        <v>18</v>
      </c>
      <c r="G738" s="1">
        <v>45608</v>
      </c>
      <c r="H738" s="1">
        <v>45748</v>
      </c>
      <c r="I738" t="s">
        <v>2842</v>
      </c>
      <c r="J738" t="s">
        <v>2843</v>
      </c>
      <c r="K738" t="s">
        <v>29</v>
      </c>
      <c r="M738" t="s">
        <v>22</v>
      </c>
    </row>
    <row r="739" spans="1:13" x14ac:dyDescent="0.3">
      <c r="A739" t="s">
        <v>2844</v>
      </c>
      <c r="B739" t="s">
        <v>2845</v>
      </c>
      <c r="C739" t="s">
        <v>76</v>
      </c>
      <c r="D739" t="s">
        <v>16</v>
      </c>
      <c r="E739" t="s">
        <v>17</v>
      </c>
      <c r="F739" t="s">
        <v>18</v>
      </c>
      <c r="G739" s="1">
        <v>44307</v>
      </c>
      <c r="H739" s="1">
        <v>44607</v>
      </c>
      <c r="I739" t="s">
        <v>2846</v>
      </c>
      <c r="J739" t="s">
        <v>128</v>
      </c>
      <c r="K739" t="s">
        <v>29</v>
      </c>
      <c r="L739" t="s">
        <v>60</v>
      </c>
      <c r="M739" t="s">
        <v>22</v>
      </c>
    </row>
    <row r="740" spans="1:13" x14ac:dyDescent="0.3">
      <c r="A740" t="s">
        <v>996</v>
      </c>
      <c r="B740" t="s">
        <v>997</v>
      </c>
      <c r="C740" t="s">
        <v>87</v>
      </c>
      <c r="D740" t="s">
        <v>25</v>
      </c>
      <c r="E740" t="s">
        <v>26</v>
      </c>
      <c r="F740" t="s">
        <v>18</v>
      </c>
      <c r="G740" s="1">
        <v>44456</v>
      </c>
      <c r="H740" s="1">
        <v>44646</v>
      </c>
      <c r="I740" t="s">
        <v>998</v>
      </c>
      <c r="K740" t="s">
        <v>37</v>
      </c>
      <c r="L740" t="s">
        <v>30</v>
      </c>
      <c r="M740" t="s">
        <v>22</v>
      </c>
    </row>
    <row r="741" spans="1:13" x14ac:dyDescent="0.3">
      <c r="A741" t="s">
        <v>2602</v>
      </c>
      <c r="B741" t="s">
        <v>782</v>
      </c>
      <c r="C741" t="s">
        <v>87</v>
      </c>
      <c r="D741" t="s">
        <v>16</v>
      </c>
      <c r="E741" t="s">
        <v>17</v>
      </c>
      <c r="F741" t="s">
        <v>18</v>
      </c>
      <c r="G741" s="1">
        <v>44804</v>
      </c>
      <c r="H741" s="1">
        <v>45036</v>
      </c>
      <c r="I741" t="s">
        <v>2603</v>
      </c>
      <c r="J741" t="s">
        <v>2604</v>
      </c>
      <c r="K741" t="s">
        <v>37</v>
      </c>
      <c r="M741" t="s">
        <v>22</v>
      </c>
    </row>
    <row r="742" spans="1:13" x14ac:dyDescent="0.3">
      <c r="A742" t="s">
        <v>2847</v>
      </c>
      <c r="B742" t="s">
        <v>2848</v>
      </c>
      <c r="C742" t="s">
        <v>46</v>
      </c>
      <c r="D742" t="s">
        <v>41</v>
      </c>
      <c r="E742" t="s">
        <v>17</v>
      </c>
      <c r="F742" t="s">
        <v>18</v>
      </c>
      <c r="G742" s="1">
        <v>45199</v>
      </c>
      <c r="H742" s="1">
        <v>45443</v>
      </c>
      <c r="I742" t="s">
        <v>2849</v>
      </c>
      <c r="J742" t="s">
        <v>2850</v>
      </c>
      <c r="K742" t="s">
        <v>29</v>
      </c>
      <c r="L742" t="s">
        <v>30</v>
      </c>
      <c r="M742" t="s">
        <v>22</v>
      </c>
    </row>
    <row r="743" spans="1:13" x14ac:dyDescent="0.3">
      <c r="A743" t="s">
        <v>2851</v>
      </c>
      <c r="B743" t="s">
        <v>2852</v>
      </c>
      <c r="C743" t="s">
        <v>33</v>
      </c>
      <c r="D743" t="s">
        <v>41</v>
      </c>
      <c r="E743" t="s">
        <v>17</v>
      </c>
      <c r="F743" t="s">
        <v>18</v>
      </c>
      <c r="G743" s="1">
        <v>44097</v>
      </c>
      <c r="H743" s="1">
        <v>44296</v>
      </c>
      <c r="I743" t="s">
        <v>2853</v>
      </c>
      <c r="J743" t="s">
        <v>2854</v>
      </c>
      <c r="K743" t="s">
        <v>90</v>
      </c>
      <c r="L743" t="s">
        <v>60</v>
      </c>
      <c r="M743" t="s">
        <v>22</v>
      </c>
    </row>
    <row r="744" spans="1:13" x14ac:dyDescent="0.3">
      <c r="A744" t="s">
        <v>2855</v>
      </c>
      <c r="B744" t="s">
        <v>2856</v>
      </c>
      <c r="C744" t="s">
        <v>87</v>
      </c>
      <c r="D744" t="s">
        <v>16</v>
      </c>
      <c r="E744" t="s">
        <v>17</v>
      </c>
      <c r="F744" t="s">
        <v>18</v>
      </c>
      <c r="G744" s="1">
        <v>43652</v>
      </c>
      <c r="H744" s="1">
        <v>43654</v>
      </c>
      <c r="I744" t="s">
        <v>2857</v>
      </c>
      <c r="J744" t="s">
        <v>2521</v>
      </c>
      <c r="K744" t="s">
        <v>21</v>
      </c>
      <c r="L744" t="s">
        <v>116</v>
      </c>
      <c r="M744" t="s">
        <v>22</v>
      </c>
    </row>
    <row r="745" spans="1:13" x14ac:dyDescent="0.3">
      <c r="A745" t="s">
        <v>2858</v>
      </c>
      <c r="B745" t="s">
        <v>2859</v>
      </c>
      <c r="C745" t="s">
        <v>15</v>
      </c>
      <c r="D745" t="s">
        <v>34</v>
      </c>
      <c r="E745" t="s">
        <v>26</v>
      </c>
      <c r="F745" t="s">
        <v>160</v>
      </c>
      <c r="G745" s="1">
        <v>44384</v>
      </c>
      <c r="H745" s="1">
        <v>44715</v>
      </c>
      <c r="I745" t="s">
        <v>2860</v>
      </c>
      <c r="J745" t="s">
        <v>2861</v>
      </c>
      <c r="K745" t="s">
        <v>37</v>
      </c>
      <c r="L745" t="s">
        <v>91</v>
      </c>
      <c r="M745" t="s">
        <v>22</v>
      </c>
    </row>
    <row r="746" spans="1:13" x14ac:dyDescent="0.3">
      <c r="A746" t="s">
        <v>2862</v>
      </c>
      <c r="B746" t="s">
        <v>2863</v>
      </c>
      <c r="C746" t="s">
        <v>15</v>
      </c>
      <c r="D746" t="s">
        <v>16</v>
      </c>
      <c r="E746" t="s">
        <v>17</v>
      </c>
      <c r="F746" t="s">
        <v>18</v>
      </c>
      <c r="G746" s="1">
        <v>45490</v>
      </c>
      <c r="H746" s="1">
        <v>45714</v>
      </c>
      <c r="I746" t="s">
        <v>2864</v>
      </c>
      <c r="J746" t="s">
        <v>1744</v>
      </c>
      <c r="K746" t="s">
        <v>29</v>
      </c>
      <c r="L746" t="s">
        <v>55</v>
      </c>
      <c r="M746" t="s">
        <v>22</v>
      </c>
    </row>
    <row r="747" spans="1:13" x14ac:dyDescent="0.3">
      <c r="A747" t="s">
        <v>2865</v>
      </c>
      <c r="B747" t="s">
        <v>2866</v>
      </c>
      <c r="C747" t="s">
        <v>33</v>
      </c>
      <c r="D747" t="s">
        <v>67</v>
      </c>
      <c r="E747" t="s">
        <v>26</v>
      </c>
      <c r="F747" t="s">
        <v>18</v>
      </c>
      <c r="G747" s="1">
        <v>44582</v>
      </c>
      <c r="H747" s="1">
        <v>44666</v>
      </c>
      <c r="I747" t="s">
        <v>2867</v>
      </c>
      <c r="J747" t="s">
        <v>2868</v>
      </c>
      <c r="K747" t="s">
        <v>29</v>
      </c>
      <c r="M747" t="s">
        <v>22</v>
      </c>
    </row>
    <row r="748" spans="1:13" x14ac:dyDescent="0.3">
      <c r="A748" t="s">
        <v>2869</v>
      </c>
      <c r="B748" t="s">
        <v>2870</v>
      </c>
      <c r="C748" t="s">
        <v>33</v>
      </c>
      <c r="D748" t="s">
        <v>41</v>
      </c>
      <c r="E748" t="s">
        <v>17</v>
      </c>
      <c r="F748" t="s">
        <v>18</v>
      </c>
      <c r="G748" s="1">
        <v>44835</v>
      </c>
      <c r="H748" s="1">
        <v>45150</v>
      </c>
      <c r="I748" t="s">
        <v>2871</v>
      </c>
      <c r="J748" t="s">
        <v>2872</v>
      </c>
      <c r="K748" t="s">
        <v>90</v>
      </c>
      <c r="M748" t="s">
        <v>22</v>
      </c>
    </row>
    <row r="749" spans="1:13" x14ac:dyDescent="0.3">
      <c r="A749" t="s">
        <v>2873</v>
      </c>
      <c r="B749" t="s">
        <v>2874</v>
      </c>
      <c r="C749" t="s">
        <v>87</v>
      </c>
      <c r="D749" t="s">
        <v>25</v>
      </c>
      <c r="E749" t="s">
        <v>26</v>
      </c>
      <c r="F749" t="s">
        <v>18</v>
      </c>
      <c r="G749" s="1">
        <v>43478</v>
      </c>
      <c r="H749" s="1">
        <v>43589</v>
      </c>
      <c r="I749" t="s">
        <v>2875</v>
      </c>
      <c r="J749" t="s">
        <v>2876</v>
      </c>
      <c r="K749" t="s">
        <v>90</v>
      </c>
      <c r="L749" t="s">
        <v>30</v>
      </c>
      <c r="M749" t="s">
        <v>22</v>
      </c>
    </row>
    <row r="750" spans="1:13" x14ac:dyDescent="0.3">
      <c r="A750" t="s">
        <v>2877</v>
      </c>
      <c r="B750" t="s">
        <v>2878</v>
      </c>
      <c r="C750" t="s">
        <v>181</v>
      </c>
      <c r="D750" t="s">
        <v>51</v>
      </c>
      <c r="E750" t="s">
        <v>52</v>
      </c>
      <c r="F750" t="s">
        <v>473</v>
      </c>
      <c r="G750" s="1">
        <v>44836</v>
      </c>
      <c r="H750" s="1">
        <v>45035</v>
      </c>
      <c r="I750" t="s">
        <v>2879</v>
      </c>
      <c r="J750" t="s">
        <v>2880</v>
      </c>
      <c r="K750" t="s">
        <v>29</v>
      </c>
      <c r="L750" t="s">
        <v>55</v>
      </c>
      <c r="M750" t="s">
        <v>22</v>
      </c>
    </row>
    <row r="751" spans="1:13" x14ac:dyDescent="0.3">
      <c r="A751" t="s">
        <v>2881</v>
      </c>
      <c r="B751" t="s">
        <v>1947</v>
      </c>
      <c r="C751" t="s">
        <v>33</v>
      </c>
      <c r="D751" t="s">
        <v>51</v>
      </c>
      <c r="E751" t="s">
        <v>52</v>
      </c>
      <c r="F751" t="s">
        <v>160</v>
      </c>
      <c r="G751" s="1">
        <v>43743</v>
      </c>
      <c r="H751" s="1">
        <v>43961</v>
      </c>
      <c r="I751" t="s">
        <v>1948</v>
      </c>
      <c r="J751" t="s">
        <v>2722</v>
      </c>
      <c r="K751" t="s">
        <v>29</v>
      </c>
      <c r="L751" t="s">
        <v>30</v>
      </c>
      <c r="M751" t="s">
        <v>22</v>
      </c>
    </row>
    <row r="752" spans="1:13" x14ac:dyDescent="0.3">
      <c r="A752" t="s">
        <v>2882</v>
      </c>
      <c r="B752" t="s">
        <v>2883</v>
      </c>
      <c r="C752" t="s">
        <v>76</v>
      </c>
      <c r="D752" t="s">
        <v>25</v>
      </c>
      <c r="E752" t="s">
        <v>26</v>
      </c>
      <c r="F752" t="s">
        <v>18</v>
      </c>
      <c r="G752" s="1">
        <v>44492</v>
      </c>
      <c r="H752" s="1">
        <v>44720</v>
      </c>
      <c r="I752" t="s">
        <v>2884</v>
      </c>
      <c r="J752" t="s">
        <v>2885</v>
      </c>
      <c r="K752" t="s">
        <v>37</v>
      </c>
      <c r="M752" t="s">
        <v>22</v>
      </c>
    </row>
    <row r="753" spans="1:13" x14ac:dyDescent="0.3">
      <c r="A753" t="s">
        <v>2886</v>
      </c>
      <c r="B753" t="s">
        <v>2887</v>
      </c>
      <c r="C753" t="s">
        <v>15</v>
      </c>
      <c r="D753" t="s">
        <v>67</v>
      </c>
      <c r="E753" t="s">
        <v>26</v>
      </c>
      <c r="F753" t="s">
        <v>18</v>
      </c>
      <c r="G753" s="1">
        <v>43715</v>
      </c>
      <c r="H753" s="1">
        <v>43913</v>
      </c>
      <c r="I753" t="s">
        <v>2888</v>
      </c>
      <c r="J753" t="s">
        <v>2889</v>
      </c>
      <c r="K753" t="s">
        <v>21</v>
      </c>
      <c r="L753" t="s">
        <v>91</v>
      </c>
      <c r="M753" t="s">
        <v>22</v>
      </c>
    </row>
    <row r="754" spans="1:13" x14ac:dyDescent="0.3">
      <c r="A754" t="s">
        <v>2042</v>
      </c>
      <c r="C754" t="s">
        <v>46</v>
      </c>
      <c r="D754" t="s">
        <v>77</v>
      </c>
      <c r="E754" t="s">
        <v>52</v>
      </c>
      <c r="F754" t="s">
        <v>18</v>
      </c>
      <c r="G754" s="1">
        <v>43930</v>
      </c>
      <c r="H754" s="1">
        <v>44166</v>
      </c>
      <c r="I754" t="s">
        <v>2044</v>
      </c>
      <c r="J754" t="s">
        <v>2045</v>
      </c>
      <c r="K754" t="s">
        <v>21</v>
      </c>
      <c r="M754" t="s">
        <v>22</v>
      </c>
    </row>
    <row r="755" spans="1:13" x14ac:dyDescent="0.3">
      <c r="A755" t="s">
        <v>2890</v>
      </c>
      <c r="B755" t="s">
        <v>2891</v>
      </c>
      <c r="C755" t="s">
        <v>76</v>
      </c>
      <c r="D755" t="s">
        <v>41</v>
      </c>
      <c r="E755" t="s">
        <v>17</v>
      </c>
      <c r="F755" t="s">
        <v>18</v>
      </c>
      <c r="G755" s="1">
        <v>45350</v>
      </c>
      <c r="H755" s="1">
        <v>45704</v>
      </c>
      <c r="I755" t="s">
        <v>2892</v>
      </c>
      <c r="J755" t="s">
        <v>2893</v>
      </c>
      <c r="K755" t="s">
        <v>29</v>
      </c>
      <c r="L755" t="s">
        <v>91</v>
      </c>
      <c r="M755" t="s">
        <v>22</v>
      </c>
    </row>
    <row r="756" spans="1:13" x14ac:dyDescent="0.3">
      <c r="A756" t="s">
        <v>2894</v>
      </c>
      <c r="B756" t="s">
        <v>2895</v>
      </c>
      <c r="C756" t="s">
        <v>76</v>
      </c>
      <c r="D756" t="s">
        <v>67</v>
      </c>
      <c r="E756" t="s">
        <v>26</v>
      </c>
      <c r="F756" t="s">
        <v>151</v>
      </c>
      <c r="G756" s="1">
        <v>43748</v>
      </c>
      <c r="H756" s="1">
        <v>43989</v>
      </c>
      <c r="I756" t="s">
        <v>2896</v>
      </c>
      <c r="J756" t="s">
        <v>2897</v>
      </c>
      <c r="K756" t="s">
        <v>21</v>
      </c>
      <c r="L756" t="s">
        <v>55</v>
      </c>
      <c r="M756" t="s">
        <v>22</v>
      </c>
    </row>
    <row r="757" spans="1:13" x14ac:dyDescent="0.3">
      <c r="A757" t="s">
        <v>2898</v>
      </c>
      <c r="B757" t="s">
        <v>2591</v>
      </c>
      <c r="C757" t="s">
        <v>15</v>
      </c>
      <c r="D757" t="s">
        <v>25</v>
      </c>
      <c r="E757" t="s">
        <v>26</v>
      </c>
      <c r="F757" t="s">
        <v>160</v>
      </c>
      <c r="G757" s="1">
        <v>44342</v>
      </c>
      <c r="H757" s="1">
        <v>44489</v>
      </c>
      <c r="I757" t="s">
        <v>2899</v>
      </c>
      <c r="J757" t="s">
        <v>2900</v>
      </c>
      <c r="K757" t="s">
        <v>29</v>
      </c>
      <c r="L757" t="s">
        <v>91</v>
      </c>
      <c r="M757" t="s">
        <v>22</v>
      </c>
    </row>
    <row r="758" spans="1:13" x14ac:dyDescent="0.3">
      <c r="A758" t="s">
        <v>2901</v>
      </c>
      <c r="B758" t="s">
        <v>2414</v>
      </c>
      <c r="C758" t="s">
        <v>40</v>
      </c>
      <c r="D758" t="s">
        <v>34</v>
      </c>
      <c r="E758" t="s">
        <v>26</v>
      </c>
      <c r="F758" t="s">
        <v>18</v>
      </c>
      <c r="G758" s="1">
        <v>45063</v>
      </c>
      <c r="H758" s="1">
        <v>45117</v>
      </c>
      <c r="I758" t="s">
        <v>2902</v>
      </c>
      <c r="J758" t="s">
        <v>2903</v>
      </c>
      <c r="K758" t="s">
        <v>90</v>
      </c>
      <c r="M758" t="s">
        <v>22</v>
      </c>
    </row>
    <row r="759" spans="1:13" x14ac:dyDescent="0.3">
      <c r="A759" t="s">
        <v>2904</v>
      </c>
      <c r="B759" t="s">
        <v>2905</v>
      </c>
      <c r="C759" t="s">
        <v>87</v>
      </c>
      <c r="D759" t="s">
        <v>25</v>
      </c>
      <c r="E759" t="s">
        <v>26</v>
      </c>
      <c r="F759" t="s">
        <v>160</v>
      </c>
      <c r="G759" s="1">
        <v>44446</v>
      </c>
      <c r="H759" s="1">
        <v>44699</v>
      </c>
      <c r="I759" t="s">
        <v>2906</v>
      </c>
      <c r="J759" t="s">
        <v>2907</v>
      </c>
      <c r="K759" t="s">
        <v>37</v>
      </c>
      <c r="L759" t="s">
        <v>30</v>
      </c>
      <c r="M759" t="s">
        <v>22</v>
      </c>
    </row>
    <row r="760" spans="1:13" x14ac:dyDescent="0.3">
      <c r="A760" t="s">
        <v>2908</v>
      </c>
      <c r="B760" t="s">
        <v>2909</v>
      </c>
      <c r="C760" t="s">
        <v>40</v>
      </c>
      <c r="D760" t="s">
        <v>51</v>
      </c>
      <c r="E760" t="s">
        <v>52</v>
      </c>
      <c r="F760" t="s">
        <v>18</v>
      </c>
      <c r="G760" s="1">
        <v>45205</v>
      </c>
      <c r="H760" s="1">
        <v>45514</v>
      </c>
      <c r="I760" t="s">
        <v>2910</v>
      </c>
      <c r="J760" t="s">
        <v>2911</v>
      </c>
      <c r="K760" t="s">
        <v>37</v>
      </c>
      <c r="M760" t="s">
        <v>22</v>
      </c>
    </row>
    <row r="761" spans="1:13" x14ac:dyDescent="0.3">
      <c r="A761" t="s">
        <v>2912</v>
      </c>
      <c r="B761" t="s">
        <v>2913</v>
      </c>
      <c r="C761" t="s">
        <v>40</v>
      </c>
      <c r="D761" t="s">
        <v>77</v>
      </c>
      <c r="E761" t="s">
        <v>52</v>
      </c>
      <c r="F761" t="s">
        <v>18</v>
      </c>
      <c r="G761" s="1">
        <v>44501</v>
      </c>
      <c r="H761" s="1">
        <v>44743</v>
      </c>
      <c r="I761" t="s">
        <v>2914</v>
      </c>
      <c r="J761" t="s">
        <v>1291</v>
      </c>
      <c r="K761" t="s">
        <v>90</v>
      </c>
      <c r="L761" t="s">
        <v>116</v>
      </c>
      <c r="M761" t="s">
        <v>22</v>
      </c>
    </row>
    <row r="762" spans="1:13" x14ac:dyDescent="0.3">
      <c r="A762" t="s">
        <v>2915</v>
      </c>
      <c r="B762" t="s">
        <v>2916</v>
      </c>
      <c r="C762" t="s">
        <v>46</v>
      </c>
      <c r="D762" t="s">
        <v>41</v>
      </c>
      <c r="E762" t="s">
        <v>17</v>
      </c>
      <c r="F762" t="s">
        <v>160</v>
      </c>
      <c r="G762" s="1">
        <v>44049</v>
      </c>
      <c r="I762" t="s">
        <v>2917</v>
      </c>
      <c r="J762" t="s">
        <v>95</v>
      </c>
      <c r="K762" t="s">
        <v>37</v>
      </c>
      <c r="L762" t="s">
        <v>91</v>
      </c>
      <c r="M762" t="s">
        <v>22</v>
      </c>
    </row>
    <row r="763" spans="1:13" x14ac:dyDescent="0.3">
      <c r="A763" t="s">
        <v>2918</v>
      </c>
      <c r="B763" t="s">
        <v>2919</v>
      </c>
      <c r="C763" t="s">
        <v>33</v>
      </c>
      <c r="D763" t="s">
        <v>25</v>
      </c>
      <c r="E763" t="s">
        <v>26</v>
      </c>
      <c r="F763" t="s">
        <v>18</v>
      </c>
      <c r="G763" s="1">
        <v>44880</v>
      </c>
      <c r="H763" s="1">
        <v>45111</v>
      </c>
      <c r="I763" t="s">
        <v>2920</v>
      </c>
      <c r="J763" t="s">
        <v>2921</v>
      </c>
      <c r="K763" t="s">
        <v>90</v>
      </c>
      <c r="L763" t="s">
        <v>30</v>
      </c>
      <c r="M763" t="s">
        <v>22</v>
      </c>
    </row>
    <row r="764" spans="1:13" x14ac:dyDescent="0.3">
      <c r="A764" t="s">
        <v>2922</v>
      </c>
      <c r="B764" t="s">
        <v>2923</v>
      </c>
      <c r="C764" t="s">
        <v>87</v>
      </c>
      <c r="D764" t="s">
        <v>77</v>
      </c>
      <c r="E764" t="s">
        <v>52</v>
      </c>
      <c r="F764" t="s">
        <v>160</v>
      </c>
      <c r="G764" s="1">
        <v>45461</v>
      </c>
      <c r="H764" s="1">
        <v>45793</v>
      </c>
      <c r="I764" t="s">
        <v>2924</v>
      </c>
      <c r="J764" t="s">
        <v>2925</v>
      </c>
      <c r="K764" t="s">
        <v>29</v>
      </c>
      <c r="L764" t="s">
        <v>55</v>
      </c>
      <c r="M764" t="s">
        <v>22</v>
      </c>
    </row>
    <row r="765" spans="1:13" x14ac:dyDescent="0.3">
      <c r="A765" t="s">
        <v>2926</v>
      </c>
      <c r="B765" t="s">
        <v>2927</v>
      </c>
      <c r="C765" t="s">
        <v>76</v>
      </c>
      <c r="D765" t="s">
        <v>51</v>
      </c>
      <c r="E765" t="s">
        <v>52</v>
      </c>
      <c r="F765" t="s">
        <v>151</v>
      </c>
      <c r="G765" s="1">
        <v>45346</v>
      </c>
      <c r="H765" s="1">
        <v>45635</v>
      </c>
      <c r="I765" t="s">
        <v>2928</v>
      </c>
      <c r="J765" t="s">
        <v>2412</v>
      </c>
      <c r="K765" t="s">
        <v>29</v>
      </c>
      <c r="M765" t="s">
        <v>22</v>
      </c>
    </row>
    <row r="766" spans="1:13" x14ac:dyDescent="0.3">
      <c r="A766" t="s">
        <v>2929</v>
      </c>
      <c r="B766" t="s">
        <v>2930</v>
      </c>
      <c r="C766" t="s">
        <v>46</v>
      </c>
      <c r="D766" t="s">
        <v>67</v>
      </c>
      <c r="E766" t="s">
        <v>26</v>
      </c>
      <c r="F766" t="s">
        <v>18</v>
      </c>
      <c r="G766" s="1">
        <v>43953</v>
      </c>
      <c r="H766" s="1">
        <v>44082</v>
      </c>
      <c r="I766" t="s">
        <v>2931</v>
      </c>
      <c r="J766" t="s">
        <v>2932</v>
      </c>
      <c r="K766" t="s">
        <v>29</v>
      </c>
      <c r="M766" t="s">
        <v>22</v>
      </c>
    </row>
    <row r="767" spans="1:13" x14ac:dyDescent="0.3">
      <c r="A767" t="s">
        <v>2933</v>
      </c>
      <c r="B767" t="s">
        <v>2934</v>
      </c>
      <c r="C767" t="s">
        <v>46</v>
      </c>
      <c r="D767" t="s">
        <v>67</v>
      </c>
      <c r="E767" t="s">
        <v>26</v>
      </c>
      <c r="F767" t="s">
        <v>18</v>
      </c>
      <c r="G767" s="1">
        <v>44312</v>
      </c>
      <c r="H767" s="1">
        <v>44589</v>
      </c>
      <c r="I767" t="s">
        <v>2935</v>
      </c>
      <c r="J767" t="s">
        <v>2936</v>
      </c>
      <c r="K767" t="s">
        <v>29</v>
      </c>
      <c r="L767" t="s">
        <v>55</v>
      </c>
      <c r="M767" t="s">
        <v>22</v>
      </c>
    </row>
    <row r="768" spans="1:13" x14ac:dyDescent="0.3">
      <c r="A768" t="s">
        <v>2937</v>
      </c>
      <c r="B768" t="s">
        <v>2938</v>
      </c>
      <c r="C768" t="s">
        <v>87</v>
      </c>
      <c r="D768" t="s">
        <v>34</v>
      </c>
      <c r="E768" t="s">
        <v>26</v>
      </c>
      <c r="F768" t="s">
        <v>160</v>
      </c>
      <c r="G768" s="1">
        <v>45372</v>
      </c>
      <c r="H768" s="1">
        <v>45612</v>
      </c>
      <c r="I768" t="s">
        <v>2939</v>
      </c>
      <c r="J768" t="s">
        <v>2940</v>
      </c>
      <c r="K768" t="s">
        <v>37</v>
      </c>
      <c r="L768" t="s">
        <v>91</v>
      </c>
      <c r="M768" t="s">
        <v>22</v>
      </c>
    </row>
    <row r="769" spans="1:13" x14ac:dyDescent="0.3">
      <c r="A769" t="s">
        <v>2941</v>
      </c>
      <c r="B769" t="s">
        <v>2942</v>
      </c>
      <c r="C769" t="s">
        <v>15</v>
      </c>
      <c r="D769" t="s">
        <v>34</v>
      </c>
      <c r="E769" t="s">
        <v>26</v>
      </c>
      <c r="F769" t="s">
        <v>18</v>
      </c>
      <c r="G769" s="1">
        <v>45515</v>
      </c>
      <c r="H769" s="1">
        <v>45592</v>
      </c>
      <c r="I769" t="s">
        <v>2943</v>
      </c>
      <c r="J769" t="s">
        <v>2944</v>
      </c>
      <c r="K769" t="s">
        <v>21</v>
      </c>
      <c r="L769" t="s">
        <v>60</v>
      </c>
      <c r="M769" t="s">
        <v>22</v>
      </c>
    </row>
    <row r="770" spans="1:13" x14ac:dyDescent="0.3">
      <c r="A770" t="s">
        <v>2945</v>
      </c>
      <c r="B770" t="s">
        <v>2946</v>
      </c>
      <c r="C770" t="s">
        <v>15</v>
      </c>
      <c r="D770" t="s">
        <v>34</v>
      </c>
      <c r="E770" t="s">
        <v>26</v>
      </c>
      <c r="F770" t="s">
        <v>18</v>
      </c>
      <c r="G770" s="1">
        <v>44522</v>
      </c>
      <c r="H770" s="1">
        <v>44685</v>
      </c>
      <c r="I770" t="s">
        <v>2947</v>
      </c>
      <c r="J770" t="s">
        <v>2948</v>
      </c>
      <c r="K770" t="s">
        <v>21</v>
      </c>
      <c r="L770" t="s">
        <v>91</v>
      </c>
      <c r="M770" t="s">
        <v>22</v>
      </c>
    </row>
    <row r="771" spans="1:13" x14ac:dyDescent="0.3">
      <c r="A771" t="s">
        <v>2949</v>
      </c>
      <c r="B771" t="s">
        <v>2950</v>
      </c>
      <c r="C771" t="s">
        <v>46</v>
      </c>
      <c r="D771" t="s">
        <v>77</v>
      </c>
      <c r="E771" t="s">
        <v>52</v>
      </c>
      <c r="F771" t="s">
        <v>18</v>
      </c>
      <c r="G771" s="1">
        <v>45613</v>
      </c>
      <c r="H771" s="1">
        <v>45904</v>
      </c>
      <c r="I771" t="s">
        <v>2951</v>
      </c>
      <c r="J771" t="s">
        <v>2952</v>
      </c>
      <c r="K771" t="s">
        <v>37</v>
      </c>
      <c r="L771" t="s">
        <v>55</v>
      </c>
      <c r="M771" t="s">
        <v>22</v>
      </c>
    </row>
    <row r="772" spans="1:13" x14ac:dyDescent="0.3">
      <c r="A772" t="s">
        <v>2953</v>
      </c>
      <c r="B772" t="s">
        <v>2954</v>
      </c>
      <c r="C772" t="s">
        <v>40</v>
      </c>
      <c r="D772" t="s">
        <v>34</v>
      </c>
      <c r="E772" t="s">
        <v>26</v>
      </c>
      <c r="F772" t="s">
        <v>18</v>
      </c>
      <c r="G772" s="1">
        <v>44041</v>
      </c>
      <c r="H772" s="1">
        <v>44285</v>
      </c>
      <c r="I772" t="s">
        <v>2955</v>
      </c>
      <c r="J772" t="s">
        <v>2956</v>
      </c>
      <c r="K772" t="s">
        <v>90</v>
      </c>
      <c r="L772" t="s">
        <v>116</v>
      </c>
      <c r="M772" t="s">
        <v>22</v>
      </c>
    </row>
    <row r="773" spans="1:13" x14ac:dyDescent="0.3">
      <c r="A773" t="s">
        <v>2957</v>
      </c>
      <c r="B773" t="s">
        <v>2958</v>
      </c>
      <c r="C773" t="s">
        <v>181</v>
      </c>
      <c r="D773" t="s">
        <v>25</v>
      </c>
      <c r="E773" t="s">
        <v>26</v>
      </c>
      <c r="F773" t="s">
        <v>160</v>
      </c>
      <c r="G773" s="1">
        <v>45467</v>
      </c>
      <c r="H773" s="1">
        <v>45480</v>
      </c>
      <c r="I773" t="s">
        <v>2959</v>
      </c>
      <c r="J773" t="s">
        <v>2960</v>
      </c>
      <c r="K773" t="s">
        <v>90</v>
      </c>
      <c r="L773" t="s">
        <v>30</v>
      </c>
      <c r="M773" t="s">
        <v>22</v>
      </c>
    </row>
    <row r="774" spans="1:13" x14ac:dyDescent="0.3">
      <c r="A774" t="s">
        <v>2961</v>
      </c>
      <c r="B774" t="s">
        <v>2962</v>
      </c>
      <c r="C774" t="s">
        <v>181</v>
      </c>
      <c r="D774" t="s">
        <v>16</v>
      </c>
      <c r="E774" t="s">
        <v>17</v>
      </c>
      <c r="F774" t="s">
        <v>160</v>
      </c>
      <c r="G774" s="1">
        <v>44556</v>
      </c>
      <c r="H774" s="1">
        <v>44703</v>
      </c>
      <c r="I774" t="s">
        <v>2963</v>
      </c>
      <c r="J774" t="s">
        <v>2964</v>
      </c>
      <c r="K774" t="s">
        <v>37</v>
      </c>
      <c r="L774" t="s">
        <v>30</v>
      </c>
      <c r="M774" t="s">
        <v>22</v>
      </c>
    </row>
    <row r="775" spans="1:13" x14ac:dyDescent="0.3">
      <c r="A775" t="s">
        <v>2965</v>
      </c>
      <c r="B775" t="s">
        <v>2966</v>
      </c>
      <c r="C775" t="s">
        <v>46</v>
      </c>
      <c r="D775" t="s">
        <v>34</v>
      </c>
      <c r="E775" t="s">
        <v>26</v>
      </c>
      <c r="F775" t="s">
        <v>160</v>
      </c>
      <c r="G775" s="1">
        <v>44064</v>
      </c>
      <c r="H775" s="1">
        <v>44311</v>
      </c>
      <c r="I775" t="s">
        <v>2967</v>
      </c>
      <c r="J775" t="s">
        <v>2968</v>
      </c>
      <c r="K775" t="s">
        <v>37</v>
      </c>
      <c r="L775" t="s">
        <v>30</v>
      </c>
      <c r="M775" t="s">
        <v>22</v>
      </c>
    </row>
    <row r="776" spans="1:13" x14ac:dyDescent="0.3">
      <c r="A776" t="s">
        <v>2969</v>
      </c>
      <c r="B776" t="s">
        <v>2970</v>
      </c>
      <c r="C776" t="s">
        <v>181</v>
      </c>
      <c r="D776" t="s">
        <v>51</v>
      </c>
      <c r="E776" t="s">
        <v>52</v>
      </c>
      <c r="F776" t="s">
        <v>18</v>
      </c>
      <c r="G776" s="1">
        <v>44074</v>
      </c>
      <c r="H776" s="1">
        <v>44091</v>
      </c>
      <c r="I776" t="s">
        <v>2971</v>
      </c>
      <c r="J776" t="s">
        <v>2972</v>
      </c>
      <c r="K776" t="s">
        <v>29</v>
      </c>
      <c r="L776" t="s">
        <v>30</v>
      </c>
      <c r="M776" t="s">
        <v>22</v>
      </c>
    </row>
    <row r="777" spans="1:13" x14ac:dyDescent="0.3">
      <c r="A777" t="s">
        <v>2973</v>
      </c>
      <c r="B777" t="s">
        <v>2974</v>
      </c>
      <c r="C777" t="s">
        <v>181</v>
      </c>
      <c r="D777" t="s">
        <v>77</v>
      </c>
      <c r="E777" t="s">
        <v>52</v>
      </c>
      <c r="F777" t="s">
        <v>18</v>
      </c>
      <c r="G777" s="1">
        <v>44361</v>
      </c>
      <c r="H777" s="1">
        <v>44654</v>
      </c>
      <c r="I777" t="s">
        <v>2975</v>
      </c>
      <c r="J777" t="s">
        <v>2976</v>
      </c>
      <c r="K777" t="s">
        <v>37</v>
      </c>
      <c r="L777" t="s">
        <v>30</v>
      </c>
      <c r="M777" t="s">
        <v>22</v>
      </c>
    </row>
    <row r="778" spans="1:13" x14ac:dyDescent="0.3">
      <c r="A778" t="s">
        <v>2977</v>
      </c>
      <c r="C778" t="s">
        <v>40</v>
      </c>
      <c r="D778" t="s">
        <v>25</v>
      </c>
      <c r="E778" t="s">
        <v>26</v>
      </c>
      <c r="F778" t="s">
        <v>18</v>
      </c>
      <c r="G778" s="1">
        <v>45018</v>
      </c>
      <c r="H778" s="1">
        <v>45185</v>
      </c>
      <c r="I778" t="s">
        <v>2978</v>
      </c>
      <c r="J778" t="s">
        <v>2979</v>
      </c>
      <c r="K778" t="s">
        <v>90</v>
      </c>
      <c r="L778" t="s">
        <v>55</v>
      </c>
      <c r="M778" t="s">
        <v>22</v>
      </c>
    </row>
    <row r="779" spans="1:13" x14ac:dyDescent="0.3">
      <c r="A779" t="s">
        <v>2980</v>
      </c>
      <c r="B779" t="s">
        <v>2981</v>
      </c>
      <c r="C779" t="s">
        <v>46</v>
      </c>
      <c r="D779" t="s">
        <v>51</v>
      </c>
      <c r="E779" t="s">
        <v>52</v>
      </c>
      <c r="F779" t="s">
        <v>160</v>
      </c>
      <c r="G779" s="1">
        <v>45577</v>
      </c>
      <c r="H779" s="1">
        <v>45886</v>
      </c>
      <c r="I779" t="s">
        <v>2982</v>
      </c>
      <c r="J779" t="s">
        <v>2983</v>
      </c>
      <c r="K779" t="s">
        <v>21</v>
      </c>
      <c r="L779" t="s">
        <v>30</v>
      </c>
      <c r="M779" t="s">
        <v>22</v>
      </c>
    </row>
    <row r="780" spans="1:13" x14ac:dyDescent="0.3">
      <c r="A780" t="s">
        <v>2984</v>
      </c>
      <c r="B780" t="s">
        <v>2985</v>
      </c>
      <c r="C780" t="s">
        <v>46</v>
      </c>
      <c r="D780" t="s">
        <v>41</v>
      </c>
      <c r="E780" t="s">
        <v>17</v>
      </c>
      <c r="F780" t="s">
        <v>18</v>
      </c>
      <c r="G780" s="1">
        <v>44823</v>
      </c>
      <c r="H780" s="1">
        <v>45015</v>
      </c>
      <c r="I780" t="s">
        <v>2986</v>
      </c>
      <c r="J780" t="s">
        <v>2987</v>
      </c>
      <c r="K780" t="s">
        <v>37</v>
      </c>
      <c r="L780" t="s">
        <v>60</v>
      </c>
      <c r="M780" t="s">
        <v>22</v>
      </c>
    </row>
    <row r="781" spans="1:13" x14ac:dyDescent="0.3">
      <c r="A781" t="s">
        <v>2988</v>
      </c>
      <c r="B781" t="s">
        <v>2989</v>
      </c>
      <c r="C781" t="s">
        <v>15</v>
      </c>
      <c r="D781" t="s">
        <v>16</v>
      </c>
      <c r="E781" t="s">
        <v>17</v>
      </c>
      <c r="F781" t="s">
        <v>18</v>
      </c>
      <c r="G781" s="1">
        <v>43971</v>
      </c>
      <c r="H781" s="1">
        <v>44151</v>
      </c>
      <c r="I781" t="s">
        <v>2990</v>
      </c>
      <c r="J781" t="s">
        <v>2991</v>
      </c>
      <c r="K781" t="s">
        <v>21</v>
      </c>
      <c r="L781" t="s">
        <v>55</v>
      </c>
      <c r="M781" t="s">
        <v>22</v>
      </c>
    </row>
    <row r="782" spans="1:13" x14ac:dyDescent="0.3">
      <c r="A782" t="s">
        <v>2992</v>
      </c>
      <c r="B782" t="s">
        <v>2993</v>
      </c>
      <c r="C782" t="s">
        <v>15</v>
      </c>
      <c r="D782" t="s">
        <v>16</v>
      </c>
      <c r="E782" t="s">
        <v>17</v>
      </c>
      <c r="F782" t="s">
        <v>18</v>
      </c>
      <c r="G782" s="1">
        <v>44754</v>
      </c>
      <c r="H782" s="1">
        <v>45117</v>
      </c>
      <c r="I782" t="s">
        <v>2994</v>
      </c>
      <c r="J782" t="s">
        <v>2995</v>
      </c>
      <c r="K782" t="s">
        <v>21</v>
      </c>
      <c r="L782" t="s">
        <v>60</v>
      </c>
      <c r="M782" t="s">
        <v>22</v>
      </c>
    </row>
    <row r="783" spans="1:13" x14ac:dyDescent="0.3">
      <c r="A783" t="s">
        <v>2996</v>
      </c>
      <c r="B783" t="s">
        <v>159</v>
      </c>
      <c r="C783" t="s">
        <v>181</v>
      </c>
      <c r="D783" t="s">
        <v>41</v>
      </c>
      <c r="E783" t="s">
        <v>17</v>
      </c>
      <c r="F783" t="s">
        <v>18</v>
      </c>
      <c r="G783" s="1">
        <v>45481</v>
      </c>
      <c r="H783" s="1">
        <v>45532</v>
      </c>
      <c r="I783" t="s">
        <v>2997</v>
      </c>
      <c r="J783" t="s">
        <v>2998</v>
      </c>
      <c r="K783" t="s">
        <v>29</v>
      </c>
      <c r="L783" t="s">
        <v>55</v>
      </c>
      <c r="M783" t="s">
        <v>22</v>
      </c>
    </row>
    <row r="784" spans="1:13" x14ac:dyDescent="0.3">
      <c r="A784" t="s">
        <v>2999</v>
      </c>
      <c r="B784" t="s">
        <v>3000</v>
      </c>
      <c r="C784" t="s">
        <v>181</v>
      </c>
      <c r="D784" t="s">
        <v>41</v>
      </c>
      <c r="E784" t="s">
        <v>17</v>
      </c>
      <c r="F784" t="s">
        <v>18</v>
      </c>
      <c r="G784" s="1">
        <v>44941</v>
      </c>
      <c r="H784" s="1">
        <v>45154</v>
      </c>
      <c r="I784" t="s">
        <v>3001</v>
      </c>
      <c r="J784" t="s">
        <v>3002</v>
      </c>
      <c r="K784" t="s">
        <v>37</v>
      </c>
      <c r="L784" t="s">
        <v>55</v>
      </c>
      <c r="M784" t="s">
        <v>22</v>
      </c>
    </row>
    <row r="785" spans="1:13" x14ac:dyDescent="0.3">
      <c r="A785" t="s">
        <v>3003</v>
      </c>
      <c r="B785" t="s">
        <v>3004</v>
      </c>
      <c r="C785" t="s">
        <v>76</v>
      </c>
      <c r="D785" t="s">
        <v>41</v>
      </c>
      <c r="E785" t="s">
        <v>17</v>
      </c>
      <c r="F785" t="s">
        <v>151</v>
      </c>
      <c r="G785" s="1">
        <v>45289</v>
      </c>
      <c r="H785" s="1">
        <v>45537</v>
      </c>
      <c r="I785" t="s">
        <v>3005</v>
      </c>
      <c r="J785" t="s">
        <v>3006</v>
      </c>
      <c r="K785" t="s">
        <v>21</v>
      </c>
      <c r="L785" t="s">
        <v>91</v>
      </c>
      <c r="M785" t="s">
        <v>22</v>
      </c>
    </row>
    <row r="786" spans="1:13" x14ac:dyDescent="0.3">
      <c r="A786" t="s">
        <v>3007</v>
      </c>
      <c r="B786" t="s">
        <v>3008</v>
      </c>
      <c r="C786" t="s">
        <v>46</v>
      </c>
      <c r="D786" t="s">
        <v>77</v>
      </c>
      <c r="E786" t="s">
        <v>52</v>
      </c>
      <c r="F786" t="s">
        <v>18</v>
      </c>
      <c r="G786" s="1">
        <v>45621</v>
      </c>
      <c r="H786" s="1">
        <v>45957</v>
      </c>
      <c r="I786" t="s">
        <v>3009</v>
      </c>
      <c r="J786" t="s">
        <v>3010</v>
      </c>
      <c r="K786" t="s">
        <v>21</v>
      </c>
      <c r="M786" t="s">
        <v>22</v>
      </c>
    </row>
    <row r="787" spans="1:13" x14ac:dyDescent="0.3">
      <c r="A787" t="s">
        <v>3011</v>
      </c>
      <c r="B787" t="s">
        <v>3012</v>
      </c>
      <c r="C787" t="s">
        <v>33</v>
      </c>
      <c r="D787" t="s">
        <v>67</v>
      </c>
      <c r="E787" t="s">
        <v>26</v>
      </c>
      <c r="F787" t="s">
        <v>18</v>
      </c>
      <c r="G787" s="1">
        <v>45345</v>
      </c>
      <c r="H787" s="1">
        <v>45486</v>
      </c>
      <c r="I787" t="s">
        <v>3013</v>
      </c>
      <c r="J787" t="s">
        <v>3014</v>
      </c>
      <c r="K787" t="s">
        <v>37</v>
      </c>
      <c r="L787" t="s">
        <v>30</v>
      </c>
      <c r="M787" t="s">
        <v>22</v>
      </c>
    </row>
    <row r="788" spans="1:13" x14ac:dyDescent="0.3">
      <c r="A788" t="s">
        <v>3015</v>
      </c>
      <c r="B788" t="s">
        <v>3016</v>
      </c>
      <c r="C788" t="s">
        <v>87</v>
      </c>
      <c r="D788" t="s">
        <v>41</v>
      </c>
      <c r="E788" t="s">
        <v>17</v>
      </c>
      <c r="F788" t="s">
        <v>18</v>
      </c>
      <c r="G788" s="1">
        <v>43541</v>
      </c>
      <c r="H788" s="1">
        <v>43733</v>
      </c>
      <c r="I788" t="s">
        <v>3017</v>
      </c>
      <c r="J788" t="s">
        <v>3018</v>
      </c>
      <c r="K788" t="s">
        <v>90</v>
      </c>
      <c r="L788" t="s">
        <v>116</v>
      </c>
      <c r="M788" t="s">
        <v>22</v>
      </c>
    </row>
    <row r="789" spans="1:13" x14ac:dyDescent="0.3">
      <c r="A789" t="s">
        <v>3019</v>
      </c>
      <c r="B789" t="s">
        <v>3020</v>
      </c>
      <c r="C789" t="s">
        <v>33</v>
      </c>
      <c r="D789" t="s">
        <v>34</v>
      </c>
      <c r="E789" t="s">
        <v>17</v>
      </c>
      <c r="F789" t="s">
        <v>18</v>
      </c>
      <c r="G789" s="1">
        <v>44581</v>
      </c>
      <c r="H789" s="1">
        <v>44837</v>
      </c>
      <c r="I789" t="s">
        <v>3021</v>
      </c>
      <c r="J789" t="s">
        <v>3022</v>
      </c>
      <c r="K789" t="s">
        <v>21</v>
      </c>
      <c r="L789" t="s">
        <v>60</v>
      </c>
      <c r="M789" t="s">
        <v>22</v>
      </c>
    </row>
    <row r="790" spans="1:13" x14ac:dyDescent="0.3">
      <c r="A790" t="s">
        <v>3023</v>
      </c>
      <c r="B790" t="s">
        <v>3024</v>
      </c>
      <c r="C790" t="s">
        <v>33</v>
      </c>
      <c r="D790" t="s">
        <v>34</v>
      </c>
      <c r="E790" t="s">
        <v>26</v>
      </c>
      <c r="F790" t="s">
        <v>18</v>
      </c>
      <c r="G790" s="1">
        <v>44270</v>
      </c>
      <c r="H790" s="1">
        <v>45777</v>
      </c>
      <c r="I790" t="s">
        <v>3025</v>
      </c>
      <c r="J790" t="s">
        <v>3026</v>
      </c>
      <c r="K790" t="s">
        <v>37</v>
      </c>
      <c r="L790" t="s">
        <v>116</v>
      </c>
      <c r="M790" t="s">
        <v>22</v>
      </c>
    </row>
    <row r="791" spans="1:13" x14ac:dyDescent="0.3">
      <c r="A791" t="s">
        <v>3027</v>
      </c>
      <c r="B791" t="s">
        <v>3028</v>
      </c>
      <c r="C791" t="s">
        <v>181</v>
      </c>
      <c r="D791" t="s">
        <v>67</v>
      </c>
      <c r="E791" t="s">
        <v>26</v>
      </c>
      <c r="F791" t="s">
        <v>151</v>
      </c>
      <c r="G791" s="1">
        <v>44406</v>
      </c>
      <c r="H791" s="1">
        <v>44450</v>
      </c>
      <c r="I791" t="s">
        <v>3029</v>
      </c>
      <c r="J791" t="s">
        <v>3030</v>
      </c>
      <c r="K791" t="s">
        <v>21</v>
      </c>
      <c r="L791" t="s">
        <v>55</v>
      </c>
      <c r="M791" t="s">
        <v>22</v>
      </c>
    </row>
    <row r="792" spans="1:13" x14ac:dyDescent="0.3">
      <c r="A792" t="s">
        <v>3031</v>
      </c>
      <c r="B792" t="s">
        <v>3032</v>
      </c>
      <c r="C792" t="s">
        <v>15</v>
      </c>
      <c r="D792" t="s">
        <v>25</v>
      </c>
      <c r="E792" t="s">
        <v>26</v>
      </c>
      <c r="F792" t="s">
        <v>18</v>
      </c>
      <c r="G792" s="1">
        <v>45622</v>
      </c>
      <c r="H792" s="1">
        <v>45641</v>
      </c>
      <c r="I792" t="s">
        <v>3033</v>
      </c>
      <c r="K792" t="s">
        <v>21</v>
      </c>
      <c r="L792" t="s">
        <v>55</v>
      </c>
      <c r="M792" t="s">
        <v>22</v>
      </c>
    </row>
    <row r="793" spans="1:13" x14ac:dyDescent="0.3">
      <c r="A793" t="s">
        <v>3034</v>
      </c>
      <c r="C793" t="s">
        <v>76</v>
      </c>
      <c r="D793" t="s">
        <v>25</v>
      </c>
      <c r="E793" t="s">
        <v>26</v>
      </c>
      <c r="F793" t="s">
        <v>151</v>
      </c>
      <c r="G793" s="1">
        <v>45404</v>
      </c>
      <c r="H793" s="1">
        <v>45684</v>
      </c>
      <c r="I793" t="s">
        <v>3035</v>
      </c>
      <c r="J793" t="s">
        <v>3036</v>
      </c>
      <c r="K793" t="s">
        <v>21</v>
      </c>
      <c r="L793" t="s">
        <v>91</v>
      </c>
      <c r="M793" t="s">
        <v>22</v>
      </c>
    </row>
    <row r="794" spans="1:13" x14ac:dyDescent="0.3">
      <c r="A794" t="s">
        <v>3037</v>
      </c>
      <c r="B794" t="s">
        <v>3038</v>
      </c>
      <c r="C794" t="s">
        <v>87</v>
      </c>
      <c r="D794" t="s">
        <v>41</v>
      </c>
      <c r="E794" t="s">
        <v>17</v>
      </c>
      <c r="F794" t="s">
        <v>18</v>
      </c>
      <c r="G794" s="1">
        <v>44978</v>
      </c>
      <c r="H794" s="1">
        <v>45276</v>
      </c>
      <c r="I794" t="s">
        <v>3039</v>
      </c>
      <c r="J794" t="s">
        <v>3040</v>
      </c>
      <c r="K794" t="s">
        <v>21</v>
      </c>
      <c r="L794" t="s">
        <v>55</v>
      </c>
      <c r="M794" t="s">
        <v>22</v>
      </c>
    </row>
    <row r="795" spans="1:13" x14ac:dyDescent="0.3">
      <c r="A795" t="s">
        <v>3041</v>
      </c>
      <c r="B795" t="s">
        <v>3042</v>
      </c>
      <c r="C795" t="s">
        <v>46</v>
      </c>
      <c r="D795" t="s">
        <v>34</v>
      </c>
      <c r="E795" t="s">
        <v>26</v>
      </c>
      <c r="F795" t="s">
        <v>151</v>
      </c>
      <c r="G795" s="1">
        <v>45402</v>
      </c>
      <c r="H795" s="1">
        <v>45601</v>
      </c>
      <c r="I795" t="s">
        <v>3043</v>
      </c>
      <c r="J795" t="s">
        <v>3044</v>
      </c>
      <c r="K795" t="s">
        <v>37</v>
      </c>
      <c r="M795" t="s">
        <v>22</v>
      </c>
    </row>
    <row r="796" spans="1:13" x14ac:dyDescent="0.3">
      <c r="A796" t="s">
        <v>3045</v>
      </c>
      <c r="B796" t="s">
        <v>3046</v>
      </c>
      <c r="C796" t="s">
        <v>181</v>
      </c>
      <c r="D796" t="s">
        <v>34</v>
      </c>
      <c r="E796" t="s">
        <v>26</v>
      </c>
      <c r="F796" t="s">
        <v>18</v>
      </c>
      <c r="G796" s="1">
        <v>45224</v>
      </c>
      <c r="H796" s="1">
        <v>45224</v>
      </c>
      <c r="I796" t="s">
        <v>3047</v>
      </c>
      <c r="J796" t="s">
        <v>3048</v>
      </c>
      <c r="K796" t="s">
        <v>37</v>
      </c>
      <c r="L796" t="s">
        <v>91</v>
      </c>
      <c r="M796" t="s">
        <v>22</v>
      </c>
    </row>
    <row r="797" spans="1:13" x14ac:dyDescent="0.3">
      <c r="A797" t="s">
        <v>3049</v>
      </c>
      <c r="B797" t="s">
        <v>3050</v>
      </c>
      <c r="C797" t="s">
        <v>76</v>
      </c>
      <c r="D797" t="s">
        <v>34</v>
      </c>
      <c r="E797" t="s">
        <v>26</v>
      </c>
      <c r="F797" t="s">
        <v>151</v>
      </c>
      <c r="G797" s="1">
        <v>43577</v>
      </c>
      <c r="H797" s="1">
        <v>43723</v>
      </c>
      <c r="I797" t="s">
        <v>3051</v>
      </c>
      <c r="J797" t="s">
        <v>3052</v>
      </c>
      <c r="K797" t="s">
        <v>37</v>
      </c>
      <c r="L797" t="s">
        <v>91</v>
      </c>
      <c r="M797" t="s">
        <v>22</v>
      </c>
    </row>
    <row r="798" spans="1:13" x14ac:dyDescent="0.3">
      <c r="A798" t="s">
        <v>3053</v>
      </c>
      <c r="B798" t="s">
        <v>3054</v>
      </c>
      <c r="C798" t="s">
        <v>76</v>
      </c>
      <c r="D798" t="s">
        <v>25</v>
      </c>
      <c r="E798" t="s">
        <v>26</v>
      </c>
      <c r="F798" t="s">
        <v>151</v>
      </c>
      <c r="G798" s="1">
        <v>43602</v>
      </c>
      <c r="H798" s="1">
        <v>43795</v>
      </c>
      <c r="I798" t="s">
        <v>3055</v>
      </c>
      <c r="J798" t="s">
        <v>3056</v>
      </c>
      <c r="K798" t="s">
        <v>37</v>
      </c>
      <c r="L798" t="s">
        <v>60</v>
      </c>
      <c r="M798" t="s">
        <v>22</v>
      </c>
    </row>
    <row r="799" spans="1:13" x14ac:dyDescent="0.3">
      <c r="A799" t="s">
        <v>3057</v>
      </c>
      <c r="B799" t="s">
        <v>3058</v>
      </c>
      <c r="C799" t="s">
        <v>76</v>
      </c>
      <c r="D799" t="s">
        <v>67</v>
      </c>
      <c r="E799" t="s">
        <v>26</v>
      </c>
      <c r="F799" t="s">
        <v>18</v>
      </c>
      <c r="G799" s="1">
        <v>44383</v>
      </c>
      <c r="H799" s="1">
        <v>44632</v>
      </c>
      <c r="I799" t="s">
        <v>3059</v>
      </c>
      <c r="K799" t="s">
        <v>29</v>
      </c>
      <c r="L799" t="s">
        <v>60</v>
      </c>
      <c r="M799" t="s">
        <v>22</v>
      </c>
    </row>
    <row r="800" spans="1:13" x14ac:dyDescent="0.3">
      <c r="A800" t="s">
        <v>3060</v>
      </c>
      <c r="B800" t="s">
        <v>3061</v>
      </c>
      <c r="C800" t="s">
        <v>33</v>
      </c>
      <c r="D800" t="s">
        <v>67</v>
      </c>
      <c r="E800" t="s">
        <v>26</v>
      </c>
      <c r="F800" t="s">
        <v>160</v>
      </c>
      <c r="G800" s="1">
        <v>45070</v>
      </c>
      <c r="H800" s="1">
        <v>45096</v>
      </c>
      <c r="I800" t="s">
        <v>3062</v>
      </c>
      <c r="J800" t="s">
        <v>551</v>
      </c>
      <c r="K800" t="s">
        <v>90</v>
      </c>
      <c r="M800" t="s">
        <v>22</v>
      </c>
    </row>
    <row r="801" spans="1:13" x14ac:dyDescent="0.3">
      <c r="A801" t="s">
        <v>3063</v>
      </c>
      <c r="B801" t="s">
        <v>2796</v>
      </c>
      <c r="C801" t="s">
        <v>76</v>
      </c>
      <c r="D801" t="s">
        <v>25</v>
      </c>
      <c r="E801" t="s">
        <v>26</v>
      </c>
      <c r="F801" t="s">
        <v>18</v>
      </c>
      <c r="G801" s="1">
        <v>43622</v>
      </c>
      <c r="H801" s="1">
        <v>43901</v>
      </c>
      <c r="I801" t="s">
        <v>3064</v>
      </c>
      <c r="J801" t="s">
        <v>3065</v>
      </c>
      <c r="K801" t="s">
        <v>37</v>
      </c>
      <c r="M801" t="s">
        <v>22</v>
      </c>
    </row>
    <row r="802" spans="1:13" x14ac:dyDescent="0.3">
      <c r="A802" t="s">
        <v>3066</v>
      </c>
      <c r="B802" t="s">
        <v>3067</v>
      </c>
      <c r="C802" t="s">
        <v>87</v>
      </c>
      <c r="D802" t="s">
        <v>41</v>
      </c>
      <c r="E802" t="s">
        <v>17</v>
      </c>
      <c r="F802" t="s">
        <v>18</v>
      </c>
      <c r="G802" s="1">
        <v>44601</v>
      </c>
      <c r="H802" s="1">
        <v>44853</v>
      </c>
      <c r="I802" t="s">
        <v>3068</v>
      </c>
      <c r="J802" t="s">
        <v>3069</v>
      </c>
      <c r="K802" t="s">
        <v>21</v>
      </c>
      <c r="L802" t="s">
        <v>91</v>
      </c>
      <c r="M802" t="s">
        <v>22</v>
      </c>
    </row>
    <row r="803" spans="1:13" x14ac:dyDescent="0.3">
      <c r="A803" t="s">
        <v>3070</v>
      </c>
      <c r="B803" t="s">
        <v>857</v>
      </c>
      <c r="C803" t="s">
        <v>46</v>
      </c>
      <c r="D803" t="s">
        <v>67</v>
      </c>
      <c r="E803" t="s">
        <v>26</v>
      </c>
      <c r="F803" t="s">
        <v>160</v>
      </c>
      <c r="G803" s="1">
        <v>44025</v>
      </c>
      <c r="H803" s="1">
        <v>44060</v>
      </c>
      <c r="I803" t="s">
        <v>858</v>
      </c>
      <c r="J803" t="s">
        <v>3071</v>
      </c>
      <c r="K803" t="s">
        <v>29</v>
      </c>
      <c r="L803" t="s">
        <v>91</v>
      </c>
      <c r="M803" t="s">
        <v>22</v>
      </c>
    </row>
    <row r="804" spans="1:13" x14ac:dyDescent="0.3">
      <c r="A804" t="s">
        <v>3072</v>
      </c>
      <c r="B804" t="s">
        <v>3073</v>
      </c>
      <c r="C804" t="s">
        <v>181</v>
      </c>
      <c r="D804" t="s">
        <v>41</v>
      </c>
      <c r="E804" t="s">
        <v>17</v>
      </c>
      <c r="F804" t="s">
        <v>18</v>
      </c>
      <c r="G804" s="1">
        <v>44489</v>
      </c>
      <c r="H804" s="1">
        <v>44608</v>
      </c>
      <c r="I804" t="s">
        <v>3074</v>
      </c>
      <c r="J804" t="s">
        <v>3075</v>
      </c>
      <c r="K804" t="s">
        <v>90</v>
      </c>
      <c r="L804" t="s">
        <v>91</v>
      </c>
      <c r="M804" t="s">
        <v>22</v>
      </c>
    </row>
    <row r="805" spans="1:13" x14ac:dyDescent="0.3">
      <c r="A805" t="s">
        <v>3076</v>
      </c>
      <c r="B805" t="s">
        <v>3077</v>
      </c>
      <c r="C805" t="s">
        <v>33</v>
      </c>
      <c r="D805" t="s">
        <v>41</v>
      </c>
      <c r="E805" t="s">
        <v>17</v>
      </c>
      <c r="F805" t="s">
        <v>160</v>
      </c>
      <c r="G805" s="1">
        <v>44772</v>
      </c>
      <c r="H805" s="1">
        <v>45067</v>
      </c>
      <c r="I805" t="s">
        <v>3078</v>
      </c>
      <c r="J805" t="s">
        <v>3079</v>
      </c>
      <c r="K805" t="s">
        <v>37</v>
      </c>
      <c r="L805" t="s">
        <v>116</v>
      </c>
      <c r="M805" t="s">
        <v>22</v>
      </c>
    </row>
    <row r="806" spans="1:13" x14ac:dyDescent="0.3">
      <c r="A806" t="s">
        <v>3080</v>
      </c>
      <c r="B806" t="s">
        <v>3081</v>
      </c>
      <c r="C806" t="s">
        <v>87</v>
      </c>
      <c r="D806" t="s">
        <v>41</v>
      </c>
      <c r="E806" t="s">
        <v>17</v>
      </c>
      <c r="F806" t="s">
        <v>308</v>
      </c>
      <c r="G806" s="1">
        <v>44725</v>
      </c>
      <c r="H806" s="1">
        <v>44789</v>
      </c>
      <c r="I806" t="s">
        <v>3082</v>
      </c>
      <c r="J806" t="s">
        <v>3083</v>
      </c>
      <c r="K806" t="s">
        <v>90</v>
      </c>
      <c r="L806" t="s">
        <v>30</v>
      </c>
      <c r="M806" t="s">
        <v>22</v>
      </c>
    </row>
    <row r="807" spans="1:13" x14ac:dyDescent="0.3">
      <c r="A807" t="s">
        <v>3084</v>
      </c>
      <c r="B807" t="s">
        <v>3085</v>
      </c>
      <c r="C807" t="s">
        <v>15</v>
      </c>
      <c r="D807" t="s">
        <v>41</v>
      </c>
      <c r="E807" t="s">
        <v>17</v>
      </c>
      <c r="F807" t="s">
        <v>18</v>
      </c>
      <c r="G807" s="1">
        <v>44997</v>
      </c>
      <c r="H807" s="1">
        <v>45076</v>
      </c>
      <c r="I807" t="s">
        <v>3086</v>
      </c>
      <c r="J807" t="s">
        <v>3087</v>
      </c>
      <c r="K807" t="s">
        <v>90</v>
      </c>
      <c r="L807" t="s">
        <v>55</v>
      </c>
      <c r="M807" t="s">
        <v>22</v>
      </c>
    </row>
    <row r="808" spans="1:13" x14ac:dyDescent="0.3">
      <c r="A808" t="s">
        <v>3088</v>
      </c>
      <c r="B808" t="s">
        <v>3089</v>
      </c>
      <c r="C808" t="s">
        <v>15</v>
      </c>
      <c r="D808" t="s">
        <v>41</v>
      </c>
      <c r="E808" t="s">
        <v>17</v>
      </c>
      <c r="F808" t="s">
        <v>18</v>
      </c>
      <c r="G808" s="1">
        <v>45409</v>
      </c>
      <c r="H808" s="1">
        <v>45663</v>
      </c>
      <c r="I808" t="s">
        <v>3090</v>
      </c>
      <c r="J808" t="s">
        <v>3091</v>
      </c>
      <c r="K808" t="s">
        <v>90</v>
      </c>
      <c r="L808" t="s">
        <v>60</v>
      </c>
      <c r="M808" t="s">
        <v>22</v>
      </c>
    </row>
    <row r="809" spans="1:13" x14ac:dyDescent="0.3">
      <c r="A809" t="s">
        <v>3092</v>
      </c>
      <c r="B809" t="s">
        <v>3093</v>
      </c>
      <c r="C809" t="s">
        <v>46</v>
      </c>
      <c r="D809" t="s">
        <v>77</v>
      </c>
      <c r="E809" t="s">
        <v>52</v>
      </c>
      <c r="F809" t="s">
        <v>18</v>
      </c>
      <c r="G809" s="1">
        <v>43814</v>
      </c>
      <c r="H809" s="1">
        <v>43970</v>
      </c>
      <c r="I809" t="s">
        <v>3094</v>
      </c>
      <c r="J809" t="s">
        <v>3095</v>
      </c>
      <c r="K809" t="s">
        <v>37</v>
      </c>
      <c r="L809" t="s">
        <v>30</v>
      </c>
      <c r="M809" t="s">
        <v>22</v>
      </c>
    </row>
    <row r="810" spans="1:13" x14ac:dyDescent="0.3">
      <c r="A810" t="s">
        <v>3096</v>
      </c>
      <c r="B810" t="s">
        <v>3097</v>
      </c>
      <c r="C810" t="s">
        <v>46</v>
      </c>
      <c r="D810" t="s">
        <v>51</v>
      </c>
      <c r="E810" t="s">
        <v>52</v>
      </c>
      <c r="F810" t="s">
        <v>18</v>
      </c>
      <c r="G810" s="1">
        <v>44370</v>
      </c>
      <c r="H810" s="1">
        <v>44680</v>
      </c>
      <c r="I810" t="s">
        <v>3098</v>
      </c>
      <c r="J810" t="s">
        <v>3099</v>
      </c>
      <c r="K810" t="s">
        <v>37</v>
      </c>
      <c r="M810" t="s">
        <v>22</v>
      </c>
    </row>
    <row r="811" spans="1:13" x14ac:dyDescent="0.3">
      <c r="A811" t="s">
        <v>1004</v>
      </c>
      <c r="B811" t="s">
        <v>1005</v>
      </c>
      <c r="C811" t="s">
        <v>181</v>
      </c>
      <c r="D811" t="s">
        <v>34</v>
      </c>
      <c r="E811" t="s">
        <v>26</v>
      </c>
      <c r="F811" t="s">
        <v>18</v>
      </c>
      <c r="G811" s="1">
        <v>44306</v>
      </c>
      <c r="H811" s="1">
        <v>44584</v>
      </c>
      <c r="I811" t="s">
        <v>1006</v>
      </c>
      <c r="J811" t="s">
        <v>1007</v>
      </c>
      <c r="K811" t="s">
        <v>29</v>
      </c>
      <c r="M811" t="s">
        <v>22</v>
      </c>
    </row>
    <row r="812" spans="1:13" x14ac:dyDescent="0.3">
      <c r="A812" t="s">
        <v>860</v>
      </c>
      <c r="B812" t="s">
        <v>861</v>
      </c>
      <c r="C812" t="s">
        <v>33</v>
      </c>
      <c r="D812" t="s">
        <v>41</v>
      </c>
      <c r="E812" t="s">
        <v>17</v>
      </c>
      <c r="F812" t="s">
        <v>18</v>
      </c>
      <c r="G812" s="1">
        <v>44691</v>
      </c>
      <c r="H812" s="1">
        <v>44994</v>
      </c>
      <c r="I812" t="s">
        <v>862</v>
      </c>
      <c r="J812" t="s">
        <v>210</v>
      </c>
      <c r="K812" t="s">
        <v>21</v>
      </c>
      <c r="M812" t="s">
        <v>22</v>
      </c>
    </row>
    <row r="813" spans="1:13" x14ac:dyDescent="0.3">
      <c r="A813" t="s">
        <v>3100</v>
      </c>
      <c r="B813" t="s">
        <v>192</v>
      </c>
      <c r="C813" t="s">
        <v>46</v>
      </c>
      <c r="D813" t="s">
        <v>51</v>
      </c>
      <c r="E813" t="s">
        <v>52</v>
      </c>
      <c r="F813" t="s">
        <v>18</v>
      </c>
      <c r="G813" s="1">
        <v>43908</v>
      </c>
      <c r="H813" s="1">
        <v>44154</v>
      </c>
      <c r="I813" t="s">
        <v>3101</v>
      </c>
      <c r="J813" t="s">
        <v>3102</v>
      </c>
      <c r="K813" t="s">
        <v>29</v>
      </c>
      <c r="M813" t="s">
        <v>22</v>
      </c>
    </row>
    <row r="814" spans="1:13" x14ac:dyDescent="0.3">
      <c r="A814" t="s">
        <v>3103</v>
      </c>
      <c r="B814" t="s">
        <v>3104</v>
      </c>
      <c r="C814" t="s">
        <v>40</v>
      </c>
      <c r="D814" t="s">
        <v>16</v>
      </c>
      <c r="E814" t="s">
        <v>17</v>
      </c>
      <c r="F814" t="s">
        <v>160</v>
      </c>
      <c r="G814" s="1">
        <v>44385</v>
      </c>
      <c r="H814" s="1">
        <v>44395</v>
      </c>
      <c r="I814" t="s">
        <v>3105</v>
      </c>
      <c r="J814" t="s">
        <v>3106</v>
      </c>
      <c r="K814" t="s">
        <v>90</v>
      </c>
      <c r="L814" t="s">
        <v>30</v>
      </c>
      <c r="M814" t="s">
        <v>22</v>
      </c>
    </row>
    <row r="815" spans="1:13" x14ac:dyDescent="0.3">
      <c r="A815" t="s">
        <v>3107</v>
      </c>
      <c r="B815" t="s">
        <v>3108</v>
      </c>
      <c r="C815" t="s">
        <v>46</v>
      </c>
      <c r="D815" t="s">
        <v>41</v>
      </c>
      <c r="E815" t="s">
        <v>17</v>
      </c>
      <c r="F815" t="s">
        <v>18</v>
      </c>
      <c r="G815" s="1">
        <v>45394</v>
      </c>
      <c r="H815" s="1">
        <v>45459</v>
      </c>
      <c r="I815" t="s">
        <v>3109</v>
      </c>
      <c r="J815" t="s">
        <v>3110</v>
      </c>
      <c r="K815" t="s">
        <v>29</v>
      </c>
      <c r="M815" t="s">
        <v>22</v>
      </c>
    </row>
    <row r="816" spans="1:13" x14ac:dyDescent="0.3">
      <c r="A816" t="s">
        <v>3111</v>
      </c>
      <c r="B816" t="s">
        <v>3112</v>
      </c>
      <c r="C816" t="s">
        <v>76</v>
      </c>
      <c r="D816" t="s">
        <v>34</v>
      </c>
      <c r="E816" t="s">
        <v>26</v>
      </c>
      <c r="F816" t="s">
        <v>18</v>
      </c>
      <c r="G816" s="1">
        <v>44714</v>
      </c>
      <c r="H816" s="1">
        <v>44772</v>
      </c>
      <c r="I816" t="s">
        <v>3113</v>
      </c>
      <c r="J816" t="s">
        <v>3114</v>
      </c>
      <c r="K816" t="s">
        <v>90</v>
      </c>
      <c r="L816" t="s">
        <v>91</v>
      </c>
      <c r="M816" t="s">
        <v>22</v>
      </c>
    </row>
    <row r="817" spans="1:13" x14ac:dyDescent="0.3">
      <c r="A817" t="s">
        <v>3115</v>
      </c>
      <c r="B817" t="s">
        <v>3116</v>
      </c>
      <c r="C817" t="s">
        <v>181</v>
      </c>
      <c r="D817" t="s">
        <v>16</v>
      </c>
      <c r="E817" t="s">
        <v>52</v>
      </c>
      <c r="F817" t="s">
        <v>18</v>
      </c>
      <c r="G817" s="1">
        <v>44395</v>
      </c>
      <c r="H817" s="1">
        <v>44502</v>
      </c>
      <c r="I817" t="s">
        <v>704</v>
      </c>
      <c r="J817" t="s">
        <v>3117</v>
      </c>
      <c r="K817" t="s">
        <v>21</v>
      </c>
      <c r="M817" t="s">
        <v>22</v>
      </c>
    </row>
    <row r="818" spans="1:13" x14ac:dyDescent="0.3">
      <c r="A818" t="s">
        <v>3118</v>
      </c>
      <c r="B818" t="s">
        <v>3119</v>
      </c>
      <c r="C818" t="s">
        <v>46</v>
      </c>
      <c r="D818" t="s">
        <v>41</v>
      </c>
      <c r="E818" t="s">
        <v>17</v>
      </c>
      <c r="F818" t="s">
        <v>18</v>
      </c>
      <c r="G818" s="1">
        <v>43681</v>
      </c>
      <c r="H818" s="1">
        <v>43732</v>
      </c>
      <c r="J818" t="s">
        <v>3120</v>
      </c>
      <c r="K818" t="s">
        <v>21</v>
      </c>
      <c r="L818" t="s">
        <v>60</v>
      </c>
      <c r="M818" t="s">
        <v>22</v>
      </c>
    </row>
    <row r="819" spans="1:13" x14ac:dyDescent="0.3">
      <c r="A819" t="s">
        <v>2495</v>
      </c>
      <c r="B819" t="s">
        <v>3121</v>
      </c>
      <c r="C819" t="s">
        <v>46</v>
      </c>
      <c r="D819" t="s">
        <v>25</v>
      </c>
      <c r="E819" t="s">
        <v>26</v>
      </c>
      <c r="F819" t="s">
        <v>151</v>
      </c>
      <c r="G819" s="1">
        <v>45016</v>
      </c>
      <c r="H819" s="1">
        <v>45056</v>
      </c>
      <c r="I819" t="s">
        <v>2497</v>
      </c>
      <c r="J819" t="s">
        <v>2480</v>
      </c>
      <c r="K819" t="s">
        <v>29</v>
      </c>
      <c r="L819" t="s">
        <v>91</v>
      </c>
      <c r="M819" t="s">
        <v>22</v>
      </c>
    </row>
    <row r="820" spans="1:13" x14ac:dyDescent="0.3">
      <c r="A820" t="s">
        <v>3122</v>
      </c>
      <c r="B820" t="s">
        <v>3123</v>
      </c>
      <c r="C820" t="s">
        <v>40</v>
      </c>
      <c r="D820" t="s">
        <v>67</v>
      </c>
      <c r="E820" t="s">
        <v>26</v>
      </c>
      <c r="F820" t="s">
        <v>18</v>
      </c>
      <c r="G820" s="1">
        <v>43866</v>
      </c>
      <c r="H820" s="1">
        <v>44116</v>
      </c>
      <c r="I820" t="s">
        <v>417</v>
      </c>
      <c r="J820" t="s">
        <v>3124</v>
      </c>
      <c r="K820" t="s">
        <v>29</v>
      </c>
      <c r="L820" t="s">
        <v>30</v>
      </c>
      <c r="M820" t="s">
        <v>22</v>
      </c>
    </row>
    <row r="821" spans="1:13" x14ac:dyDescent="0.3">
      <c r="A821" t="s">
        <v>3125</v>
      </c>
      <c r="B821" t="s">
        <v>3126</v>
      </c>
      <c r="C821" t="s">
        <v>76</v>
      </c>
      <c r="D821" t="s">
        <v>67</v>
      </c>
      <c r="E821" t="s">
        <v>26</v>
      </c>
      <c r="F821" t="s">
        <v>18</v>
      </c>
      <c r="G821" s="1">
        <v>45556</v>
      </c>
      <c r="H821" s="1">
        <v>45762</v>
      </c>
      <c r="I821" t="s">
        <v>3127</v>
      </c>
      <c r="J821" t="s">
        <v>3128</v>
      </c>
      <c r="K821" t="s">
        <v>90</v>
      </c>
      <c r="L821" t="s">
        <v>116</v>
      </c>
      <c r="M821" t="s">
        <v>22</v>
      </c>
    </row>
    <row r="822" spans="1:13" x14ac:dyDescent="0.3">
      <c r="A822" t="s">
        <v>3129</v>
      </c>
      <c r="B822" t="s">
        <v>3130</v>
      </c>
      <c r="C822" t="s">
        <v>46</v>
      </c>
      <c r="D822" t="s">
        <v>34</v>
      </c>
      <c r="E822" t="s">
        <v>26</v>
      </c>
      <c r="F822" t="s">
        <v>18</v>
      </c>
      <c r="G822" s="1">
        <v>43980</v>
      </c>
      <c r="H822" s="1">
        <v>44135</v>
      </c>
      <c r="I822" t="s">
        <v>3131</v>
      </c>
      <c r="J822" t="s">
        <v>3132</v>
      </c>
      <c r="K822" t="s">
        <v>21</v>
      </c>
      <c r="L822" t="s">
        <v>60</v>
      </c>
      <c r="M822" t="s">
        <v>22</v>
      </c>
    </row>
    <row r="823" spans="1:13" x14ac:dyDescent="0.3">
      <c r="A823" t="s">
        <v>3133</v>
      </c>
      <c r="B823" t="s">
        <v>3134</v>
      </c>
      <c r="C823" t="s">
        <v>87</v>
      </c>
      <c r="D823" t="s">
        <v>16</v>
      </c>
      <c r="E823" t="s">
        <v>17</v>
      </c>
      <c r="F823" t="s">
        <v>18</v>
      </c>
      <c r="G823" s="1">
        <v>45164</v>
      </c>
      <c r="H823" s="1">
        <v>45375</v>
      </c>
      <c r="I823" t="s">
        <v>3135</v>
      </c>
      <c r="J823" t="s">
        <v>3065</v>
      </c>
      <c r="K823" t="s">
        <v>29</v>
      </c>
      <c r="L823" t="s">
        <v>91</v>
      </c>
      <c r="M823" t="s">
        <v>22</v>
      </c>
    </row>
    <row r="824" spans="1:13" x14ac:dyDescent="0.3">
      <c r="A824" t="s">
        <v>3136</v>
      </c>
      <c r="B824" t="s">
        <v>3137</v>
      </c>
      <c r="C824" t="s">
        <v>33</v>
      </c>
      <c r="D824" t="s">
        <v>16</v>
      </c>
      <c r="E824" t="s">
        <v>17</v>
      </c>
      <c r="F824" t="s">
        <v>18</v>
      </c>
      <c r="G824" s="1">
        <v>44026</v>
      </c>
      <c r="H824" s="1">
        <v>44291</v>
      </c>
      <c r="I824" t="s">
        <v>3138</v>
      </c>
      <c r="J824" t="s">
        <v>3139</v>
      </c>
      <c r="K824" t="s">
        <v>21</v>
      </c>
      <c r="L824" t="s">
        <v>30</v>
      </c>
      <c r="M824" t="s">
        <v>22</v>
      </c>
    </row>
    <row r="825" spans="1:13" x14ac:dyDescent="0.3">
      <c r="A825" t="s">
        <v>3140</v>
      </c>
      <c r="B825" t="s">
        <v>3141</v>
      </c>
      <c r="C825" t="s">
        <v>87</v>
      </c>
      <c r="D825" t="s">
        <v>77</v>
      </c>
      <c r="E825" t="s">
        <v>52</v>
      </c>
      <c r="F825" t="s">
        <v>18</v>
      </c>
      <c r="G825" s="1">
        <v>44017</v>
      </c>
      <c r="H825" s="1">
        <v>44145</v>
      </c>
      <c r="I825" t="s">
        <v>3142</v>
      </c>
      <c r="J825" t="s">
        <v>3143</v>
      </c>
      <c r="K825" t="s">
        <v>21</v>
      </c>
      <c r="L825" t="s">
        <v>91</v>
      </c>
      <c r="M825" t="s">
        <v>22</v>
      </c>
    </row>
    <row r="826" spans="1:13" x14ac:dyDescent="0.3">
      <c r="A826" t="s">
        <v>3144</v>
      </c>
      <c r="B826" t="s">
        <v>3145</v>
      </c>
      <c r="C826" t="s">
        <v>76</v>
      </c>
      <c r="D826" t="s">
        <v>67</v>
      </c>
      <c r="E826" t="s">
        <v>26</v>
      </c>
      <c r="F826" t="s">
        <v>18</v>
      </c>
      <c r="G826" s="1">
        <v>45474</v>
      </c>
      <c r="H826" s="1">
        <v>45636</v>
      </c>
      <c r="I826" t="s">
        <v>3146</v>
      </c>
      <c r="J826" t="s">
        <v>1611</v>
      </c>
      <c r="K826" t="s">
        <v>90</v>
      </c>
      <c r="M826" t="s">
        <v>22</v>
      </c>
    </row>
    <row r="827" spans="1:13" x14ac:dyDescent="0.3">
      <c r="A827" t="s">
        <v>3147</v>
      </c>
      <c r="B827" t="s">
        <v>3148</v>
      </c>
      <c r="C827" t="s">
        <v>46</v>
      </c>
      <c r="D827" t="s">
        <v>67</v>
      </c>
      <c r="E827" t="s">
        <v>26</v>
      </c>
      <c r="F827" t="s">
        <v>18</v>
      </c>
      <c r="G827" s="1">
        <v>44339</v>
      </c>
      <c r="H827" s="1">
        <v>44362</v>
      </c>
      <c r="I827" t="s">
        <v>3149</v>
      </c>
      <c r="J827" t="s">
        <v>3150</v>
      </c>
      <c r="K827" t="s">
        <v>29</v>
      </c>
      <c r="L827" t="s">
        <v>60</v>
      </c>
      <c r="M827" t="s">
        <v>22</v>
      </c>
    </row>
    <row r="828" spans="1:13" x14ac:dyDescent="0.3">
      <c r="A828" t="s">
        <v>828</v>
      </c>
      <c r="B828" t="s">
        <v>829</v>
      </c>
      <c r="C828" t="s">
        <v>87</v>
      </c>
      <c r="D828" t="s">
        <v>77</v>
      </c>
      <c r="E828" t="s">
        <v>52</v>
      </c>
      <c r="F828" t="s">
        <v>160</v>
      </c>
      <c r="G828" s="1">
        <v>45027</v>
      </c>
      <c r="H828" s="1">
        <v>45224</v>
      </c>
      <c r="I828" t="s">
        <v>830</v>
      </c>
      <c r="J828" t="s">
        <v>831</v>
      </c>
      <c r="K828" t="s">
        <v>90</v>
      </c>
      <c r="L828" t="s">
        <v>55</v>
      </c>
      <c r="M828" t="s">
        <v>22</v>
      </c>
    </row>
    <row r="829" spans="1:13" x14ac:dyDescent="0.3">
      <c r="A829" t="s">
        <v>3151</v>
      </c>
      <c r="B829" t="s">
        <v>3152</v>
      </c>
      <c r="C829" t="s">
        <v>33</v>
      </c>
      <c r="D829" t="s">
        <v>77</v>
      </c>
      <c r="E829" t="s">
        <v>52</v>
      </c>
      <c r="F829" t="s">
        <v>18</v>
      </c>
      <c r="G829" s="1">
        <v>44765</v>
      </c>
      <c r="H829" s="1">
        <v>45128</v>
      </c>
      <c r="I829" t="s">
        <v>3153</v>
      </c>
      <c r="J829" t="s">
        <v>3154</v>
      </c>
      <c r="K829" t="s">
        <v>37</v>
      </c>
      <c r="L829" t="s">
        <v>116</v>
      </c>
      <c r="M829" t="s">
        <v>22</v>
      </c>
    </row>
    <row r="830" spans="1:13" x14ac:dyDescent="0.3">
      <c r="A830" t="s">
        <v>3155</v>
      </c>
      <c r="B830" t="s">
        <v>3156</v>
      </c>
      <c r="C830" t="s">
        <v>40</v>
      </c>
      <c r="D830" t="s">
        <v>16</v>
      </c>
      <c r="E830" t="s">
        <v>17</v>
      </c>
      <c r="F830" t="s">
        <v>18</v>
      </c>
      <c r="G830" s="1">
        <v>44349</v>
      </c>
      <c r="H830" s="1">
        <v>44576</v>
      </c>
      <c r="I830" t="s">
        <v>3157</v>
      </c>
      <c r="J830" t="s">
        <v>3158</v>
      </c>
      <c r="K830" t="s">
        <v>29</v>
      </c>
      <c r="L830" t="s">
        <v>55</v>
      </c>
      <c r="M830" t="s">
        <v>22</v>
      </c>
    </row>
    <row r="831" spans="1:13" x14ac:dyDescent="0.3">
      <c r="A831" t="s">
        <v>3159</v>
      </c>
      <c r="B831" t="s">
        <v>3160</v>
      </c>
      <c r="C831" t="s">
        <v>87</v>
      </c>
      <c r="D831" t="s">
        <v>25</v>
      </c>
      <c r="E831" t="s">
        <v>26</v>
      </c>
      <c r="F831" t="s">
        <v>160</v>
      </c>
      <c r="G831" s="1">
        <v>44159</v>
      </c>
      <c r="H831" s="1">
        <v>44338</v>
      </c>
      <c r="I831" t="s">
        <v>3161</v>
      </c>
      <c r="J831" t="s">
        <v>3162</v>
      </c>
      <c r="K831" t="s">
        <v>37</v>
      </c>
      <c r="L831" t="s">
        <v>30</v>
      </c>
      <c r="M831" t="s">
        <v>22</v>
      </c>
    </row>
    <row r="832" spans="1:13" x14ac:dyDescent="0.3">
      <c r="A832" t="s">
        <v>3163</v>
      </c>
      <c r="B832" t="s">
        <v>3164</v>
      </c>
      <c r="C832" t="s">
        <v>33</v>
      </c>
      <c r="D832" t="s">
        <v>51</v>
      </c>
      <c r="E832" t="s">
        <v>52</v>
      </c>
      <c r="F832" t="s">
        <v>18</v>
      </c>
      <c r="G832" s="1">
        <v>45597</v>
      </c>
      <c r="H832" s="1">
        <v>45902</v>
      </c>
      <c r="I832" t="s">
        <v>3165</v>
      </c>
      <c r="J832" t="s">
        <v>3166</v>
      </c>
      <c r="K832" t="s">
        <v>21</v>
      </c>
      <c r="M832" t="s">
        <v>22</v>
      </c>
    </row>
    <row r="833" spans="1:13" x14ac:dyDescent="0.3">
      <c r="A833" t="s">
        <v>3167</v>
      </c>
      <c r="B833" t="s">
        <v>3168</v>
      </c>
      <c r="C833" t="s">
        <v>15</v>
      </c>
      <c r="D833" t="s">
        <v>41</v>
      </c>
      <c r="E833" t="s">
        <v>17</v>
      </c>
      <c r="F833" t="s">
        <v>160</v>
      </c>
      <c r="G833" s="1">
        <v>45345</v>
      </c>
      <c r="H833" s="1">
        <v>45693</v>
      </c>
      <c r="I833" t="s">
        <v>3169</v>
      </c>
      <c r="J833" t="s">
        <v>3170</v>
      </c>
      <c r="K833" t="s">
        <v>21</v>
      </c>
      <c r="L833" t="s">
        <v>60</v>
      </c>
      <c r="M833" t="s">
        <v>22</v>
      </c>
    </row>
    <row r="834" spans="1:13" x14ac:dyDescent="0.3">
      <c r="A834" t="s">
        <v>3171</v>
      </c>
      <c r="B834" t="s">
        <v>3172</v>
      </c>
      <c r="C834" t="s">
        <v>181</v>
      </c>
      <c r="D834" t="s">
        <v>67</v>
      </c>
      <c r="E834" t="s">
        <v>26</v>
      </c>
      <c r="F834" t="s">
        <v>18</v>
      </c>
      <c r="G834" s="1">
        <v>44161</v>
      </c>
      <c r="H834" s="1">
        <v>44498</v>
      </c>
      <c r="I834" t="s">
        <v>3173</v>
      </c>
      <c r="J834" t="s">
        <v>3174</v>
      </c>
      <c r="K834" t="s">
        <v>29</v>
      </c>
      <c r="L834" t="s">
        <v>60</v>
      </c>
      <c r="M834" t="s">
        <v>22</v>
      </c>
    </row>
    <row r="835" spans="1:13" x14ac:dyDescent="0.3">
      <c r="A835" t="s">
        <v>3175</v>
      </c>
      <c r="B835" t="s">
        <v>3176</v>
      </c>
      <c r="C835" t="s">
        <v>76</v>
      </c>
      <c r="D835" t="s">
        <v>34</v>
      </c>
      <c r="E835" t="s">
        <v>26</v>
      </c>
      <c r="F835" t="s">
        <v>18</v>
      </c>
      <c r="G835" s="1">
        <v>44581</v>
      </c>
      <c r="H835" s="1">
        <v>44725</v>
      </c>
      <c r="I835" t="s">
        <v>3177</v>
      </c>
      <c r="J835" t="s">
        <v>3178</v>
      </c>
      <c r="K835" t="s">
        <v>29</v>
      </c>
      <c r="L835" t="s">
        <v>55</v>
      </c>
      <c r="M835" t="s">
        <v>22</v>
      </c>
    </row>
    <row r="836" spans="1:13" x14ac:dyDescent="0.3">
      <c r="A836" t="s">
        <v>3179</v>
      </c>
      <c r="B836" t="s">
        <v>3180</v>
      </c>
      <c r="C836" t="s">
        <v>15</v>
      </c>
      <c r="D836" t="s">
        <v>51</v>
      </c>
      <c r="E836" t="s">
        <v>52</v>
      </c>
      <c r="F836" t="s">
        <v>18</v>
      </c>
      <c r="G836" s="1">
        <v>44186</v>
      </c>
      <c r="H836" s="1">
        <v>44515</v>
      </c>
      <c r="I836" t="s">
        <v>3181</v>
      </c>
      <c r="J836" t="s">
        <v>3182</v>
      </c>
      <c r="K836" t="s">
        <v>90</v>
      </c>
      <c r="L836" t="s">
        <v>60</v>
      </c>
      <c r="M836" t="s">
        <v>22</v>
      </c>
    </row>
    <row r="837" spans="1:13" x14ac:dyDescent="0.3">
      <c r="A837" t="s">
        <v>3183</v>
      </c>
      <c r="B837" t="s">
        <v>3184</v>
      </c>
      <c r="C837" t="s">
        <v>40</v>
      </c>
      <c r="D837" t="s">
        <v>77</v>
      </c>
      <c r="E837" t="s">
        <v>52</v>
      </c>
      <c r="F837" t="s">
        <v>160</v>
      </c>
      <c r="G837" s="1">
        <v>45503</v>
      </c>
      <c r="H837" s="1">
        <v>45514</v>
      </c>
      <c r="I837" t="s">
        <v>3185</v>
      </c>
      <c r="J837" t="s">
        <v>3186</v>
      </c>
      <c r="K837" t="s">
        <v>21</v>
      </c>
      <c r="L837" t="s">
        <v>55</v>
      </c>
      <c r="M837" t="s">
        <v>22</v>
      </c>
    </row>
    <row r="838" spans="1:13" x14ac:dyDescent="0.3">
      <c r="A838" t="s">
        <v>3187</v>
      </c>
      <c r="B838" t="s">
        <v>3188</v>
      </c>
      <c r="C838" t="s">
        <v>15</v>
      </c>
      <c r="D838" t="s">
        <v>77</v>
      </c>
      <c r="E838" t="s">
        <v>52</v>
      </c>
      <c r="F838" t="s">
        <v>160</v>
      </c>
      <c r="G838" s="1">
        <v>43573</v>
      </c>
      <c r="H838" s="1">
        <v>43884</v>
      </c>
      <c r="I838" t="s">
        <v>3189</v>
      </c>
      <c r="J838" t="s">
        <v>3190</v>
      </c>
      <c r="K838" t="s">
        <v>37</v>
      </c>
      <c r="L838" t="s">
        <v>116</v>
      </c>
      <c r="M838" t="s">
        <v>22</v>
      </c>
    </row>
    <row r="839" spans="1:13" x14ac:dyDescent="0.3">
      <c r="A839" t="s">
        <v>3191</v>
      </c>
      <c r="B839" t="s">
        <v>3192</v>
      </c>
      <c r="C839" t="s">
        <v>40</v>
      </c>
      <c r="D839" t="s">
        <v>25</v>
      </c>
      <c r="E839" t="s">
        <v>26</v>
      </c>
      <c r="F839" t="s">
        <v>151</v>
      </c>
      <c r="G839" s="1">
        <v>44474</v>
      </c>
      <c r="H839" s="1">
        <v>44770</v>
      </c>
      <c r="I839" t="s">
        <v>3193</v>
      </c>
      <c r="J839" t="s">
        <v>3194</v>
      </c>
      <c r="K839" t="s">
        <v>90</v>
      </c>
      <c r="L839" t="s">
        <v>30</v>
      </c>
      <c r="M839" t="s">
        <v>22</v>
      </c>
    </row>
    <row r="840" spans="1:13" x14ac:dyDescent="0.3">
      <c r="A840" t="s">
        <v>3195</v>
      </c>
      <c r="B840" t="s">
        <v>3196</v>
      </c>
      <c r="C840" t="s">
        <v>46</v>
      </c>
      <c r="D840" t="s">
        <v>67</v>
      </c>
      <c r="E840" t="s">
        <v>26</v>
      </c>
      <c r="F840" t="s">
        <v>18</v>
      </c>
      <c r="G840" s="1">
        <v>43833</v>
      </c>
      <c r="H840" s="1">
        <v>44035</v>
      </c>
      <c r="I840" t="s">
        <v>3197</v>
      </c>
      <c r="J840" t="s">
        <v>3198</v>
      </c>
      <c r="K840" t="s">
        <v>29</v>
      </c>
      <c r="L840" t="s">
        <v>30</v>
      </c>
      <c r="M840" t="s">
        <v>22</v>
      </c>
    </row>
    <row r="841" spans="1:13" x14ac:dyDescent="0.3">
      <c r="A841" t="s">
        <v>3199</v>
      </c>
      <c r="B841" t="s">
        <v>3200</v>
      </c>
      <c r="C841" t="s">
        <v>181</v>
      </c>
      <c r="D841" t="s">
        <v>51</v>
      </c>
      <c r="E841" t="s">
        <v>52</v>
      </c>
      <c r="F841" t="s">
        <v>160</v>
      </c>
      <c r="G841" s="1">
        <v>45275</v>
      </c>
      <c r="H841" s="1">
        <v>45334</v>
      </c>
      <c r="I841" t="s">
        <v>3201</v>
      </c>
      <c r="J841" t="s">
        <v>3202</v>
      </c>
      <c r="K841" t="s">
        <v>90</v>
      </c>
      <c r="L841" t="s">
        <v>91</v>
      </c>
      <c r="M841" t="s">
        <v>22</v>
      </c>
    </row>
    <row r="842" spans="1:13" x14ac:dyDescent="0.3">
      <c r="A842" t="s">
        <v>3203</v>
      </c>
      <c r="B842" t="s">
        <v>3204</v>
      </c>
      <c r="C842" t="s">
        <v>46</v>
      </c>
      <c r="D842" t="s">
        <v>25</v>
      </c>
      <c r="E842" t="s">
        <v>26</v>
      </c>
      <c r="F842" t="s">
        <v>18</v>
      </c>
      <c r="G842" s="1">
        <v>44307</v>
      </c>
      <c r="H842" s="1">
        <v>44659</v>
      </c>
      <c r="I842" t="s">
        <v>3205</v>
      </c>
      <c r="J842" t="s">
        <v>3206</v>
      </c>
      <c r="K842" t="s">
        <v>29</v>
      </c>
      <c r="L842" t="s">
        <v>60</v>
      </c>
      <c r="M842" t="s">
        <v>22</v>
      </c>
    </row>
    <row r="843" spans="1:13" x14ac:dyDescent="0.3">
      <c r="A843" t="s">
        <v>3207</v>
      </c>
      <c r="B843" t="s">
        <v>3208</v>
      </c>
      <c r="C843" t="s">
        <v>46</v>
      </c>
      <c r="D843" t="s">
        <v>77</v>
      </c>
      <c r="E843" t="s">
        <v>52</v>
      </c>
      <c r="F843" t="s">
        <v>18</v>
      </c>
      <c r="G843" s="1">
        <v>44888</v>
      </c>
      <c r="H843" s="1">
        <v>44927</v>
      </c>
      <c r="I843" t="s">
        <v>3209</v>
      </c>
      <c r="J843" t="s">
        <v>3210</v>
      </c>
      <c r="K843" t="s">
        <v>29</v>
      </c>
      <c r="L843" t="s">
        <v>30</v>
      </c>
      <c r="M843" t="s">
        <v>22</v>
      </c>
    </row>
    <row r="844" spans="1:13" x14ac:dyDescent="0.3">
      <c r="A844" t="s">
        <v>3211</v>
      </c>
      <c r="B844" t="s">
        <v>3212</v>
      </c>
      <c r="C844" t="s">
        <v>181</v>
      </c>
      <c r="D844" t="s">
        <v>67</v>
      </c>
      <c r="E844" t="s">
        <v>26</v>
      </c>
      <c r="F844" t="s">
        <v>18</v>
      </c>
      <c r="G844" s="1">
        <v>43876</v>
      </c>
      <c r="H844" s="1">
        <v>43930</v>
      </c>
      <c r="I844" t="s">
        <v>3213</v>
      </c>
      <c r="J844" t="s">
        <v>952</v>
      </c>
      <c r="K844" t="s">
        <v>29</v>
      </c>
      <c r="L844" t="s">
        <v>91</v>
      </c>
      <c r="M844" t="s">
        <v>22</v>
      </c>
    </row>
    <row r="845" spans="1:13" x14ac:dyDescent="0.3">
      <c r="A845" t="s">
        <v>3214</v>
      </c>
      <c r="B845" t="s">
        <v>184</v>
      </c>
      <c r="C845" t="s">
        <v>76</v>
      </c>
      <c r="D845" t="s">
        <v>67</v>
      </c>
      <c r="E845" t="s">
        <v>26</v>
      </c>
      <c r="F845" t="s">
        <v>18</v>
      </c>
      <c r="G845" s="1">
        <v>44231</v>
      </c>
      <c r="H845" s="1">
        <v>44418</v>
      </c>
      <c r="I845" t="s">
        <v>3215</v>
      </c>
      <c r="J845" t="s">
        <v>3216</v>
      </c>
      <c r="K845" t="s">
        <v>21</v>
      </c>
      <c r="L845" t="s">
        <v>60</v>
      </c>
      <c r="M845" t="s">
        <v>22</v>
      </c>
    </row>
    <row r="846" spans="1:13" x14ac:dyDescent="0.3">
      <c r="A846" t="s">
        <v>3217</v>
      </c>
      <c r="B846" t="s">
        <v>3218</v>
      </c>
      <c r="C846" t="s">
        <v>181</v>
      </c>
      <c r="D846" t="s">
        <v>25</v>
      </c>
      <c r="E846" t="s">
        <v>26</v>
      </c>
      <c r="F846" t="s">
        <v>18</v>
      </c>
      <c r="G846" s="1">
        <v>45335</v>
      </c>
      <c r="H846" s="1">
        <v>45474</v>
      </c>
      <c r="I846" t="s">
        <v>3219</v>
      </c>
      <c r="J846" t="s">
        <v>3220</v>
      </c>
      <c r="K846" t="s">
        <v>21</v>
      </c>
      <c r="M846" t="s">
        <v>22</v>
      </c>
    </row>
    <row r="847" spans="1:13" x14ac:dyDescent="0.3">
      <c r="A847" t="s">
        <v>3221</v>
      </c>
      <c r="B847" t="s">
        <v>3222</v>
      </c>
      <c r="C847" t="s">
        <v>15</v>
      </c>
      <c r="D847" t="s">
        <v>77</v>
      </c>
      <c r="E847" t="s">
        <v>52</v>
      </c>
      <c r="F847" t="s">
        <v>18</v>
      </c>
      <c r="G847" s="1">
        <v>44936</v>
      </c>
      <c r="H847" s="1">
        <v>45106</v>
      </c>
      <c r="I847" t="s">
        <v>3223</v>
      </c>
      <c r="J847" t="s">
        <v>2770</v>
      </c>
      <c r="K847" t="s">
        <v>90</v>
      </c>
      <c r="M847" t="s">
        <v>22</v>
      </c>
    </row>
    <row r="848" spans="1:13" x14ac:dyDescent="0.3">
      <c r="A848" t="s">
        <v>3224</v>
      </c>
      <c r="B848" t="s">
        <v>2985</v>
      </c>
      <c r="C848" t="s">
        <v>33</v>
      </c>
      <c r="D848" t="s">
        <v>34</v>
      </c>
      <c r="E848" t="s">
        <v>26</v>
      </c>
      <c r="F848" t="s">
        <v>18</v>
      </c>
      <c r="G848" s="1">
        <v>45301</v>
      </c>
      <c r="H848" s="1">
        <v>45391</v>
      </c>
      <c r="I848" t="s">
        <v>3225</v>
      </c>
      <c r="J848" t="s">
        <v>3226</v>
      </c>
      <c r="K848" t="s">
        <v>29</v>
      </c>
      <c r="L848" t="s">
        <v>91</v>
      </c>
      <c r="M848" t="s">
        <v>22</v>
      </c>
    </row>
    <row r="849" spans="1:13" x14ac:dyDescent="0.3">
      <c r="A849" t="s">
        <v>3227</v>
      </c>
      <c r="B849" t="s">
        <v>3228</v>
      </c>
      <c r="C849" t="s">
        <v>15</v>
      </c>
      <c r="D849" t="s">
        <v>41</v>
      </c>
      <c r="E849" t="s">
        <v>17</v>
      </c>
      <c r="F849" t="s">
        <v>18</v>
      </c>
      <c r="G849" s="1">
        <v>45265</v>
      </c>
      <c r="H849" s="1">
        <v>45580</v>
      </c>
      <c r="I849" t="s">
        <v>3229</v>
      </c>
      <c r="J849" t="s">
        <v>3230</v>
      </c>
      <c r="K849" t="s">
        <v>21</v>
      </c>
      <c r="L849" t="s">
        <v>55</v>
      </c>
      <c r="M849" t="s">
        <v>22</v>
      </c>
    </row>
    <row r="850" spans="1:13" x14ac:dyDescent="0.3">
      <c r="A850" t="s">
        <v>3231</v>
      </c>
      <c r="B850" t="s">
        <v>2364</v>
      </c>
      <c r="C850" t="s">
        <v>181</v>
      </c>
      <c r="D850" t="s">
        <v>25</v>
      </c>
      <c r="E850" t="s">
        <v>26</v>
      </c>
      <c r="F850" t="s">
        <v>151</v>
      </c>
      <c r="G850" s="1">
        <v>45102</v>
      </c>
      <c r="H850" s="1">
        <v>45282</v>
      </c>
      <c r="I850" t="s">
        <v>3232</v>
      </c>
      <c r="J850" t="s">
        <v>2416</v>
      </c>
      <c r="K850" t="s">
        <v>37</v>
      </c>
      <c r="L850" t="s">
        <v>91</v>
      </c>
      <c r="M850" t="s">
        <v>22</v>
      </c>
    </row>
    <row r="851" spans="1:13" x14ac:dyDescent="0.3">
      <c r="A851" t="s">
        <v>3233</v>
      </c>
      <c r="B851" t="s">
        <v>3234</v>
      </c>
      <c r="C851" t="s">
        <v>40</v>
      </c>
      <c r="D851" t="s">
        <v>34</v>
      </c>
      <c r="E851" t="s">
        <v>26</v>
      </c>
      <c r="F851" t="s">
        <v>18</v>
      </c>
      <c r="G851" s="1">
        <v>45276</v>
      </c>
      <c r="H851" s="1">
        <v>45488</v>
      </c>
      <c r="I851" t="s">
        <v>3235</v>
      </c>
      <c r="J851" t="s">
        <v>3236</v>
      </c>
      <c r="K851" t="s">
        <v>90</v>
      </c>
      <c r="L851" t="s">
        <v>116</v>
      </c>
      <c r="M851" t="s">
        <v>22</v>
      </c>
    </row>
    <row r="852" spans="1:13" x14ac:dyDescent="0.3">
      <c r="A852" t="s">
        <v>3237</v>
      </c>
      <c r="B852" t="s">
        <v>3238</v>
      </c>
      <c r="C852" t="s">
        <v>76</v>
      </c>
      <c r="D852" t="s">
        <v>67</v>
      </c>
      <c r="E852" t="s">
        <v>26</v>
      </c>
      <c r="F852" t="s">
        <v>18</v>
      </c>
      <c r="G852" s="1">
        <v>43983</v>
      </c>
      <c r="H852" s="1">
        <v>44225</v>
      </c>
      <c r="I852" t="s">
        <v>3239</v>
      </c>
      <c r="J852" t="s">
        <v>3240</v>
      </c>
      <c r="K852" t="s">
        <v>21</v>
      </c>
      <c r="M852" t="s">
        <v>22</v>
      </c>
    </row>
    <row r="853" spans="1:13" x14ac:dyDescent="0.3">
      <c r="A853" t="s">
        <v>3241</v>
      </c>
      <c r="B853" t="s">
        <v>3242</v>
      </c>
      <c r="C853" t="s">
        <v>76</v>
      </c>
      <c r="D853" t="s">
        <v>34</v>
      </c>
      <c r="E853" t="s">
        <v>26</v>
      </c>
      <c r="F853" t="s">
        <v>18</v>
      </c>
      <c r="G853" s="1">
        <v>44145</v>
      </c>
      <c r="H853" s="1">
        <v>44408</v>
      </c>
      <c r="I853" t="s">
        <v>3243</v>
      </c>
      <c r="J853" t="s">
        <v>3244</v>
      </c>
      <c r="K853" t="s">
        <v>37</v>
      </c>
      <c r="L853" t="s">
        <v>55</v>
      </c>
      <c r="M853" t="s">
        <v>22</v>
      </c>
    </row>
    <row r="854" spans="1:13" x14ac:dyDescent="0.3">
      <c r="A854" t="s">
        <v>3245</v>
      </c>
      <c r="B854" t="s">
        <v>3246</v>
      </c>
      <c r="C854" t="s">
        <v>40</v>
      </c>
      <c r="D854" t="s">
        <v>16</v>
      </c>
      <c r="E854" t="s">
        <v>17</v>
      </c>
      <c r="F854" t="s">
        <v>18</v>
      </c>
      <c r="G854" s="1">
        <v>45209</v>
      </c>
      <c r="H854" s="1">
        <v>45528</v>
      </c>
      <c r="I854" t="s">
        <v>3247</v>
      </c>
      <c r="J854" t="s">
        <v>3248</v>
      </c>
      <c r="K854" t="s">
        <v>21</v>
      </c>
      <c r="L854" t="s">
        <v>91</v>
      </c>
      <c r="M854" t="s">
        <v>22</v>
      </c>
    </row>
    <row r="855" spans="1:13" x14ac:dyDescent="0.3">
      <c r="A855" t="s">
        <v>3249</v>
      </c>
      <c r="B855" t="s">
        <v>3250</v>
      </c>
      <c r="C855" t="s">
        <v>40</v>
      </c>
      <c r="D855" t="s">
        <v>25</v>
      </c>
      <c r="E855" t="s">
        <v>26</v>
      </c>
      <c r="F855" t="s">
        <v>554</v>
      </c>
      <c r="G855" s="1">
        <v>43934</v>
      </c>
      <c r="H855" s="1">
        <v>44269</v>
      </c>
      <c r="I855" t="s">
        <v>3251</v>
      </c>
      <c r="J855" t="s">
        <v>3252</v>
      </c>
      <c r="K855" t="s">
        <v>21</v>
      </c>
      <c r="L855" t="s">
        <v>30</v>
      </c>
      <c r="M855" t="s">
        <v>22</v>
      </c>
    </row>
    <row r="856" spans="1:13" x14ac:dyDescent="0.3">
      <c r="A856" t="s">
        <v>2320</v>
      </c>
      <c r="C856" t="s">
        <v>87</v>
      </c>
      <c r="D856" t="s">
        <v>34</v>
      </c>
      <c r="E856" t="s">
        <v>26</v>
      </c>
      <c r="F856" t="s">
        <v>151</v>
      </c>
      <c r="G856" s="1">
        <v>45445</v>
      </c>
      <c r="H856" s="1">
        <v>45782</v>
      </c>
      <c r="I856" t="s">
        <v>2322</v>
      </c>
      <c r="J856" t="s">
        <v>2323</v>
      </c>
      <c r="K856" t="s">
        <v>90</v>
      </c>
      <c r="L856" t="s">
        <v>91</v>
      </c>
      <c r="M856" t="s">
        <v>22</v>
      </c>
    </row>
    <row r="857" spans="1:13" x14ac:dyDescent="0.3">
      <c r="A857" t="s">
        <v>3253</v>
      </c>
      <c r="B857" t="s">
        <v>3254</v>
      </c>
      <c r="C857" t="s">
        <v>76</v>
      </c>
      <c r="D857" t="s">
        <v>77</v>
      </c>
      <c r="E857" t="s">
        <v>52</v>
      </c>
      <c r="F857" t="s">
        <v>18</v>
      </c>
      <c r="G857" s="1">
        <v>45365</v>
      </c>
      <c r="H857" s="1">
        <v>45688</v>
      </c>
      <c r="I857" t="s">
        <v>3255</v>
      </c>
      <c r="J857" t="s">
        <v>3256</v>
      </c>
      <c r="K857" t="s">
        <v>29</v>
      </c>
      <c r="L857" t="s">
        <v>30</v>
      </c>
      <c r="M857" t="s">
        <v>22</v>
      </c>
    </row>
    <row r="858" spans="1:13" x14ac:dyDescent="0.3">
      <c r="A858" t="s">
        <v>3257</v>
      </c>
      <c r="B858" t="s">
        <v>3258</v>
      </c>
      <c r="C858" t="s">
        <v>76</v>
      </c>
      <c r="D858" t="s">
        <v>25</v>
      </c>
      <c r="E858" t="s">
        <v>26</v>
      </c>
      <c r="F858" t="s">
        <v>18</v>
      </c>
      <c r="G858" s="1">
        <v>44534</v>
      </c>
      <c r="H858" s="1">
        <v>44716</v>
      </c>
      <c r="I858" t="s">
        <v>3259</v>
      </c>
      <c r="J858" t="s">
        <v>3260</v>
      </c>
      <c r="K858" t="s">
        <v>90</v>
      </c>
      <c r="L858" t="s">
        <v>60</v>
      </c>
      <c r="M858" t="s">
        <v>22</v>
      </c>
    </row>
    <row r="859" spans="1:13" x14ac:dyDescent="0.3">
      <c r="A859" t="s">
        <v>3261</v>
      </c>
      <c r="B859" t="s">
        <v>3262</v>
      </c>
      <c r="C859" t="s">
        <v>76</v>
      </c>
      <c r="D859" t="s">
        <v>51</v>
      </c>
      <c r="E859" t="s">
        <v>26</v>
      </c>
      <c r="F859" t="s">
        <v>18</v>
      </c>
      <c r="G859" s="1">
        <v>43896</v>
      </c>
      <c r="H859" s="1">
        <v>44154</v>
      </c>
      <c r="I859" t="s">
        <v>3263</v>
      </c>
      <c r="J859" t="s">
        <v>3264</v>
      </c>
      <c r="K859" t="s">
        <v>21</v>
      </c>
      <c r="L859" t="s">
        <v>55</v>
      </c>
      <c r="M859" t="s">
        <v>22</v>
      </c>
    </row>
    <row r="860" spans="1:13" x14ac:dyDescent="0.3">
      <c r="A860" t="s">
        <v>2230</v>
      </c>
      <c r="B860" t="s">
        <v>2231</v>
      </c>
      <c r="C860" t="s">
        <v>40</v>
      </c>
      <c r="D860" t="s">
        <v>77</v>
      </c>
      <c r="E860" t="s">
        <v>52</v>
      </c>
      <c r="F860" t="s">
        <v>151</v>
      </c>
      <c r="G860" s="1">
        <v>44278</v>
      </c>
      <c r="H860" s="1">
        <v>44316</v>
      </c>
      <c r="I860" t="s">
        <v>2232</v>
      </c>
      <c r="J860" t="s">
        <v>2233</v>
      </c>
      <c r="K860" t="s">
        <v>90</v>
      </c>
      <c r="M860" t="s">
        <v>22</v>
      </c>
    </row>
    <row r="861" spans="1:13" x14ac:dyDescent="0.3">
      <c r="A861" t="s">
        <v>3265</v>
      </c>
      <c r="B861" t="s">
        <v>3266</v>
      </c>
      <c r="C861" t="s">
        <v>87</v>
      </c>
      <c r="D861" t="s">
        <v>77</v>
      </c>
      <c r="E861" t="s">
        <v>17</v>
      </c>
      <c r="F861" t="s">
        <v>18</v>
      </c>
      <c r="G861" s="1">
        <v>44569</v>
      </c>
      <c r="H861" s="1">
        <v>44873</v>
      </c>
      <c r="I861" t="s">
        <v>3267</v>
      </c>
      <c r="J861" t="s">
        <v>3268</v>
      </c>
      <c r="K861" t="s">
        <v>90</v>
      </c>
      <c r="M861" t="s">
        <v>22</v>
      </c>
    </row>
    <row r="862" spans="1:13" x14ac:dyDescent="0.3">
      <c r="A862" t="s">
        <v>391</v>
      </c>
      <c r="B862" t="s">
        <v>392</v>
      </c>
      <c r="C862" t="s">
        <v>76</v>
      </c>
      <c r="D862" t="s">
        <v>25</v>
      </c>
      <c r="E862" t="s">
        <v>26</v>
      </c>
      <c r="F862" t="s">
        <v>151</v>
      </c>
      <c r="G862" s="1">
        <v>44725</v>
      </c>
      <c r="H862" s="1">
        <v>44847</v>
      </c>
      <c r="I862" t="s">
        <v>393</v>
      </c>
      <c r="J862" t="s">
        <v>394</v>
      </c>
      <c r="K862" t="s">
        <v>90</v>
      </c>
      <c r="L862" t="s">
        <v>60</v>
      </c>
      <c r="M862" t="s">
        <v>22</v>
      </c>
    </row>
    <row r="863" spans="1:13" x14ac:dyDescent="0.3">
      <c r="A863" t="s">
        <v>3269</v>
      </c>
      <c r="B863" t="s">
        <v>3270</v>
      </c>
      <c r="C863" t="s">
        <v>87</v>
      </c>
      <c r="D863" t="s">
        <v>77</v>
      </c>
      <c r="E863" t="s">
        <v>17</v>
      </c>
      <c r="F863" t="s">
        <v>18</v>
      </c>
      <c r="G863" s="1">
        <v>43813</v>
      </c>
      <c r="H863" s="1">
        <v>43971</v>
      </c>
      <c r="I863" t="s">
        <v>3271</v>
      </c>
      <c r="J863" t="s">
        <v>3272</v>
      </c>
      <c r="K863" t="s">
        <v>29</v>
      </c>
      <c r="L863" t="s">
        <v>55</v>
      </c>
      <c r="M863" t="s">
        <v>22</v>
      </c>
    </row>
    <row r="864" spans="1:13" x14ac:dyDescent="0.3">
      <c r="A864" t="s">
        <v>3273</v>
      </c>
      <c r="B864" t="s">
        <v>3274</v>
      </c>
      <c r="C864" t="s">
        <v>40</v>
      </c>
      <c r="D864" t="s">
        <v>51</v>
      </c>
      <c r="E864" t="s">
        <v>52</v>
      </c>
      <c r="F864" t="s">
        <v>18</v>
      </c>
      <c r="G864" s="1">
        <v>43750</v>
      </c>
      <c r="H864" s="1">
        <v>43892</v>
      </c>
      <c r="I864" t="s">
        <v>3275</v>
      </c>
      <c r="J864" t="s">
        <v>3276</v>
      </c>
      <c r="K864" t="s">
        <v>21</v>
      </c>
      <c r="M864" t="s">
        <v>22</v>
      </c>
    </row>
    <row r="865" spans="1:13" x14ac:dyDescent="0.3">
      <c r="A865" t="s">
        <v>3277</v>
      </c>
      <c r="B865" t="s">
        <v>3278</v>
      </c>
      <c r="C865" t="s">
        <v>15</v>
      </c>
      <c r="D865" t="s">
        <v>34</v>
      </c>
      <c r="E865" t="s">
        <v>26</v>
      </c>
      <c r="F865" t="s">
        <v>18</v>
      </c>
      <c r="G865" s="1">
        <v>44031</v>
      </c>
      <c r="H865" s="1">
        <v>44368</v>
      </c>
      <c r="I865" t="s">
        <v>3279</v>
      </c>
      <c r="K865" t="s">
        <v>21</v>
      </c>
      <c r="M865" t="s">
        <v>22</v>
      </c>
    </row>
    <row r="866" spans="1:13" x14ac:dyDescent="0.3">
      <c r="A866" t="s">
        <v>3280</v>
      </c>
      <c r="B866" t="s">
        <v>3126</v>
      </c>
      <c r="C866" t="s">
        <v>40</v>
      </c>
      <c r="D866" t="s">
        <v>51</v>
      </c>
      <c r="E866" t="s">
        <v>52</v>
      </c>
      <c r="F866" t="s">
        <v>18</v>
      </c>
      <c r="G866" s="1">
        <v>45454</v>
      </c>
      <c r="H866" s="1">
        <v>45746</v>
      </c>
      <c r="I866" t="s">
        <v>3281</v>
      </c>
      <c r="J866" t="s">
        <v>3282</v>
      </c>
      <c r="K866" t="s">
        <v>90</v>
      </c>
      <c r="L866" t="s">
        <v>55</v>
      </c>
      <c r="M866" t="s">
        <v>22</v>
      </c>
    </row>
    <row r="867" spans="1:13" x14ac:dyDescent="0.3">
      <c r="A867" t="s">
        <v>3283</v>
      </c>
      <c r="B867" t="s">
        <v>3284</v>
      </c>
      <c r="C867" t="s">
        <v>87</v>
      </c>
      <c r="D867" t="s">
        <v>34</v>
      </c>
      <c r="E867" t="s">
        <v>26</v>
      </c>
      <c r="F867" t="s">
        <v>151</v>
      </c>
      <c r="G867" s="1">
        <v>44179</v>
      </c>
      <c r="H867" s="1">
        <v>44364</v>
      </c>
      <c r="I867" t="s">
        <v>3285</v>
      </c>
      <c r="J867" t="s">
        <v>3286</v>
      </c>
      <c r="K867" t="s">
        <v>90</v>
      </c>
      <c r="L867" t="s">
        <v>55</v>
      </c>
      <c r="M867" t="s">
        <v>22</v>
      </c>
    </row>
    <row r="868" spans="1:13" x14ac:dyDescent="0.3">
      <c r="A868" t="s">
        <v>3287</v>
      </c>
      <c r="B868" t="s">
        <v>3288</v>
      </c>
      <c r="C868" t="s">
        <v>181</v>
      </c>
      <c r="D868" t="s">
        <v>67</v>
      </c>
      <c r="E868" t="s">
        <v>26</v>
      </c>
      <c r="F868" t="s">
        <v>18</v>
      </c>
      <c r="G868" s="1">
        <v>44544</v>
      </c>
      <c r="H868" s="1">
        <v>44797</v>
      </c>
      <c r="I868" t="s">
        <v>3289</v>
      </c>
      <c r="J868" t="s">
        <v>3290</v>
      </c>
      <c r="K868" t="s">
        <v>29</v>
      </c>
      <c r="L868" t="s">
        <v>116</v>
      </c>
      <c r="M868" t="s">
        <v>22</v>
      </c>
    </row>
    <row r="869" spans="1:13" x14ac:dyDescent="0.3">
      <c r="A869" t="s">
        <v>3291</v>
      </c>
      <c r="B869" t="s">
        <v>3292</v>
      </c>
      <c r="C869" t="s">
        <v>46</v>
      </c>
      <c r="D869" t="s">
        <v>51</v>
      </c>
      <c r="E869" t="s">
        <v>52</v>
      </c>
      <c r="F869" t="s">
        <v>151</v>
      </c>
      <c r="G869" s="1">
        <v>44578</v>
      </c>
      <c r="H869" s="1">
        <v>44648</v>
      </c>
      <c r="I869" t="s">
        <v>3293</v>
      </c>
      <c r="J869" t="s">
        <v>1784</v>
      </c>
      <c r="K869" t="s">
        <v>37</v>
      </c>
      <c r="L869" t="s">
        <v>60</v>
      </c>
      <c r="M869" t="s">
        <v>22</v>
      </c>
    </row>
    <row r="870" spans="1:13" x14ac:dyDescent="0.3">
      <c r="A870" t="s">
        <v>3294</v>
      </c>
      <c r="B870" t="s">
        <v>3295</v>
      </c>
      <c r="C870" t="s">
        <v>87</v>
      </c>
      <c r="D870" t="s">
        <v>41</v>
      </c>
      <c r="E870" t="s">
        <v>17</v>
      </c>
      <c r="F870" t="s">
        <v>18</v>
      </c>
      <c r="G870" s="1">
        <v>44285</v>
      </c>
      <c r="H870" s="1">
        <v>44606</v>
      </c>
      <c r="I870" t="s">
        <v>3296</v>
      </c>
      <c r="J870" t="s">
        <v>1103</v>
      </c>
      <c r="K870" t="s">
        <v>90</v>
      </c>
      <c r="L870" t="s">
        <v>60</v>
      </c>
      <c r="M870" t="s">
        <v>22</v>
      </c>
    </row>
    <row r="871" spans="1:13" x14ac:dyDescent="0.3">
      <c r="A871" t="s">
        <v>3297</v>
      </c>
      <c r="B871" t="s">
        <v>3298</v>
      </c>
      <c r="C871" t="s">
        <v>46</v>
      </c>
      <c r="D871" t="s">
        <v>77</v>
      </c>
      <c r="E871" t="s">
        <v>52</v>
      </c>
      <c r="F871" t="s">
        <v>160</v>
      </c>
      <c r="G871" s="1">
        <v>45292</v>
      </c>
      <c r="H871" s="1">
        <v>45373</v>
      </c>
      <c r="I871" t="s">
        <v>3299</v>
      </c>
      <c r="J871" t="s">
        <v>3300</v>
      </c>
      <c r="K871" t="s">
        <v>29</v>
      </c>
      <c r="L871" t="s">
        <v>55</v>
      </c>
      <c r="M871" t="s">
        <v>22</v>
      </c>
    </row>
    <row r="872" spans="1:13" x14ac:dyDescent="0.3">
      <c r="A872" t="s">
        <v>3301</v>
      </c>
      <c r="B872" t="s">
        <v>3302</v>
      </c>
      <c r="C872" t="s">
        <v>76</v>
      </c>
      <c r="D872" t="s">
        <v>67</v>
      </c>
      <c r="E872" t="s">
        <v>26</v>
      </c>
      <c r="F872" t="s">
        <v>18</v>
      </c>
      <c r="G872" s="1">
        <v>45247</v>
      </c>
      <c r="H872" s="1">
        <v>45586</v>
      </c>
      <c r="I872" t="s">
        <v>3303</v>
      </c>
      <c r="J872" t="s">
        <v>3304</v>
      </c>
      <c r="K872" t="s">
        <v>29</v>
      </c>
      <c r="L872" t="s">
        <v>116</v>
      </c>
      <c r="M872" t="s">
        <v>22</v>
      </c>
    </row>
    <row r="873" spans="1:13" x14ac:dyDescent="0.3">
      <c r="A873" t="s">
        <v>3305</v>
      </c>
      <c r="B873" t="s">
        <v>3306</v>
      </c>
      <c r="C873" t="s">
        <v>46</v>
      </c>
      <c r="D873" t="s">
        <v>25</v>
      </c>
      <c r="E873" t="s">
        <v>26</v>
      </c>
      <c r="F873" t="s">
        <v>151</v>
      </c>
      <c r="G873" s="1">
        <v>43870</v>
      </c>
      <c r="H873" s="1">
        <v>43979</v>
      </c>
      <c r="I873" t="s">
        <v>3307</v>
      </c>
      <c r="J873" t="s">
        <v>3308</v>
      </c>
      <c r="K873" t="s">
        <v>29</v>
      </c>
      <c r="M873" t="s">
        <v>22</v>
      </c>
    </row>
    <row r="874" spans="1:13" x14ac:dyDescent="0.3">
      <c r="A874" t="s">
        <v>3309</v>
      </c>
      <c r="B874" t="s">
        <v>3310</v>
      </c>
      <c r="C874" t="s">
        <v>33</v>
      </c>
      <c r="D874" t="s">
        <v>51</v>
      </c>
      <c r="E874" t="s">
        <v>52</v>
      </c>
      <c r="F874" t="s">
        <v>18</v>
      </c>
      <c r="G874" s="1">
        <v>43608</v>
      </c>
      <c r="H874" s="1">
        <v>43948</v>
      </c>
      <c r="I874" t="s">
        <v>3311</v>
      </c>
      <c r="J874" t="s">
        <v>3095</v>
      </c>
      <c r="K874" t="s">
        <v>37</v>
      </c>
      <c r="L874" t="s">
        <v>116</v>
      </c>
      <c r="M874" t="s">
        <v>22</v>
      </c>
    </row>
    <row r="875" spans="1:13" x14ac:dyDescent="0.3">
      <c r="A875" t="s">
        <v>3312</v>
      </c>
      <c r="B875" t="s">
        <v>3313</v>
      </c>
      <c r="C875" t="s">
        <v>181</v>
      </c>
      <c r="D875" t="s">
        <v>67</v>
      </c>
      <c r="E875" t="s">
        <v>26</v>
      </c>
      <c r="F875" t="s">
        <v>18</v>
      </c>
      <c r="G875" s="1">
        <v>44604</v>
      </c>
      <c r="H875" s="1">
        <v>44704</v>
      </c>
      <c r="I875" t="s">
        <v>3314</v>
      </c>
      <c r="J875" t="s">
        <v>3315</v>
      </c>
      <c r="K875" t="s">
        <v>21</v>
      </c>
      <c r="M875" t="s">
        <v>22</v>
      </c>
    </row>
    <row r="876" spans="1:13" x14ac:dyDescent="0.3">
      <c r="A876" t="s">
        <v>3316</v>
      </c>
      <c r="B876" t="s">
        <v>3317</v>
      </c>
      <c r="C876" t="s">
        <v>15</v>
      </c>
      <c r="D876" t="s">
        <v>16</v>
      </c>
      <c r="E876" t="s">
        <v>17</v>
      </c>
      <c r="F876" t="s">
        <v>18</v>
      </c>
      <c r="G876" s="1">
        <v>43599</v>
      </c>
      <c r="H876" s="1">
        <v>43739</v>
      </c>
      <c r="I876" t="s">
        <v>1532</v>
      </c>
      <c r="J876" t="s">
        <v>3318</v>
      </c>
      <c r="K876" t="s">
        <v>29</v>
      </c>
      <c r="L876" t="s">
        <v>55</v>
      </c>
      <c r="M876" t="s">
        <v>22</v>
      </c>
    </row>
    <row r="877" spans="1:13" x14ac:dyDescent="0.3">
      <c r="A877" t="s">
        <v>3319</v>
      </c>
      <c r="B877" t="s">
        <v>3320</v>
      </c>
      <c r="C877" t="s">
        <v>76</v>
      </c>
      <c r="D877" t="s">
        <v>77</v>
      </c>
      <c r="E877" t="s">
        <v>52</v>
      </c>
      <c r="F877" t="s">
        <v>18</v>
      </c>
      <c r="G877" s="1">
        <v>45429</v>
      </c>
      <c r="H877" s="1">
        <v>45785</v>
      </c>
      <c r="I877" t="s">
        <v>3321</v>
      </c>
      <c r="J877" t="s">
        <v>3322</v>
      </c>
      <c r="K877" t="s">
        <v>21</v>
      </c>
      <c r="L877" t="s">
        <v>55</v>
      </c>
      <c r="M877" t="s">
        <v>22</v>
      </c>
    </row>
    <row r="878" spans="1:13" x14ac:dyDescent="0.3">
      <c r="A878" t="s">
        <v>3323</v>
      </c>
      <c r="B878" t="s">
        <v>3324</v>
      </c>
      <c r="C878" t="s">
        <v>181</v>
      </c>
      <c r="D878" t="s">
        <v>77</v>
      </c>
      <c r="E878" t="s">
        <v>52</v>
      </c>
      <c r="F878" t="s">
        <v>18</v>
      </c>
      <c r="G878" s="1">
        <v>44472</v>
      </c>
      <c r="H878" s="1">
        <v>44727</v>
      </c>
      <c r="I878" t="s">
        <v>3325</v>
      </c>
      <c r="J878" t="s">
        <v>3326</v>
      </c>
      <c r="K878" t="s">
        <v>29</v>
      </c>
      <c r="L878" t="s">
        <v>30</v>
      </c>
      <c r="M878" t="s">
        <v>22</v>
      </c>
    </row>
    <row r="879" spans="1:13" x14ac:dyDescent="0.3">
      <c r="A879" t="s">
        <v>3327</v>
      </c>
      <c r="B879" t="s">
        <v>3328</v>
      </c>
      <c r="C879" t="s">
        <v>181</v>
      </c>
      <c r="D879" t="s">
        <v>34</v>
      </c>
      <c r="F879" t="s">
        <v>160</v>
      </c>
      <c r="G879" s="1">
        <v>44980</v>
      </c>
      <c r="H879" s="1">
        <v>45177</v>
      </c>
      <c r="I879" t="s">
        <v>3329</v>
      </c>
      <c r="J879" t="s">
        <v>3330</v>
      </c>
      <c r="K879" t="s">
        <v>29</v>
      </c>
      <c r="L879" t="s">
        <v>116</v>
      </c>
      <c r="M879" t="s">
        <v>22</v>
      </c>
    </row>
    <row r="880" spans="1:13" x14ac:dyDescent="0.3">
      <c r="A880" t="s">
        <v>3331</v>
      </c>
      <c r="B880" t="s">
        <v>3332</v>
      </c>
      <c r="C880" t="s">
        <v>15</v>
      </c>
      <c r="D880" t="s">
        <v>67</v>
      </c>
      <c r="E880" t="s">
        <v>26</v>
      </c>
      <c r="F880" t="s">
        <v>18</v>
      </c>
      <c r="G880" s="1">
        <v>44219</v>
      </c>
      <c r="H880" s="1">
        <v>44332</v>
      </c>
      <c r="I880" t="s">
        <v>3333</v>
      </c>
      <c r="J880" t="s">
        <v>3334</v>
      </c>
      <c r="K880" t="s">
        <v>37</v>
      </c>
      <c r="L880" t="s">
        <v>60</v>
      </c>
      <c r="M880" t="s">
        <v>22</v>
      </c>
    </row>
    <row r="881" spans="1:13" x14ac:dyDescent="0.3">
      <c r="A881" t="s">
        <v>3335</v>
      </c>
      <c r="B881" t="s">
        <v>3336</v>
      </c>
      <c r="C881" t="s">
        <v>15</v>
      </c>
      <c r="D881" t="s">
        <v>51</v>
      </c>
      <c r="E881" t="s">
        <v>52</v>
      </c>
      <c r="F881" t="s">
        <v>18</v>
      </c>
      <c r="G881" s="1">
        <v>44398</v>
      </c>
      <c r="H881" s="1">
        <v>44530</v>
      </c>
      <c r="I881" t="s">
        <v>3337</v>
      </c>
      <c r="J881" t="s">
        <v>3338</v>
      </c>
      <c r="K881" t="s">
        <v>21</v>
      </c>
      <c r="M881" t="s">
        <v>22</v>
      </c>
    </row>
    <row r="882" spans="1:13" x14ac:dyDescent="0.3">
      <c r="A882" t="s">
        <v>1203</v>
      </c>
      <c r="B882" t="s">
        <v>1072</v>
      </c>
      <c r="C882" t="s">
        <v>87</v>
      </c>
      <c r="D882" t="s">
        <v>67</v>
      </c>
      <c r="E882" t="s">
        <v>26</v>
      </c>
      <c r="F882" t="s">
        <v>18</v>
      </c>
      <c r="G882" s="1">
        <v>45650</v>
      </c>
      <c r="H882" s="1">
        <v>45954</v>
      </c>
      <c r="I882" t="s">
        <v>1204</v>
      </c>
      <c r="K882" t="s">
        <v>29</v>
      </c>
      <c r="L882" t="s">
        <v>116</v>
      </c>
      <c r="M882" t="s">
        <v>22</v>
      </c>
    </row>
    <row r="883" spans="1:13" x14ac:dyDescent="0.3">
      <c r="A883" t="s">
        <v>3339</v>
      </c>
      <c r="B883" t="s">
        <v>3340</v>
      </c>
      <c r="C883" t="s">
        <v>181</v>
      </c>
      <c r="D883" t="s">
        <v>41</v>
      </c>
      <c r="E883" t="s">
        <v>17</v>
      </c>
      <c r="F883" t="s">
        <v>18</v>
      </c>
      <c r="G883" s="1">
        <v>45114</v>
      </c>
      <c r="H883" s="1">
        <v>45259</v>
      </c>
      <c r="I883" t="s">
        <v>3341</v>
      </c>
      <c r="J883" t="s">
        <v>3342</v>
      </c>
      <c r="K883" t="s">
        <v>29</v>
      </c>
      <c r="L883" t="s">
        <v>30</v>
      </c>
      <c r="M883" t="s">
        <v>22</v>
      </c>
    </row>
    <row r="884" spans="1:13" x14ac:dyDescent="0.3">
      <c r="A884" t="s">
        <v>3343</v>
      </c>
      <c r="B884" t="s">
        <v>3344</v>
      </c>
      <c r="C884" t="s">
        <v>46</v>
      </c>
      <c r="D884" t="s">
        <v>51</v>
      </c>
      <c r="E884" t="s">
        <v>52</v>
      </c>
      <c r="F884" t="s">
        <v>151</v>
      </c>
      <c r="G884" s="1">
        <v>43952</v>
      </c>
      <c r="H884" s="1">
        <v>44260</v>
      </c>
      <c r="I884" t="s">
        <v>3345</v>
      </c>
      <c r="J884" t="s">
        <v>3346</v>
      </c>
      <c r="K884" t="s">
        <v>90</v>
      </c>
      <c r="L884" t="s">
        <v>116</v>
      </c>
      <c r="M884" t="s">
        <v>22</v>
      </c>
    </row>
    <row r="885" spans="1:13" x14ac:dyDescent="0.3">
      <c r="A885" t="s">
        <v>3347</v>
      </c>
      <c r="B885" t="s">
        <v>3348</v>
      </c>
      <c r="C885" t="s">
        <v>46</v>
      </c>
      <c r="D885" t="s">
        <v>67</v>
      </c>
      <c r="E885" t="s">
        <v>26</v>
      </c>
      <c r="F885" t="s">
        <v>18</v>
      </c>
      <c r="G885" s="1">
        <v>43573</v>
      </c>
      <c r="H885" s="1">
        <v>43618</v>
      </c>
      <c r="I885" t="s">
        <v>3349</v>
      </c>
      <c r="J885" t="s">
        <v>1930</v>
      </c>
      <c r="K885" t="s">
        <v>29</v>
      </c>
      <c r="L885" t="s">
        <v>30</v>
      </c>
      <c r="M885" t="s">
        <v>22</v>
      </c>
    </row>
    <row r="886" spans="1:13" x14ac:dyDescent="0.3">
      <c r="A886" t="s">
        <v>3350</v>
      </c>
      <c r="B886" t="s">
        <v>3351</v>
      </c>
      <c r="C886" t="s">
        <v>33</v>
      </c>
      <c r="D886" t="s">
        <v>25</v>
      </c>
      <c r="E886" t="s">
        <v>26</v>
      </c>
      <c r="F886" t="s">
        <v>18</v>
      </c>
      <c r="G886" s="1">
        <v>45493</v>
      </c>
      <c r="H886" s="1">
        <v>45798</v>
      </c>
      <c r="I886" t="s">
        <v>3352</v>
      </c>
      <c r="J886" t="s">
        <v>3353</v>
      </c>
      <c r="K886" t="s">
        <v>90</v>
      </c>
      <c r="L886" t="s">
        <v>60</v>
      </c>
      <c r="M886" t="s">
        <v>22</v>
      </c>
    </row>
    <row r="887" spans="1:13" x14ac:dyDescent="0.3">
      <c r="A887" t="s">
        <v>3354</v>
      </c>
      <c r="B887" t="s">
        <v>3355</v>
      </c>
      <c r="C887" t="s">
        <v>40</v>
      </c>
      <c r="D887" t="s">
        <v>67</v>
      </c>
      <c r="E887" t="s">
        <v>26</v>
      </c>
      <c r="F887" t="s">
        <v>18</v>
      </c>
      <c r="G887" s="1">
        <v>45304</v>
      </c>
      <c r="H887" s="1">
        <v>45423</v>
      </c>
      <c r="I887" t="s">
        <v>3356</v>
      </c>
      <c r="J887" t="s">
        <v>3357</v>
      </c>
      <c r="K887" t="s">
        <v>29</v>
      </c>
      <c r="L887" t="s">
        <v>30</v>
      </c>
      <c r="M887" t="s">
        <v>22</v>
      </c>
    </row>
    <row r="888" spans="1:13" x14ac:dyDescent="0.3">
      <c r="A888" t="s">
        <v>3358</v>
      </c>
      <c r="B888" t="s">
        <v>3359</v>
      </c>
      <c r="C888" t="s">
        <v>46</v>
      </c>
      <c r="D888" t="s">
        <v>51</v>
      </c>
      <c r="E888" t="s">
        <v>52</v>
      </c>
      <c r="F888" t="s">
        <v>18</v>
      </c>
      <c r="G888" s="1">
        <v>43754</v>
      </c>
      <c r="H888" s="1">
        <v>43909</v>
      </c>
      <c r="I888" t="s">
        <v>3360</v>
      </c>
      <c r="J888" t="s">
        <v>3361</v>
      </c>
      <c r="K888" t="s">
        <v>90</v>
      </c>
      <c r="L888" t="s">
        <v>60</v>
      </c>
      <c r="M888" t="s">
        <v>22</v>
      </c>
    </row>
    <row r="889" spans="1:13" x14ac:dyDescent="0.3">
      <c r="A889" t="s">
        <v>3362</v>
      </c>
      <c r="B889" t="s">
        <v>3363</v>
      </c>
      <c r="C889" t="s">
        <v>538</v>
      </c>
      <c r="D889" t="s">
        <v>67</v>
      </c>
      <c r="E889" t="s">
        <v>26</v>
      </c>
      <c r="F889" t="s">
        <v>151</v>
      </c>
      <c r="G889" s="1">
        <v>43736</v>
      </c>
      <c r="H889" s="1">
        <v>44038</v>
      </c>
      <c r="I889" t="s">
        <v>3364</v>
      </c>
      <c r="J889" t="s">
        <v>3365</v>
      </c>
      <c r="K889" t="s">
        <v>90</v>
      </c>
      <c r="L889" t="s">
        <v>30</v>
      </c>
      <c r="M889" t="s">
        <v>22</v>
      </c>
    </row>
    <row r="890" spans="1:13" x14ac:dyDescent="0.3">
      <c r="A890" t="s">
        <v>3366</v>
      </c>
      <c r="B890" t="s">
        <v>3367</v>
      </c>
      <c r="C890" t="s">
        <v>40</v>
      </c>
      <c r="D890" t="s">
        <v>41</v>
      </c>
      <c r="E890" t="s">
        <v>17</v>
      </c>
      <c r="F890" t="s">
        <v>18</v>
      </c>
      <c r="G890" s="1">
        <v>44204</v>
      </c>
      <c r="H890" s="1">
        <v>44245</v>
      </c>
      <c r="I890" t="s">
        <v>3368</v>
      </c>
      <c r="J890" t="s">
        <v>3369</v>
      </c>
      <c r="K890" t="s">
        <v>37</v>
      </c>
      <c r="L890" t="s">
        <v>116</v>
      </c>
      <c r="M890" t="s">
        <v>22</v>
      </c>
    </row>
    <row r="891" spans="1:13" x14ac:dyDescent="0.3">
      <c r="A891" t="s">
        <v>3370</v>
      </c>
      <c r="B891" t="s">
        <v>3371</v>
      </c>
      <c r="C891" t="s">
        <v>15</v>
      </c>
      <c r="D891" t="s">
        <v>25</v>
      </c>
      <c r="E891" t="s">
        <v>26</v>
      </c>
      <c r="F891" t="s">
        <v>18</v>
      </c>
      <c r="G891" s="1">
        <v>45131</v>
      </c>
      <c r="H891" s="1">
        <v>45242</v>
      </c>
      <c r="I891" t="s">
        <v>3372</v>
      </c>
      <c r="J891" t="s">
        <v>3373</v>
      </c>
      <c r="K891" t="s">
        <v>29</v>
      </c>
      <c r="L891" t="s">
        <v>55</v>
      </c>
      <c r="M891" t="s">
        <v>22</v>
      </c>
    </row>
    <row r="892" spans="1:13" x14ac:dyDescent="0.3">
      <c r="A892" t="s">
        <v>3374</v>
      </c>
      <c r="B892" t="s">
        <v>3375</v>
      </c>
      <c r="C892" t="s">
        <v>15</v>
      </c>
      <c r="D892" t="s">
        <v>16</v>
      </c>
      <c r="E892" t="s">
        <v>17</v>
      </c>
      <c r="F892" t="s">
        <v>18</v>
      </c>
      <c r="G892" s="1">
        <v>45440</v>
      </c>
      <c r="H892" s="1">
        <v>45749</v>
      </c>
      <c r="I892" t="s">
        <v>3376</v>
      </c>
      <c r="J892" t="s">
        <v>3377</v>
      </c>
      <c r="K892" t="s">
        <v>37</v>
      </c>
      <c r="L892" t="s">
        <v>30</v>
      </c>
      <c r="M892" t="s">
        <v>22</v>
      </c>
    </row>
    <row r="893" spans="1:13" x14ac:dyDescent="0.3">
      <c r="A893" t="s">
        <v>3378</v>
      </c>
      <c r="B893" t="s">
        <v>3379</v>
      </c>
      <c r="C893" t="s">
        <v>46</v>
      </c>
      <c r="D893" t="s">
        <v>77</v>
      </c>
      <c r="E893" t="s">
        <v>52</v>
      </c>
      <c r="F893" t="s">
        <v>18</v>
      </c>
      <c r="G893" s="1">
        <v>45369</v>
      </c>
      <c r="H893" s="1">
        <v>45707</v>
      </c>
      <c r="I893" t="s">
        <v>3380</v>
      </c>
      <c r="J893" t="s">
        <v>3381</v>
      </c>
      <c r="K893" t="s">
        <v>29</v>
      </c>
      <c r="L893" t="s">
        <v>116</v>
      </c>
      <c r="M893" t="s">
        <v>22</v>
      </c>
    </row>
    <row r="894" spans="1:13" x14ac:dyDescent="0.3">
      <c r="A894" t="s">
        <v>3382</v>
      </c>
      <c r="B894" t="s">
        <v>3383</v>
      </c>
      <c r="C894" t="s">
        <v>181</v>
      </c>
      <c r="D894" t="s">
        <v>67</v>
      </c>
      <c r="E894" t="s">
        <v>26</v>
      </c>
      <c r="F894" t="s">
        <v>160</v>
      </c>
      <c r="G894" s="1">
        <v>43842</v>
      </c>
      <c r="H894" s="1">
        <v>44138</v>
      </c>
      <c r="I894" t="s">
        <v>3384</v>
      </c>
      <c r="J894" t="s">
        <v>3385</v>
      </c>
      <c r="K894" t="s">
        <v>29</v>
      </c>
      <c r="L894" t="s">
        <v>60</v>
      </c>
      <c r="M894" t="s">
        <v>22</v>
      </c>
    </row>
    <row r="895" spans="1:13" x14ac:dyDescent="0.3">
      <c r="A895" t="s">
        <v>3386</v>
      </c>
      <c r="B895" t="s">
        <v>3387</v>
      </c>
      <c r="C895" t="s">
        <v>40</v>
      </c>
      <c r="D895" t="s">
        <v>67</v>
      </c>
      <c r="E895" t="s">
        <v>26</v>
      </c>
      <c r="F895" t="s">
        <v>18</v>
      </c>
      <c r="G895" s="1">
        <v>45354</v>
      </c>
      <c r="H895" s="1">
        <v>45680</v>
      </c>
      <c r="I895" t="s">
        <v>3388</v>
      </c>
      <c r="J895" t="s">
        <v>3389</v>
      </c>
      <c r="K895" t="s">
        <v>29</v>
      </c>
      <c r="M895" t="s">
        <v>22</v>
      </c>
    </row>
    <row r="896" spans="1:13" x14ac:dyDescent="0.3">
      <c r="A896" t="s">
        <v>3390</v>
      </c>
      <c r="B896" t="s">
        <v>3391</v>
      </c>
      <c r="C896" t="s">
        <v>76</v>
      </c>
      <c r="D896" t="s">
        <v>34</v>
      </c>
      <c r="E896" t="s">
        <v>26</v>
      </c>
      <c r="F896" t="s">
        <v>160</v>
      </c>
      <c r="G896" s="1">
        <v>45028</v>
      </c>
      <c r="H896" s="1">
        <v>45068</v>
      </c>
      <c r="I896" t="s">
        <v>3392</v>
      </c>
      <c r="J896" t="s">
        <v>3393</v>
      </c>
      <c r="K896" t="s">
        <v>29</v>
      </c>
      <c r="L896" t="s">
        <v>30</v>
      </c>
      <c r="M896" t="s">
        <v>22</v>
      </c>
    </row>
    <row r="897" spans="1:13" x14ac:dyDescent="0.3">
      <c r="A897" t="s">
        <v>3394</v>
      </c>
      <c r="B897" t="s">
        <v>3395</v>
      </c>
      <c r="C897" t="s">
        <v>76</v>
      </c>
      <c r="D897" t="s">
        <v>16</v>
      </c>
      <c r="E897" t="s">
        <v>17</v>
      </c>
      <c r="F897" t="s">
        <v>160</v>
      </c>
      <c r="G897" s="1">
        <v>43502</v>
      </c>
      <c r="H897" s="1">
        <v>43744</v>
      </c>
      <c r="I897" t="s">
        <v>3396</v>
      </c>
      <c r="J897" t="s">
        <v>3397</v>
      </c>
      <c r="K897" t="s">
        <v>90</v>
      </c>
      <c r="L897" t="s">
        <v>55</v>
      </c>
      <c r="M897" t="s">
        <v>22</v>
      </c>
    </row>
    <row r="898" spans="1:13" x14ac:dyDescent="0.3">
      <c r="A898" t="s">
        <v>3398</v>
      </c>
      <c r="B898" t="s">
        <v>3399</v>
      </c>
      <c r="C898" t="s">
        <v>76</v>
      </c>
      <c r="D898" t="s">
        <v>25</v>
      </c>
      <c r="E898" t="s">
        <v>26</v>
      </c>
      <c r="F898" t="s">
        <v>18</v>
      </c>
      <c r="G898" s="1">
        <v>45535</v>
      </c>
      <c r="H898" s="1">
        <v>45843</v>
      </c>
      <c r="I898" t="s">
        <v>3400</v>
      </c>
      <c r="J898" t="s">
        <v>3401</v>
      </c>
      <c r="K898" t="s">
        <v>21</v>
      </c>
      <c r="L898" t="s">
        <v>55</v>
      </c>
      <c r="M898" t="s">
        <v>22</v>
      </c>
    </row>
    <row r="899" spans="1:13" x14ac:dyDescent="0.3">
      <c r="A899" t="s">
        <v>3402</v>
      </c>
      <c r="B899" t="s">
        <v>3403</v>
      </c>
      <c r="C899" t="s">
        <v>46</v>
      </c>
      <c r="D899" t="s">
        <v>25</v>
      </c>
      <c r="E899" t="s">
        <v>26</v>
      </c>
      <c r="F899" t="s">
        <v>18</v>
      </c>
      <c r="G899" t="s">
        <v>317</v>
      </c>
      <c r="H899" s="1">
        <v>45385</v>
      </c>
      <c r="I899" t="s">
        <v>3404</v>
      </c>
      <c r="J899" t="s">
        <v>3405</v>
      </c>
      <c r="K899" t="s">
        <v>21</v>
      </c>
      <c r="L899" t="s">
        <v>91</v>
      </c>
      <c r="M899" t="s">
        <v>22</v>
      </c>
    </row>
    <row r="900" spans="1:13" x14ac:dyDescent="0.3">
      <c r="A900" t="s">
        <v>2389</v>
      </c>
      <c r="B900" t="s">
        <v>3406</v>
      </c>
      <c r="C900" t="s">
        <v>46</v>
      </c>
      <c r="D900" t="s">
        <v>77</v>
      </c>
      <c r="E900" t="s">
        <v>52</v>
      </c>
      <c r="F900" t="s">
        <v>151</v>
      </c>
      <c r="G900" s="1">
        <v>44289</v>
      </c>
      <c r="H900" s="1">
        <v>44654</v>
      </c>
      <c r="I900" t="s">
        <v>2391</v>
      </c>
      <c r="J900" t="s">
        <v>2392</v>
      </c>
      <c r="K900" t="s">
        <v>29</v>
      </c>
      <c r="L900" t="s">
        <v>30</v>
      </c>
      <c r="M900" t="s">
        <v>22</v>
      </c>
    </row>
    <row r="901" spans="1:13" x14ac:dyDescent="0.3">
      <c r="A901" t="s">
        <v>3407</v>
      </c>
      <c r="B901" t="s">
        <v>3408</v>
      </c>
      <c r="C901" t="s">
        <v>46</v>
      </c>
      <c r="D901" t="s">
        <v>41</v>
      </c>
      <c r="E901" t="s">
        <v>17</v>
      </c>
      <c r="F901" t="s">
        <v>151</v>
      </c>
      <c r="G901" s="1">
        <v>44702</v>
      </c>
      <c r="H901" s="1">
        <v>44705</v>
      </c>
      <c r="I901" t="s">
        <v>3409</v>
      </c>
      <c r="J901" t="s">
        <v>3410</v>
      </c>
      <c r="K901" t="s">
        <v>37</v>
      </c>
      <c r="L901" t="s">
        <v>116</v>
      </c>
      <c r="M901" t="s">
        <v>22</v>
      </c>
    </row>
    <row r="902" spans="1:13" x14ac:dyDescent="0.3">
      <c r="A902" t="s">
        <v>3411</v>
      </c>
      <c r="B902" t="s">
        <v>897</v>
      </c>
      <c r="C902" t="s">
        <v>40</v>
      </c>
      <c r="D902" t="s">
        <v>51</v>
      </c>
      <c r="E902" t="s">
        <v>52</v>
      </c>
      <c r="F902" t="s">
        <v>615</v>
      </c>
      <c r="G902" s="1">
        <v>45222</v>
      </c>
      <c r="H902" s="1">
        <v>45378</v>
      </c>
      <c r="I902" t="s">
        <v>3412</v>
      </c>
      <c r="J902" t="s">
        <v>3413</v>
      </c>
      <c r="K902" t="s">
        <v>90</v>
      </c>
      <c r="L902" t="s">
        <v>55</v>
      </c>
      <c r="M902" t="s">
        <v>22</v>
      </c>
    </row>
    <row r="903" spans="1:13" x14ac:dyDescent="0.3">
      <c r="A903" t="s">
        <v>3414</v>
      </c>
      <c r="B903" t="s">
        <v>3415</v>
      </c>
      <c r="C903" t="s">
        <v>76</v>
      </c>
      <c r="D903" t="s">
        <v>41</v>
      </c>
      <c r="E903" t="s">
        <v>17</v>
      </c>
      <c r="F903" t="s">
        <v>160</v>
      </c>
      <c r="G903" s="1">
        <v>45406</v>
      </c>
      <c r="H903" s="1">
        <v>45671</v>
      </c>
      <c r="I903" t="s">
        <v>3416</v>
      </c>
      <c r="J903" t="s">
        <v>1729</v>
      </c>
      <c r="K903" t="s">
        <v>37</v>
      </c>
      <c r="L903" t="s">
        <v>116</v>
      </c>
      <c r="M903" t="s">
        <v>22</v>
      </c>
    </row>
    <row r="904" spans="1:13" x14ac:dyDescent="0.3">
      <c r="A904" t="s">
        <v>3417</v>
      </c>
      <c r="B904" t="s">
        <v>3418</v>
      </c>
      <c r="C904" t="s">
        <v>15</v>
      </c>
      <c r="D904" t="s">
        <v>41</v>
      </c>
      <c r="E904" t="s">
        <v>17</v>
      </c>
      <c r="F904" t="s">
        <v>18</v>
      </c>
      <c r="G904" s="1">
        <v>44538</v>
      </c>
      <c r="H904" s="1">
        <v>44620</v>
      </c>
      <c r="I904" t="s">
        <v>3419</v>
      </c>
      <c r="J904" t="s">
        <v>3420</v>
      </c>
      <c r="K904" t="s">
        <v>90</v>
      </c>
      <c r="L904" t="s">
        <v>60</v>
      </c>
      <c r="M904" t="s">
        <v>22</v>
      </c>
    </row>
    <row r="905" spans="1:13" x14ac:dyDescent="0.3">
      <c r="A905" t="s">
        <v>3421</v>
      </c>
      <c r="B905" t="s">
        <v>3422</v>
      </c>
      <c r="C905" t="s">
        <v>76</v>
      </c>
      <c r="D905" t="s">
        <v>67</v>
      </c>
      <c r="E905" t="s">
        <v>26</v>
      </c>
      <c r="F905" t="s">
        <v>18</v>
      </c>
      <c r="G905" s="1">
        <v>44270</v>
      </c>
      <c r="H905" s="1">
        <v>45435</v>
      </c>
      <c r="I905" t="s">
        <v>3423</v>
      </c>
      <c r="J905" t="s">
        <v>3424</v>
      </c>
      <c r="K905" t="s">
        <v>29</v>
      </c>
      <c r="L905" t="s">
        <v>30</v>
      </c>
      <c r="M905" t="s">
        <v>22</v>
      </c>
    </row>
    <row r="906" spans="1:13" x14ac:dyDescent="0.3">
      <c r="A906" t="s">
        <v>3425</v>
      </c>
      <c r="B906" t="s">
        <v>3426</v>
      </c>
      <c r="C906" t="s">
        <v>33</v>
      </c>
      <c r="D906" t="s">
        <v>77</v>
      </c>
      <c r="E906" t="s">
        <v>52</v>
      </c>
      <c r="F906" t="s">
        <v>160</v>
      </c>
      <c r="G906" s="1">
        <v>44591</v>
      </c>
      <c r="H906" s="1">
        <v>44842</v>
      </c>
      <c r="I906" t="s">
        <v>3427</v>
      </c>
      <c r="J906" t="s">
        <v>3428</v>
      </c>
      <c r="K906" t="s">
        <v>29</v>
      </c>
      <c r="L906" t="s">
        <v>30</v>
      </c>
      <c r="M906" t="s">
        <v>22</v>
      </c>
    </row>
    <row r="907" spans="1:13" x14ac:dyDescent="0.3">
      <c r="A907" t="s">
        <v>3429</v>
      </c>
      <c r="B907" t="s">
        <v>3430</v>
      </c>
      <c r="C907" t="s">
        <v>15</v>
      </c>
      <c r="D907" t="s">
        <v>25</v>
      </c>
      <c r="E907" t="s">
        <v>26</v>
      </c>
      <c r="F907" t="s">
        <v>160</v>
      </c>
      <c r="G907" s="1">
        <v>44713</v>
      </c>
      <c r="H907" s="1">
        <v>44973</v>
      </c>
      <c r="I907" t="s">
        <v>3431</v>
      </c>
      <c r="J907" t="s">
        <v>3432</v>
      </c>
      <c r="K907" t="s">
        <v>21</v>
      </c>
      <c r="L907" t="s">
        <v>116</v>
      </c>
      <c r="M907" t="s">
        <v>22</v>
      </c>
    </row>
    <row r="908" spans="1:13" x14ac:dyDescent="0.3">
      <c r="A908" t="s">
        <v>3433</v>
      </c>
      <c r="B908" t="s">
        <v>3434</v>
      </c>
      <c r="C908" t="s">
        <v>76</v>
      </c>
      <c r="D908" t="s">
        <v>34</v>
      </c>
      <c r="E908" t="s">
        <v>26</v>
      </c>
      <c r="F908" t="s">
        <v>18</v>
      </c>
      <c r="G908" s="1">
        <v>43563</v>
      </c>
      <c r="H908" s="1">
        <v>43798</v>
      </c>
      <c r="I908" t="s">
        <v>3435</v>
      </c>
      <c r="J908" t="s">
        <v>3436</v>
      </c>
      <c r="K908" t="s">
        <v>90</v>
      </c>
      <c r="L908" t="s">
        <v>60</v>
      </c>
      <c r="M908" t="s">
        <v>22</v>
      </c>
    </row>
    <row r="909" spans="1:13" x14ac:dyDescent="0.3">
      <c r="A909" t="s">
        <v>3437</v>
      </c>
      <c r="B909" t="s">
        <v>3438</v>
      </c>
      <c r="C909" t="s">
        <v>40</v>
      </c>
      <c r="D909" t="s">
        <v>34</v>
      </c>
      <c r="E909" t="s">
        <v>26</v>
      </c>
      <c r="F909" t="s">
        <v>18</v>
      </c>
      <c r="G909" s="1">
        <v>44141</v>
      </c>
      <c r="H909" s="1">
        <v>44451</v>
      </c>
      <c r="I909" t="s">
        <v>3439</v>
      </c>
      <c r="J909" t="s">
        <v>3440</v>
      </c>
      <c r="K909" t="s">
        <v>90</v>
      </c>
      <c r="L909" t="s">
        <v>60</v>
      </c>
      <c r="M909" t="s">
        <v>22</v>
      </c>
    </row>
    <row r="910" spans="1:13" x14ac:dyDescent="0.3">
      <c r="A910" t="s">
        <v>3441</v>
      </c>
      <c r="B910" t="s">
        <v>3442</v>
      </c>
      <c r="C910" t="s">
        <v>46</v>
      </c>
      <c r="D910" t="s">
        <v>51</v>
      </c>
      <c r="E910" t="s">
        <v>52</v>
      </c>
      <c r="F910" t="s">
        <v>18</v>
      </c>
      <c r="G910" s="1">
        <v>45507</v>
      </c>
      <c r="H910" s="1">
        <v>45827</v>
      </c>
      <c r="I910" t="s">
        <v>3443</v>
      </c>
      <c r="J910" t="s">
        <v>3444</v>
      </c>
      <c r="K910" t="s">
        <v>37</v>
      </c>
      <c r="L910" t="s">
        <v>116</v>
      </c>
      <c r="M910" t="s">
        <v>22</v>
      </c>
    </row>
    <row r="911" spans="1:13" x14ac:dyDescent="0.3">
      <c r="A911" t="s">
        <v>3445</v>
      </c>
      <c r="B911" t="s">
        <v>3446</v>
      </c>
      <c r="C911" t="s">
        <v>15</v>
      </c>
      <c r="D911" t="s">
        <v>16</v>
      </c>
      <c r="E911" t="s">
        <v>17</v>
      </c>
      <c r="F911" t="s">
        <v>18</v>
      </c>
      <c r="G911" s="1">
        <v>44102</v>
      </c>
      <c r="H911" s="1">
        <v>44156</v>
      </c>
      <c r="I911" t="s">
        <v>736</v>
      </c>
      <c r="J911" t="s">
        <v>3447</v>
      </c>
      <c r="K911" t="s">
        <v>21</v>
      </c>
      <c r="L911" t="s">
        <v>116</v>
      </c>
      <c r="M911" t="s">
        <v>22</v>
      </c>
    </row>
    <row r="912" spans="1:13" x14ac:dyDescent="0.3">
      <c r="A912" t="s">
        <v>3448</v>
      </c>
      <c r="B912" t="s">
        <v>3449</v>
      </c>
      <c r="C912" t="s">
        <v>76</v>
      </c>
      <c r="D912" t="s">
        <v>16</v>
      </c>
      <c r="E912" t="s">
        <v>17</v>
      </c>
      <c r="F912" t="s">
        <v>18</v>
      </c>
      <c r="G912" s="1">
        <v>44435</v>
      </c>
      <c r="H912" s="1">
        <v>44472</v>
      </c>
      <c r="I912" t="s">
        <v>3450</v>
      </c>
      <c r="J912" t="s">
        <v>3451</v>
      </c>
      <c r="K912" t="s">
        <v>90</v>
      </c>
      <c r="M912" t="s">
        <v>22</v>
      </c>
    </row>
    <row r="913" spans="1:13" x14ac:dyDescent="0.3">
      <c r="A913" t="s">
        <v>3452</v>
      </c>
      <c r="B913" t="s">
        <v>3453</v>
      </c>
      <c r="C913" t="s">
        <v>181</v>
      </c>
      <c r="D913" t="s">
        <v>34</v>
      </c>
      <c r="E913" t="s">
        <v>26</v>
      </c>
      <c r="F913" t="s">
        <v>18</v>
      </c>
      <c r="G913" s="1">
        <v>44795</v>
      </c>
      <c r="H913" s="1">
        <v>45042</v>
      </c>
      <c r="I913" t="s">
        <v>3454</v>
      </c>
      <c r="J913" t="s">
        <v>3455</v>
      </c>
      <c r="K913" t="s">
        <v>90</v>
      </c>
      <c r="L913" t="s">
        <v>91</v>
      </c>
      <c r="M913" t="s">
        <v>22</v>
      </c>
    </row>
    <row r="914" spans="1:13" x14ac:dyDescent="0.3">
      <c r="A914" t="s">
        <v>934</v>
      </c>
      <c r="B914" t="s">
        <v>935</v>
      </c>
      <c r="C914" t="s">
        <v>87</v>
      </c>
      <c r="D914" t="s">
        <v>77</v>
      </c>
      <c r="E914" t="s">
        <v>52</v>
      </c>
      <c r="F914" t="s">
        <v>160</v>
      </c>
      <c r="G914" s="1">
        <v>43842</v>
      </c>
      <c r="H914" s="1">
        <v>44011</v>
      </c>
      <c r="I914" t="s">
        <v>936</v>
      </c>
      <c r="J914" t="s">
        <v>937</v>
      </c>
      <c r="K914" t="s">
        <v>21</v>
      </c>
      <c r="L914" t="s">
        <v>60</v>
      </c>
      <c r="M914" t="s">
        <v>22</v>
      </c>
    </row>
    <row r="915" spans="1:13" x14ac:dyDescent="0.3">
      <c r="A915" t="s">
        <v>3456</v>
      </c>
      <c r="B915" t="s">
        <v>3457</v>
      </c>
      <c r="C915" t="s">
        <v>15</v>
      </c>
      <c r="D915" t="s">
        <v>16</v>
      </c>
      <c r="E915" t="s">
        <v>17</v>
      </c>
      <c r="F915" t="s">
        <v>151</v>
      </c>
      <c r="G915" s="1">
        <v>44299</v>
      </c>
      <c r="H915" s="1">
        <v>44510</v>
      </c>
      <c r="I915" t="s">
        <v>3458</v>
      </c>
      <c r="J915" t="s">
        <v>3459</v>
      </c>
      <c r="K915" t="s">
        <v>37</v>
      </c>
      <c r="L915" t="s">
        <v>116</v>
      </c>
      <c r="M915" t="s">
        <v>22</v>
      </c>
    </row>
    <row r="916" spans="1:13" x14ac:dyDescent="0.3">
      <c r="A916" t="s">
        <v>3460</v>
      </c>
      <c r="B916" t="s">
        <v>3461</v>
      </c>
      <c r="C916" t="s">
        <v>87</v>
      </c>
      <c r="D916" t="s">
        <v>67</v>
      </c>
      <c r="E916" t="s">
        <v>26</v>
      </c>
      <c r="F916" t="s">
        <v>308</v>
      </c>
      <c r="G916" s="1">
        <v>44696</v>
      </c>
      <c r="H916" s="1">
        <v>44836</v>
      </c>
      <c r="I916" t="s">
        <v>3462</v>
      </c>
      <c r="J916" t="s">
        <v>3463</v>
      </c>
      <c r="K916" t="s">
        <v>21</v>
      </c>
      <c r="L916" t="s">
        <v>91</v>
      </c>
      <c r="M916" t="s">
        <v>22</v>
      </c>
    </row>
    <row r="917" spans="1:13" x14ac:dyDescent="0.3">
      <c r="A917" t="s">
        <v>3464</v>
      </c>
      <c r="B917" t="s">
        <v>3465</v>
      </c>
      <c r="C917" t="s">
        <v>87</v>
      </c>
      <c r="D917" t="s">
        <v>67</v>
      </c>
      <c r="E917" t="s">
        <v>26</v>
      </c>
      <c r="F917" t="s">
        <v>18</v>
      </c>
      <c r="G917" t="s">
        <v>317</v>
      </c>
      <c r="H917" s="1">
        <v>44283</v>
      </c>
      <c r="I917" t="s">
        <v>3466</v>
      </c>
      <c r="J917" t="s">
        <v>157</v>
      </c>
      <c r="K917" t="s">
        <v>90</v>
      </c>
      <c r="L917" t="s">
        <v>91</v>
      </c>
      <c r="M917" t="s">
        <v>22</v>
      </c>
    </row>
    <row r="918" spans="1:13" x14ac:dyDescent="0.3">
      <c r="A918" t="s">
        <v>3467</v>
      </c>
      <c r="B918" t="s">
        <v>3468</v>
      </c>
      <c r="C918" t="s">
        <v>40</v>
      </c>
      <c r="D918" t="s">
        <v>51</v>
      </c>
      <c r="E918" t="s">
        <v>52</v>
      </c>
      <c r="F918" t="s">
        <v>151</v>
      </c>
      <c r="G918" s="1">
        <v>44754</v>
      </c>
      <c r="H918" s="1">
        <v>44825</v>
      </c>
      <c r="I918" t="s">
        <v>3469</v>
      </c>
      <c r="J918" t="s">
        <v>3470</v>
      </c>
      <c r="K918" t="s">
        <v>90</v>
      </c>
      <c r="L918" t="s">
        <v>55</v>
      </c>
      <c r="M918" t="s">
        <v>22</v>
      </c>
    </row>
    <row r="919" spans="1:13" x14ac:dyDescent="0.3">
      <c r="A919" t="s">
        <v>3471</v>
      </c>
      <c r="B919" t="s">
        <v>3472</v>
      </c>
      <c r="C919" t="s">
        <v>76</v>
      </c>
      <c r="D919" t="s">
        <v>16</v>
      </c>
      <c r="E919" t="s">
        <v>17</v>
      </c>
      <c r="F919" t="s">
        <v>18</v>
      </c>
      <c r="G919" s="1">
        <v>44838</v>
      </c>
      <c r="H919" s="1">
        <v>45127</v>
      </c>
      <c r="I919" t="s">
        <v>3473</v>
      </c>
      <c r="J919" t="s">
        <v>3474</v>
      </c>
      <c r="K919" t="s">
        <v>37</v>
      </c>
      <c r="L919" t="s">
        <v>55</v>
      </c>
      <c r="M919" t="s">
        <v>22</v>
      </c>
    </row>
    <row r="920" spans="1:13" x14ac:dyDescent="0.3">
      <c r="A920" t="s">
        <v>3475</v>
      </c>
      <c r="B920" t="s">
        <v>3476</v>
      </c>
      <c r="C920" t="s">
        <v>33</v>
      </c>
      <c r="D920" t="s">
        <v>51</v>
      </c>
      <c r="E920" t="s">
        <v>52</v>
      </c>
      <c r="F920" t="s">
        <v>18</v>
      </c>
      <c r="G920" s="1">
        <v>44525</v>
      </c>
      <c r="H920" s="1">
        <v>44877</v>
      </c>
      <c r="I920" t="s">
        <v>3477</v>
      </c>
      <c r="J920" t="s">
        <v>3478</v>
      </c>
      <c r="K920" t="s">
        <v>90</v>
      </c>
      <c r="L920" t="s">
        <v>30</v>
      </c>
      <c r="M920" t="s">
        <v>22</v>
      </c>
    </row>
    <row r="921" spans="1:13" x14ac:dyDescent="0.3">
      <c r="A921" t="s">
        <v>3479</v>
      </c>
      <c r="B921" t="s">
        <v>3480</v>
      </c>
      <c r="C921" t="s">
        <v>76</v>
      </c>
      <c r="D921" t="s">
        <v>77</v>
      </c>
      <c r="E921" t="s">
        <v>52</v>
      </c>
      <c r="F921" t="s">
        <v>18</v>
      </c>
      <c r="G921" s="1">
        <v>45022</v>
      </c>
      <c r="H921" s="1">
        <v>45190</v>
      </c>
      <c r="I921" t="s">
        <v>3481</v>
      </c>
      <c r="J921" t="s">
        <v>3482</v>
      </c>
      <c r="K921" t="s">
        <v>21</v>
      </c>
      <c r="M921" t="s">
        <v>22</v>
      </c>
    </row>
    <row r="922" spans="1:13" x14ac:dyDescent="0.3">
      <c r="A922" t="s">
        <v>3483</v>
      </c>
      <c r="B922" t="s">
        <v>3484</v>
      </c>
      <c r="C922" t="s">
        <v>40</v>
      </c>
      <c r="D922" t="s">
        <v>25</v>
      </c>
      <c r="E922" t="s">
        <v>26</v>
      </c>
      <c r="F922" t="s">
        <v>18</v>
      </c>
      <c r="G922" s="1">
        <v>43581</v>
      </c>
      <c r="H922" s="1">
        <v>43744</v>
      </c>
      <c r="I922" t="s">
        <v>3485</v>
      </c>
      <c r="J922" t="s">
        <v>3486</v>
      </c>
      <c r="K922" t="s">
        <v>37</v>
      </c>
      <c r="L922" t="s">
        <v>55</v>
      </c>
      <c r="M922" t="s">
        <v>22</v>
      </c>
    </row>
    <row r="923" spans="1:13" x14ac:dyDescent="0.3">
      <c r="A923" t="s">
        <v>2980</v>
      </c>
      <c r="B923" t="s">
        <v>2981</v>
      </c>
      <c r="C923" t="s">
        <v>46</v>
      </c>
      <c r="D923" t="s">
        <v>51</v>
      </c>
      <c r="E923" t="s">
        <v>52</v>
      </c>
      <c r="F923" t="s">
        <v>160</v>
      </c>
      <c r="G923" s="1">
        <v>45577</v>
      </c>
      <c r="H923" s="1">
        <v>45886</v>
      </c>
      <c r="I923" t="s">
        <v>2982</v>
      </c>
      <c r="J923" t="s">
        <v>2983</v>
      </c>
      <c r="K923" t="s">
        <v>21</v>
      </c>
      <c r="L923" t="s">
        <v>30</v>
      </c>
      <c r="M923" t="s">
        <v>22</v>
      </c>
    </row>
    <row r="924" spans="1:13" x14ac:dyDescent="0.3">
      <c r="A924" t="s">
        <v>2427</v>
      </c>
      <c r="B924" t="s">
        <v>2428</v>
      </c>
      <c r="C924" t="s">
        <v>40</v>
      </c>
      <c r="D924" t="s">
        <v>16</v>
      </c>
      <c r="E924" t="s">
        <v>17</v>
      </c>
      <c r="F924" t="s">
        <v>18</v>
      </c>
      <c r="G924" s="1">
        <v>44816</v>
      </c>
      <c r="H924" s="1">
        <v>44970</v>
      </c>
      <c r="I924" t="s">
        <v>3487</v>
      </c>
      <c r="J924" t="s">
        <v>2429</v>
      </c>
      <c r="K924" t="s">
        <v>29</v>
      </c>
      <c r="M924" t="s">
        <v>22</v>
      </c>
    </row>
    <row r="925" spans="1:13" x14ac:dyDescent="0.3">
      <c r="A925" t="s">
        <v>3488</v>
      </c>
      <c r="B925" t="s">
        <v>3489</v>
      </c>
      <c r="C925" t="s">
        <v>87</v>
      </c>
      <c r="D925" t="s">
        <v>25</v>
      </c>
      <c r="E925" t="s">
        <v>26</v>
      </c>
      <c r="F925" t="s">
        <v>18</v>
      </c>
      <c r="G925" s="1">
        <v>45459</v>
      </c>
      <c r="H925" s="1">
        <v>45795</v>
      </c>
      <c r="I925" t="s">
        <v>3490</v>
      </c>
      <c r="J925" t="s">
        <v>3491</v>
      </c>
      <c r="K925" t="s">
        <v>90</v>
      </c>
      <c r="L925" t="s">
        <v>55</v>
      </c>
      <c r="M925" t="s">
        <v>22</v>
      </c>
    </row>
    <row r="926" spans="1:13" x14ac:dyDescent="0.3">
      <c r="A926" t="s">
        <v>3492</v>
      </c>
      <c r="B926" t="s">
        <v>3493</v>
      </c>
      <c r="C926" t="s">
        <v>76</v>
      </c>
      <c r="D926" t="s">
        <v>25</v>
      </c>
      <c r="E926" t="s">
        <v>26</v>
      </c>
      <c r="F926" t="s">
        <v>18</v>
      </c>
      <c r="G926" s="1">
        <v>45364</v>
      </c>
      <c r="H926" s="1">
        <v>45710</v>
      </c>
      <c r="I926" t="s">
        <v>3494</v>
      </c>
      <c r="J926" t="s">
        <v>3495</v>
      </c>
      <c r="K926" t="s">
        <v>21</v>
      </c>
      <c r="L926" t="s">
        <v>91</v>
      </c>
      <c r="M926" t="s">
        <v>22</v>
      </c>
    </row>
    <row r="927" spans="1:13" x14ac:dyDescent="0.3">
      <c r="A927" t="s">
        <v>3496</v>
      </c>
      <c r="B927" t="s">
        <v>3497</v>
      </c>
      <c r="C927" t="s">
        <v>15</v>
      </c>
      <c r="D927" t="s">
        <v>67</v>
      </c>
      <c r="E927" t="s">
        <v>26</v>
      </c>
      <c r="F927" t="s">
        <v>18</v>
      </c>
      <c r="G927" s="1">
        <v>44078</v>
      </c>
      <c r="H927" s="1">
        <v>44388</v>
      </c>
      <c r="I927" t="s">
        <v>3498</v>
      </c>
      <c r="J927" t="s">
        <v>3499</v>
      </c>
      <c r="K927" t="s">
        <v>21</v>
      </c>
      <c r="L927" t="s">
        <v>91</v>
      </c>
      <c r="M927" t="s">
        <v>22</v>
      </c>
    </row>
    <row r="928" spans="1:13" x14ac:dyDescent="0.3">
      <c r="A928" t="s">
        <v>981</v>
      </c>
      <c r="B928" t="s">
        <v>982</v>
      </c>
      <c r="C928" t="s">
        <v>33</v>
      </c>
      <c r="D928" t="s">
        <v>16</v>
      </c>
      <c r="E928" t="s">
        <v>17</v>
      </c>
      <c r="F928" t="s">
        <v>615</v>
      </c>
      <c r="G928" s="1">
        <v>44963</v>
      </c>
      <c r="H928" s="1">
        <v>45036</v>
      </c>
      <c r="I928" t="s">
        <v>983</v>
      </c>
      <c r="J928" t="s">
        <v>984</v>
      </c>
      <c r="K928" t="s">
        <v>21</v>
      </c>
      <c r="L928" t="s">
        <v>91</v>
      </c>
      <c r="M928" t="s">
        <v>22</v>
      </c>
    </row>
    <row r="929" spans="1:13" x14ac:dyDescent="0.3">
      <c r="A929" t="s">
        <v>3500</v>
      </c>
      <c r="B929" t="s">
        <v>3501</v>
      </c>
      <c r="C929" t="s">
        <v>76</v>
      </c>
      <c r="D929" t="s">
        <v>34</v>
      </c>
      <c r="E929" t="s">
        <v>26</v>
      </c>
      <c r="F929" t="s">
        <v>160</v>
      </c>
      <c r="G929" s="1">
        <v>44482</v>
      </c>
      <c r="H929" s="1">
        <v>44629</v>
      </c>
      <c r="I929" t="s">
        <v>3502</v>
      </c>
      <c r="J929" t="s">
        <v>3503</v>
      </c>
      <c r="K929" t="s">
        <v>29</v>
      </c>
      <c r="L929" t="s">
        <v>60</v>
      </c>
      <c r="M929" t="s">
        <v>22</v>
      </c>
    </row>
    <row r="930" spans="1:13" x14ac:dyDescent="0.3">
      <c r="A930" t="s">
        <v>3504</v>
      </c>
      <c r="B930" t="s">
        <v>3505</v>
      </c>
      <c r="C930" t="s">
        <v>40</v>
      </c>
      <c r="D930" t="s">
        <v>77</v>
      </c>
      <c r="E930" t="s">
        <v>52</v>
      </c>
      <c r="F930" t="s">
        <v>160</v>
      </c>
      <c r="G930" s="1">
        <v>44657</v>
      </c>
      <c r="H930" s="1">
        <v>44675</v>
      </c>
      <c r="I930" t="s">
        <v>3506</v>
      </c>
      <c r="J930" t="s">
        <v>3507</v>
      </c>
      <c r="K930" t="s">
        <v>21</v>
      </c>
      <c r="L930" t="s">
        <v>91</v>
      </c>
      <c r="M930" t="s">
        <v>22</v>
      </c>
    </row>
    <row r="931" spans="1:13" x14ac:dyDescent="0.3">
      <c r="A931" t="s">
        <v>3508</v>
      </c>
      <c r="B931" t="s">
        <v>3509</v>
      </c>
      <c r="C931" t="s">
        <v>15</v>
      </c>
      <c r="D931" t="s">
        <v>67</v>
      </c>
      <c r="E931" t="s">
        <v>26</v>
      </c>
      <c r="F931" t="s">
        <v>18</v>
      </c>
      <c r="G931" s="1">
        <v>44389</v>
      </c>
      <c r="H931" s="1">
        <v>44542</v>
      </c>
      <c r="I931" t="s">
        <v>3510</v>
      </c>
      <c r="J931" t="s">
        <v>3511</v>
      </c>
      <c r="K931" t="s">
        <v>90</v>
      </c>
      <c r="L931" t="s">
        <v>91</v>
      </c>
      <c r="M931" t="s">
        <v>22</v>
      </c>
    </row>
    <row r="932" spans="1:13" x14ac:dyDescent="0.3">
      <c r="A932" t="s">
        <v>3512</v>
      </c>
      <c r="B932" t="s">
        <v>3513</v>
      </c>
      <c r="C932" t="s">
        <v>15</v>
      </c>
      <c r="D932" t="s">
        <v>25</v>
      </c>
      <c r="E932" t="s">
        <v>26</v>
      </c>
      <c r="F932" t="s">
        <v>160</v>
      </c>
      <c r="G932" s="1">
        <v>44394</v>
      </c>
      <c r="H932" s="1">
        <v>44728</v>
      </c>
      <c r="I932" t="s">
        <v>3514</v>
      </c>
      <c r="J932" t="s">
        <v>2429</v>
      </c>
      <c r="K932" t="s">
        <v>21</v>
      </c>
      <c r="L932" t="s">
        <v>60</v>
      </c>
      <c r="M932" t="s">
        <v>22</v>
      </c>
    </row>
    <row r="933" spans="1:13" x14ac:dyDescent="0.3">
      <c r="A933" t="s">
        <v>3515</v>
      </c>
      <c r="B933" t="s">
        <v>3516</v>
      </c>
      <c r="C933" t="s">
        <v>76</v>
      </c>
      <c r="D933" t="s">
        <v>51</v>
      </c>
      <c r="E933" t="s">
        <v>52</v>
      </c>
      <c r="F933" t="s">
        <v>18</v>
      </c>
      <c r="G933" s="1">
        <v>44776</v>
      </c>
      <c r="H933" s="1">
        <v>44848</v>
      </c>
      <c r="I933" t="s">
        <v>3517</v>
      </c>
      <c r="J933" t="s">
        <v>3518</v>
      </c>
      <c r="K933" t="s">
        <v>29</v>
      </c>
      <c r="L933" t="s">
        <v>30</v>
      </c>
      <c r="M933" t="s">
        <v>22</v>
      </c>
    </row>
    <row r="934" spans="1:13" x14ac:dyDescent="0.3">
      <c r="A934" t="s">
        <v>3519</v>
      </c>
      <c r="B934" t="s">
        <v>3520</v>
      </c>
      <c r="C934" t="s">
        <v>15</v>
      </c>
      <c r="D934" t="s">
        <v>34</v>
      </c>
      <c r="E934" t="s">
        <v>26</v>
      </c>
      <c r="F934" t="s">
        <v>554</v>
      </c>
      <c r="G934" s="1">
        <v>45560</v>
      </c>
      <c r="H934" s="1">
        <v>45844</v>
      </c>
      <c r="I934" t="s">
        <v>3521</v>
      </c>
      <c r="J934" t="s">
        <v>3522</v>
      </c>
      <c r="K934" t="s">
        <v>90</v>
      </c>
      <c r="L934" t="s">
        <v>60</v>
      </c>
      <c r="M934" t="s">
        <v>22</v>
      </c>
    </row>
    <row r="935" spans="1:13" x14ac:dyDescent="0.3">
      <c r="A935" t="s">
        <v>3523</v>
      </c>
      <c r="B935" t="s">
        <v>3524</v>
      </c>
      <c r="C935" t="s">
        <v>76</v>
      </c>
      <c r="D935" t="s">
        <v>34</v>
      </c>
      <c r="E935" t="s">
        <v>26</v>
      </c>
      <c r="F935" t="s">
        <v>18</v>
      </c>
      <c r="G935" s="1">
        <v>44628</v>
      </c>
      <c r="H935" s="1">
        <v>44841</v>
      </c>
      <c r="I935" t="s">
        <v>3525</v>
      </c>
      <c r="J935" t="s">
        <v>3526</v>
      </c>
      <c r="K935" t="s">
        <v>37</v>
      </c>
      <c r="L935" t="s">
        <v>55</v>
      </c>
      <c r="M935" t="s">
        <v>22</v>
      </c>
    </row>
    <row r="936" spans="1:13" x14ac:dyDescent="0.3">
      <c r="A936" t="s">
        <v>3527</v>
      </c>
      <c r="B936" t="s">
        <v>3528</v>
      </c>
      <c r="C936" t="s">
        <v>76</v>
      </c>
      <c r="D936" t="s">
        <v>25</v>
      </c>
      <c r="E936" t="s">
        <v>26</v>
      </c>
      <c r="F936" t="s">
        <v>18</v>
      </c>
      <c r="G936" s="1">
        <v>45426</v>
      </c>
      <c r="H936" s="1">
        <v>45695</v>
      </c>
      <c r="I936" t="s">
        <v>3529</v>
      </c>
      <c r="J936" t="s">
        <v>3530</v>
      </c>
      <c r="K936" t="s">
        <v>90</v>
      </c>
      <c r="L936" t="s">
        <v>55</v>
      </c>
      <c r="M936" t="s">
        <v>22</v>
      </c>
    </row>
    <row r="937" spans="1:13" x14ac:dyDescent="0.3">
      <c r="A937" t="s">
        <v>3531</v>
      </c>
      <c r="B937" t="s">
        <v>3532</v>
      </c>
      <c r="C937" t="s">
        <v>181</v>
      </c>
      <c r="D937" t="s">
        <v>67</v>
      </c>
      <c r="E937" t="s">
        <v>26</v>
      </c>
      <c r="F937" t="s">
        <v>18</v>
      </c>
      <c r="G937" s="1">
        <v>44749</v>
      </c>
      <c r="H937" s="1">
        <v>44917</v>
      </c>
      <c r="I937" t="s">
        <v>3533</v>
      </c>
      <c r="J937" t="s">
        <v>3534</v>
      </c>
      <c r="K937" t="s">
        <v>37</v>
      </c>
      <c r="L937" t="s">
        <v>30</v>
      </c>
      <c r="M937" t="s">
        <v>22</v>
      </c>
    </row>
    <row r="938" spans="1:13" x14ac:dyDescent="0.3">
      <c r="A938" t="s">
        <v>3535</v>
      </c>
      <c r="B938" t="s">
        <v>3536</v>
      </c>
      <c r="C938" t="s">
        <v>15</v>
      </c>
      <c r="D938" t="s">
        <v>77</v>
      </c>
      <c r="E938" t="s">
        <v>52</v>
      </c>
      <c r="F938" t="s">
        <v>18</v>
      </c>
      <c r="G938" s="1">
        <v>45219</v>
      </c>
      <c r="H938" s="1">
        <v>45345</v>
      </c>
      <c r="I938" t="s">
        <v>3537</v>
      </c>
      <c r="J938" t="s">
        <v>2185</v>
      </c>
      <c r="K938" t="s">
        <v>21</v>
      </c>
      <c r="L938" t="s">
        <v>91</v>
      </c>
      <c r="M938" t="s">
        <v>22</v>
      </c>
    </row>
    <row r="939" spans="1:13" x14ac:dyDescent="0.3">
      <c r="A939" t="s">
        <v>3538</v>
      </c>
      <c r="B939" t="s">
        <v>3539</v>
      </c>
      <c r="C939" t="s">
        <v>33</v>
      </c>
      <c r="D939" t="s">
        <v>67</v>
      </c>
      <c r="E939" t="s">
        <v>26</v>
      </c>
      <c r="F939" t="s">
        <v>18</v>
      </c>
      <c r="G939" s="1">
        <v>43784</v>
      </c>
      <c r="H939" s="1">
        <v>44048</v>
      </c>
      <c r="I939" t="s">
        <v>3540</v>
      </c>
      <c r="J939" t="s">
        <v>3541</v>
      </c>
      <c r="K939" t="s">
        <v>37</v>
      </c>
      <c r="L939" t="s">
        <v>91</v>
      </c>
      <c r="M939" t="s">
        <v>22</v>
      </c>
    </row>
    <row r="940" spans="1:13" x14ac:dyDescent="0.3">
      <c r="A940" t="s">
        <v>3542</v>
      </c>
      <c r="B940" t="s">
        <v>3543</v>
      </c>
      <c r="C940" t="s">
        <v>76</v>
      </c>
      <c r="D940" t="s">
        <v>51</v>
      </c>
      <c r="E940" t="s">
        <v>52</v>
      </c>
      <c r="F940" t="s">
        <v>160</v>
      </c>
      <c r="G940" s="1">
        <v>43864</v>
      </c>
      <c r="H940" s="1">
        <v>44097</v>
      </c>
      <c r="I940" t="s">
        <v>3544</v>
      </c>
      <c r="J940" t="s">
        <v>3545</v>
      </c>
      <c r="K940" t="s">
        <v>90</v>
      </c>
      <c r="L940" t="s">
        <v>60</v>
      </c>
      <c r="M940" t="s">
        <v>22</v>
      </c>
    </row>
    <row r="941" spans="1:13" x14ac:dyDescent="0.3">
      <c r="A941" t="s">
        <v>3546</v>
      </c>
      <c r="B941" t="s">
        <v>879</v>
      </c>
      <c r="C941" t="s">
        <v>15</v>
      </c>
      <c r="D941" t="s">
        <v>41</v>
      </c>
      <c r="E941" t="s">
        <v>17</v>
      </c>
      <c r="F941" t="s">
        <v>18</v>
      </c>
      <c r="G941" s="1">
        <v>43959</v>
      </c>
      <c r="H941" s="1">
        <v>44316</v>
      </c>
      <c r="I941" t="s">
        <v>3547</v>
      </c>
      <c r="J941" t="s">
        <v>3548</v>
      </c>
      <c r="K941" t="s">
        <v>29</v>
      </c>
      <c r="M941" t="s">
        <v>22</v>
      </c>
    </row>
    <row r="942" spans="1:13" x14ac:dyDescent="0.3">
      <c r="A942" t="s">
        <v>3549</v>
      </c>
      <c r="B942" t="s">
        <v>3550</v>
      </c>
      <c r="C942" t="s">
        <v>40</v>
      </c>
      <c r="D942" t="s">
        <v>25</v>
      </c>
      <c r="E942" t="s">
        <v>26</v>
      </c>
      <c r="F942" t="s">
        <v>18</v>
      </c>
      <c r="G942" s="1">
        <v>45122</v>
      </c>
      <c r="H942" s="1">
        <v>45206</v>
      </c>
      <c r="I942" t="s">
        <v>3551</v>
      </c>
      <c r="J942" t="s">
        <v>3552</v>
      </c>
      <c r="K942" t="s">
        <v>90</v>
      </c>
      <c r="L942" t="s">
        <v>30</v>
      </c>
      <c r="M942" t="s">
        <v>22</v>
      </c>
    </row>
    <row r="943" spans="1:13" x14ac:dyDescent="0.3">
      <c r="A943" t="s">
        <v>3553</v>
      </c>
      <c r="B943" t="s">
        <v>3554</v>
      </c>
      <c r="C943" t="s">
        <v>76</v>
      </c>
      <c r="D943" t="s">
        <v>34</v>
      </c>
      <c r="E943" t="s">
        <v>26</v>
      </c>
      <c r="F943" t="s">
        <v>18</v>
      </c>
      <c r="G943" s="1">
        <v>45601</v>
      </c>
      <c r="H943" s="1">
        <v>45925</v>
      </c>
      <c r="I943" t="s">
        <v>3555</v>
      </c>
      <c r="J943" t="s">
        <v>3556</v>
      </c>
      <c r="K943" t="s">
        <v>37</v>
      </c>
      <c r="L943" t="s">
        <v>30</v>
      </c>
      <c r="M943" t="s">
        <v>22</v>
      </c>
    </row>
    <row r="944" spans="1:13" x14ac:dyDescent="0.3">
      <c r="A944" t="s">
        <v>3557</v>
      </c>
      <c r="B944" t="s">
        <v>3558</v>
      </c>
      <c r="C944" t="s">
        <v>87</v>
      </c>
      <c r="D944" t="s">
        <v>51</v>
      </c>
      <c r="E944" t="s">
        <v>52</v>
      </c>
      <c r="F944" t="s">
        <v>18</v>
      </c>
      <c r="G944" s="1">
        <v>45319</v>
      </c>
      <c r="H944" s="1">
        <v>45548</v>
      </c>
      <c r="I944" t="s">
        <v>3559</v>
      </c>
      <c r="J944" t="s">
        <v>3560</v>
      </c>
      <c r="K944" t="s">
        <v>90</v>
      </c>
      <c r="L944" t="s">
        <v>116</v>
      </c>
      <c r="M944" t="s">
        <v>22</v>
      </c>
    </row>
    <row r="945" spans="1:13" x14ac:dyDescent="0.3">
      <c r="A945" t="s">
        <v>3561</v>
      </c>
      <c r="B945" t="s">
        <v>3562</v>
      </c>
      <c r="C945" t="s">
        <v>15</v>
      </c>
      <c r="D945" t="s">
        <v>34</v>
      </c>
      <c r="E945" t="s">
        <v>26</v>
      </c>
      <c r="F945" t="s">
        <v>18</v>
      </c>
      <c r="G945" s="1">
        <v>44039</v>
      </c>
      <c r="H945" s="1">
        <v>44404</v>
      </c>
      <c r="I945" t="s">
        <v>3563</v>
      </c>
      <c r="J945" t="s">
        <v>3564</v>
      </c>
      <c r="K945" t="s">
        <v>37</v>
      </c>
      <c r="L945" t="s">
        <v>60</v>
      </c>
      <c r="M945" t="s">
        <v>22</v>
      </c>
    </row>
    <row r="946" spans="1:13" x14ac:dyDescent="0.3">
      <c r="A946" t="s">
        <v>3565</v>
      </c>
      <c r="B946" t="s">
        <v>3566</v>
      </c>
      <c r="C946" t="s">
        <v>76</v>
      </c>
      <c r="D946" t="s">
        <v>16</v>
      </c>
      <c r="E946" t="s">
        <v>17</v>
      </c>
      <c r="F946" t="s">
        <v>18</v>
      </c>
      <c r="G946" s="1">
        <v>43523</v>
      </c>
      <c r="H946" s="1">
        <v>43793</v>
      </c>
      <c r="I946" t="s">
        <v>3567</v>
      </c>
      <c r="J946" t="s">
        <v>3568</v>
      </c>
      <c r="K946" t="s">
        <v>29</v>
      </c>
      <c r="L946" t="s">
        <v>55</v>
      </c>
      <c r="M946" t="s">
        <v>22</v>
      </c>
    </row>
    <row r="947" spans="1:13" x14ac:dyDescent="0.3">
      <c r="A947" t="s">
        <v>3569</v>
      </c>
      <c r="B947" t="s">
        <v>3570</v>
      </c>
      <c r="C947" t="s">
        <v>87</v>
      </c>
      <c r="D947" t="s">
        <v>77</v>
      </c>
      <c r="E947" t="s">
        <v>52</v>
      </c>
      <c r="F947" t="s">
        <v>18</v>
      </c>
      <c r="G947" s="1">
        <v>44908</v>
      </c>
      <c r="H947" s="1">
        <v>44994</v>
      </c>
      <c r="I947" t="s">
        <v>3571</v>
      </c>
      <c r="J947" t="s">
        <v>3572</v>
      </c>
      <c r="K947" t="s">
        <v>21</v>
      </c>
      <c r="L947" t="s">
        <v>55</v>
      </c>
      <c r="M947" t="s">
        <v>22</v>
      </c>
    </row>
    <row r="948" spans="1:13" x14ac:dyDescent="0.3">
      <c r="A948" t="s">
        <v>3573</v>
      </c>
      <c r="B948" t="s">
        <v>3574</v>
      </c>
      <c r="C948" t="s">
        <v>15</v>
      </c>
      <c r="D948" t="s">
        <v>25</v>
      </c>
      <c r="E948" t="s">
        <v>26</v>
      </c>
      <c r="F948" t="s">
        <v>18</v>
      </c>
      <c r="G948" s="2">
        <v>43891</v>
      </c>
      <c r="H948" s="1">
        <v>44519</v>
      </c>
      <c r="I948" t="s">
        <v>3575</v>
      </c>
      <c r="J948" t="s">
        <v>3576</v>
      </c>
      <c r="K948" t="s">
        <v>21</v>
      </c>
      <c r="L948" t="s">
        <v>55</v>
      </c>
      <c r="M948" t="s">
        <v>22</v>
      </c>
    </row>
    <row r="949" spans="1:13" x14ac:dyDescent="0.3">
      <c r="A949" t="s">
        <v>3577</v>
      </c>
      <c r="B949" t="s">
        <v>3578</v>
      </c>
      <c r="C949" t="s">
        <v>181</v>
      </c>
      <c r="D949" t="s">
        <v>25</v>
      </c>
      <c r="E949" t="s">
        <v>26</v>
      </c>
      <c r="F949" t="s">
        <v>18</v>
      </c>
      <c r="G949" s="1">
        <v>43500</v>
      </c>
      <c r="H949" s="1">
        <v>43812</v>
      </c>
      <c r="I949" t="s">
        <v>3579</v>
      </c>
      <c r="J949" t="s">
        <v>3580</v>
      </c>
      <c r="K949" t="s">
        <v>29</v>
      </c>
      <c r="M949" t="s">
        <v>22</v>
      </c>
    </row>
    <row r="950" spans="1:13" x14ac:dyDescent="0.3">
      <c r="A950" t="s">
        <v>3581</v>
      </c>
      <c r="B950" t="s">
        <v>3582</v>
      </c>
      <c r="C950" t="s">
        <v>87</v>
      </c>
      <c r="D950" t="s">
        <v>16</v>
      </c>
      <c r="E950" t="s">
        <v>17</v>
      </c>
      <c r="F950" t="s">
        <v>160</v>
      </c>
      <c r="G950" s="1">
        <v>44994</v>
      </c>
      <c r="H950" s="1">
        <v>44999</v>
      </c>
      <c r="I950" t="s">
        <v>3583</v>
      </c>
      <c r="J950" t="s">
        <v>3584</v>
      </c>
      <c r="K950" t="s">
        <v>90</v>
      </c>
      <c r="L950" t="s">
        <v>60</v>
      </c>
      <c r="M950" t="s">
        <v>22</v>
      </c>
    </row>
    <row r="951" spans="1:13" x14ac:dyDescent="0.3">
      <c r="A951" t="s">
        <v>3585</v>
      </c>
      <c r="B951" t="s">
        <v>3586</v>
      </c>
      <c r="C951" t="s">
        <v>15</v>
      </c>
      <c r="D951" t="s">
        <v>34</v>
      </c>
      <c r="E951" t="s">
        <v>26</v>
      </c>
      <c r="F951" t="s">
        <v>160</v>
      </c>
      <c r="G951" s="1">
        <v>44144</v>
      </c>
      <c r="H951" s="1">
        <v>44368</v>
      </c>
      <c r="I951" t="s">
        <v>3587</v>
      </c>
      <c r="J951" t="s">
        <v>3588</v>
      </c>
      <c r="K951" t="s">
        <v>29</v>
      </c>
      <c r="M951" t="s">
        <v>22</v>
      </c>
    </row>
    <row r="952" spans="1:13" x14ac:dyDescent="0.3">
      <c r="A952" t="s">
        <v>3589</v>
      </c>
      <c r="B952" t="s">
        <v>3590</v>
      </c>
      <c r="C952" t="s">
        <v>46</v>
      </c>
      <c r="D952" t="s">
        <v>41</v>
      </c>
      <c r="E952" t="s">
        <v>17</v>
      </c>
      <c r="F952" t="s">
        <v>18</v>
      </c>
      <c r="G952" s="1">
        <v>44202</v>
      </c>
      <c r="H952" s="1">
        <v>44551</v>
      </c>
      <c r="I952" t="s">
        <v>3591</v>
      </c>
      <c r="J952" t="s">
        <v>2354</v>
      </c>
      <c r="K952" t="s">
        <v>21</v>
      </c>
      <c r="M952" t="s">
        <v>22</v>
      </c>
    </row>
    <row r="953" spans="1:13" x14ac:dyDescent="0.3">
      <c r="A953" t="s">
        <v>3592</v>
      </c>
      <c r="B953" t="s">
        <v>3593</v>
      </c>
      <c r="C953" t="s">
        <v>15</v>
      </c>
      <c r="D953" t="s">
        <v>25</v>
      </c>
      <c r="E953" t="s">
        <v>26</v>
      </c>
      <c r="F953" t="s">
        <v>160</v>
      </c>
      <c r="G953" s="1">
        <v>45588</v>
      </c>
      <c r="I953" t="s">
        <v>3594</v>
      </c>
      <c r="J953" t="s">
        <v>3595</v>
      </c>
      <c r="K953" t="s">
        <v>37</v>
      </c>
      <c r="L953" t="s">
        <v>116</v>
      </c>
      <c r="M953" t="s">
        <v>22</v>
      </c>
    </row>
    <row r="954" spans="1:13" x14ac:dyDescent="0.3">
      <c r="A954" t="s">
        <v>3596</v>
      </c>
      <c r="B954" t="s">
        <v>3597</v>
      </c>
      <c r="C954" t="s">
        <v>181</v>
      </c>
      <c r="D954" t="s">
        <v>25</v>
      </c>
      <c r="E954" t="s">
        <v>26</v>
      </c>
      <c r="F954" t="s">
        <v>18</v>
      </c>
      <c r="G954" s="1">
        <v>44942</v>
      </c>
      <c r="H954" s="1">
        <v>45302</v>
      </c>
      <c r="I954" t="s">
        <v>3598</v>
      </c>
      <c r="J954" t="s">
        <v>3599</v>
      </c>
      <c r="K954" t="s">
        <v>29</v>
      </c>
      <c r="L954" t="s">
        <v>30</v>
      </c>
      <c r="M954" t="s">
        <v>22</v>
      </c>
    </row>
    <row r="955" spans="1:13" x14ac:dyDescent="0.3">
      <c r="A955" t="s">
        <v>3600</v>
      </c>
      <c r="B955" t="s">
        <v>3601</v>
      </c>
      <c r="C955" t="s">
        <v>76</v>
      </c>
      <c r="D955" t="s">
        <v>41</v>
      </c>
      <c r="E955" t="s">
        <v>17</v>
      </c>
      <c r="F955" t="s">
        <v>18</v>
      </c>
      <c r="G955" s="1">
        <v>44616</v>
      </c>
      <c r="H955" s="1">
        <v>44800</v>
      </c>
      <c r="I955" t="s">
        <v>3602</v>
      </c>
      <c r="J955" t="s">
        <v>2501</v>
      </c>
      <c r="K955" t="s">
        <v>29</v>
      </c>
      <c r="L955" t="s">
        <v>91</v>
      </c>
      <c r="M955" t="s">
        <v>22</v>
      </c>
    </row>
    <row r="956" spans="1:13" x14ac:dyDescent="0.3">
      <c r="A956" t="s">
        <v>3603</v>
      </c>
      <c r="B956" t="s">
        <v>2905</v>
      </c>
      <c r="C956" t="s">
        <v>181</v>
      </c>
      <c r="D956" t="s">
        <v>25</v>
      </c>
      <c r="E956" t="s">
        <v>26</v>
      </c>
      <c r="F956" t="s">
        <v>18</v>
      </c>
      <c r="G956" s="1">
        <v>44316</v>
      </c>
      <c r="H956" s="1">
        <v>44668</v>
      </c>
      <c r="I956" t="s">
        <v>2906</v>
      </c>
      <c r="J956" t="s">
        <v>3604</v>
      </c>
      <c r="K956" t="s">
        <v>37</v>
      </c>
      <c r="L956" t="s">
        <v>60</v>
      </c>
      <c r="M956" t="s">
        <v>22</v>
      </c>
    </row>
    <row r="957" spans="1:13" x14ac:dyDescent="0.3">
      <c r="A957" t="s">
        <v>3605</v>
      </c>
      <c r="B957" t="s">
        <v>767</v>
      </c>
      <c r="C957" t="s">
        <v>15</v>
      </c>
      <c r="D957" t="s">
        <v>67</v>
      </c>
      <c r="E957" t="s">
        <v>26</v>
      </c>
      <c r="F957" t="s">
        <v>18</v>
      </c>
      <c r="G957" s="1">
        <v>44982</v>
      </c>
      <c r="H957" s="1">
        <v>45268</v>
      </c>
      <c r="I957" t="s">
        <v>768</v>
      </c>
      <c r="J957" t="s">
        <v>3606</v>
      </c>
      <c r="K957" t="s">
        <v>29</v>
      </c>
      <c r="L957" t="s">
        <v>116</v>
      </c>
      <c r="M957" t="s">
        <v>22</v>
      </c>
    </row>
    <row r="958" spans="1:13" x14ac:dyDescent="0.3">
      <c r="A958" t="s">
        <v>3607</v>
      </c>
      <c r="B958" t="s">
        <v>3608</v>
      </c>
      <c r="C958" t="s">
        <v>46</v>
      </c>
      <c r="D958" t="s">
        <v>41</v>
      </c>
      <c r="E958" t="s">
        <v>17</v>
      </c>
      <c r="F958" t="s">
        <v>18</v>
      </c>
      <c r="G958" s="1">
        <v>43883</v>
      </c>
      <c r="H958" s="1">
        <v>43954</v>
      </c>
      <c r="I958" t="s">
        <v>3609</v>
      </c>
      <c r="J958" t="s">
        <v>3610</v>
      </c>
      <c r="K958" t="s">
        <v>90</v>
      </c>
      <c r="L958" t="s">
        <v>55</v>
      </c>
      <c r="M958" t="s">
        <v>22</v>
      </c>
    </row>
    <row r="959" spans="1:13" x14ac:dyDescent="0.3">
      <c r="A959" t="s">
        <v>3611</v>
      </c>
      <c r="B959" t="s">
        <v>3612</v>
      </c>
      <c r="C959" t="s">
        <v>15</v>
      </c>
      <c r="D959" t="s">
        <v>34</v>
      </c>
      <c r="F959" t="s">
        <v>18</v>
      </c>
      <c r="G959" s="1">
        <v>44692</v>
      </c>
      <c r="H959" s="1">
        <v>44878</v>
      </c>
      <c r="I959" t="s">
        <v>3613</v>
      </c>
      <c r="J959" t="s">
        <v>3614</v>
      </c>
      <c r="K959" t="s">
        <v>21</v>
      </c>
      <c r="M959" t="s">
        <v>22</v>
      </c>
    </row>
    <row r="960" spans="1:13" x14ac:dyDescent="0.3">
      <c r="A960" t="s">
        <v>3615</v>
      </c>
      <c r="B960" t="s">
        <v>2934</v>
      </c>
      <c r="C960" t="s">
        <v>538</v>
      </c>
      <c r="D960" t="s">
        <v>41</v>
      </c>
      <c r="E960" t="s">
        <v>17</v>
      </c>
      <c r="F960" t="s">
        <v>151</v>
      </c>
      <c r="G960" s="1">
        <v>44006</v>
      </c>
      <c r="H960" s="1">
        <v>44338</v>
      </c>
      <c r="I960" t="s">
        <v>2935</v>
      </c>
      <c r="J960" t="s">
        <v>3616</v>
      </c>
      <c r="K960" t="s">
        <v>29</v>
      </c>
      <c r="L960" t="s">
        <v>60</v>
      </c>
      <c r="M960" t="s">
        <v>22</v>
      </c>
    </row>
    <row r="961" spans="1:13" x14ac:dyDescent="0.3">
      <c r="A961" t="s">
        <v>3617</v>
      </c>
      <c r="B961" t="s">
        <v>3618</v>
      </c>
      <c r="C961" t="s">
        <v>15</v>
      </c>
      <c r="D961" t="s">
        <v>77</v>
      </c>
      <c r="E961" t="s">
        <v>52</v>
      </c>
      <c r="F961" t="s">
        <v>18</v>
      </c>
      <c r="G961" s="1">
        <v>44759</v>
      </c>
      <c r="H961" s="1">
        <v>45030</v>
      </c>
      <c r="I961" t="s">
        <v>3619</v>
      </c>
      <c r="J961" t="s">
        <v>3620</v>
      </c>
      <c r="K961" t="s">
        <v>29</v>
      </c>
      <c r="L961" t="s">
        <v>30</v>
      </c>
      <c r="M961" t="s">
        <v>22</v>
      </c>
    </row>
    <row r="962" spans="1:13" x14ac:dyDescent="0.3">
      <c r="A962" t="s">
        <v>3621</v>
      </c>
      <c r="B962" t="s">
        <v>3622</v>
      </c>
      <c r="C962" t="s">
        <v>33</v>
      </c>
      <c r="D962" t="s">
        <v>41</v>
      </c>
      <c r="E962" t="s">
        <v>17</v>
      </c>
      <c r="F962" t="s">
        <v>18</v>
      </c>
      <c r="G962" s="1">
        <v>45408</v>
      </c>
      <c r="H962" s="1">
        <v>45442</v>
      </c>
      <c r="I962" t="s">
        <v>3623</v>
      </c>
      <c r="J962" t="s">
        <v>3624</v>
      </c>
      <c r="K962" t="s">
        <v>90</v>
      </c>
      <c r="L962" t="s">
        <v>30</v>
      </c>
      <c r="M962" t="s">
        <v>22</v>
      </c>
    </row>
    <row r="963" spans="1:13" x14ac:dyDescent="0.3">
      <c r="A963" t="s">
        <v>3625</v>
      </c>
      <c r="B963" t="s">
        <v>3626</v>
      </c>
      <c r="C963" t="s">
        <v>87</v>
      </c>
      <c r="D963" t="s">
        <v>41</v>
      </c>
      <c r="E963" t="s">
        <v>17</v>
      </c>
      <c r="F963" t="s">
        <v>160</v>
      </c>
      <c r="G963" s="1">
        <v>44264</v>
      </c>
      <c r="H963" s="1">
        <v>44530</v>
      </c>
      <c r="I963" t="s">
        <v>736</v>
      </c>
      <c r="J963" t="s">
        <v>1111</v>
      </c>
      <c r="K963" t="s">
        <v>29</v>
      </c>
      <c r="L963" t="s">
        <v>91</v>
      </c>
      <c r="M963" t="s">
        <v>22</v>
      </c>
    </row>
    <row r="964" spans="1:13" x14ac:dyDescent="0.3">
      <c r="A964" t="s">
        <v>3627</v>
      </c>
      <c r="B964" t="s">
        <v>3628</v>
      </c>
      <c r="C964" t="s">
        <v>46</v>
      </c>
      <c r="D964" t="s">
        <v>41</v>
      </c>
      <c r="E964" t="s">
        <v>17</v>
      </c>
      <c r="F964" t="s">
        <v>151</v>
      </c>
      <c r="G964" s="1">
        <v>44592</v>
      </c>
      <c r="H964" s="1">
        <v>44697</v>
      </c>
      <c r="I964" t="s">
        <v>3629</v>
      </c>
      <c r="J964" t="s">
        <v>3630</v>
      </c>
      <c r="K964" t="s">
        <v>90</v>
      </c>
      <c r="L964" t="s">
        <v>91</v>
      </c>
      <c r="M964" t="s">
        <v>22</v>
      </c>
    </row>
    <row r="965" spans="1:13" x14ac:dyDescent="0.3">
      <c r="A965" t="s">
        <v>3631</v>
      </c>
      <c r="B965" t="s">
        <v>3632</v>
      </c>
      <c r="C965" t="s">
        <v>46</v>
      </c>
      <c r="D965" t="s">
        <v>51</v>
      </c>
      <c r="E965" t="s">
        <v>52</v>
      </c>
      <c r="F965" t="s">
        <v>160</v>
      </c>
      <c r="G965" s="1">
        <v>45269</v>
      </c>
      <c r="H965" s="1">
        <v>45320</v>
      </c>
      <c r="I965" t="s">
        <v>3633</v>
      </c>
      <c r="J965" t="s">
        <v>3634</v>
      </c>
      <c r="K965" t="s">
        <v>90</v>
      </c>
      <c r="M965" t="s">
        <v>22</v>
      </c>
    </row>
    <row r="966" spans="1:13" x14ac:dyDescent="0.3">
      <c r="A966" t="s">
        <v>3635</v>
      </c>
      <c r="B966" t="s">
        <v>3636</v>
      </c>
      <c r="C966" t="s">
        <v>181</v>
      </c>
      <c r="D966" t="s">
        <v>16</v>
      </c>
      <c r="E966" t="s">
        <v>17</v>
      </c>
      <c r="F966" t="s">
        <v>18</v>
      </c>
      <c r="G966" s="1">
        <v>43718</v>
      </c>
      <c r="H966" s="1">
        <v>43795</v>
      </c>
      <c r="I966" t="s">
        <v>3637</v>
      </c>
      <c r="J966" t="s">
        <v>3638</v>
      </c>
      <c r="K966" t="s">
        <v>29</v>
      </c>
      <c r="L966" t="s">
        <v>91</v>
      </c>
      <c r="M966" t="s">
        <v>22</v>
      </c>
    </row>
    <row r="967" spans="1:13" x14ac:dyDescent="0.3">
      <c r="A967" t="s">
        <v>3639</v>
      </c>
      <c r="B967" t="s">
        <v>3640</v>
      </c>
      <c r="C967" t="s">
        <v>46</v>
      </c>
      <c r="D967" t="s">
        <v>25</v>
      </c>
      <c r="E967" t="s">
        <v>26</v>
      </c>
      <c r="F967" t="s">
        <v>160</v>
      </c>
      <c r="G967" s="1">
        <v>44183</v>
      </c>
      <c r="H967" s="1">
        <v>44423</v>
      </c>
      <c r="I967" t="s">
        <v>3641</v>
      </c>
      <c r="J967" t="s">
        <v>3162</v>
      </c>
      <c r="K967" t="s">
        <v>29</v>
      </c>
      <c r="L967" t="s">
        <v>55</v>
      </c>
      <c r="M967" t="s">
        <v>22</v>
      </c>
    </row>
    <row r="968" spans="1:13" x14ac:dyDescent="0.3">
      <c r="A968" t="s">
        <v>3642</v>
      </c>
      <c r="B968" t="s">
        <v>3643</v>
      </c>
      <c r="C968" t="s">
        <v>87</v>
      </c>
      <c r="D968" t="s">
        <v>25</v>
      </c>
      <c r="E968" t="s">
        <v>26</v>
      </c>
      <c r="F968" t="s">
        <v>18</v>
      </c>
      <c r="G968" s="1">
        <v>45651</v>
      </c>
      <c r="H968" s="1">
        <v>45763</v>
      </c>
      <c r="I968" t="s">
        <v>3644</v>
      </c>
      <c r="J968" t="s">
        <v>3645</v>
      </c>
      <c r="K968" t="s">
        <v>29</v>
      </c>
      <c r="M968" t="s">
        <v>22</v>
      </c>
    </row>
    <row r="969" spans="1:13" x14ac:dyDescent="0.3">
      <c r="A969" t="s">
        <v>3646</v>
      </c>
      <c r="C969" t="s">
        <v>87</v>
      </c>
      <c r="D969" t="s">
        <v>51</v>
      </c>
      <c r="E969" t="s">
        <v>52</v>
      </c>
      <c r="F969" t="s">
        <v>18</v>
      </c>
      <c r="G969" s="1">
        <v>43785</v>
      </c>
      <c r="H969" s="1">
        <v>44077</v>
      </c>
      <c r="I969" t="s">
        <v>3647</v>
      </c>
      <c r="J969" t="s">
        <v>3648</v>
      </c>
      <c r="K969" t="s">
        <v>90</v>
      </c>
      <c r="L969" t="s">
        <v>55</v>
      </c>
      <c r="M969" t="s">
        <v>22</v>
      </c>
    </row>
    <row r="970" spans="1:13" x14ac:dyDescent="0.3">
      <c r="A970" t="s">
        <v>3649</v>
      </c>
      <c r="B970" t="s">
        <v>3650</v>
      </c>
      <c r="C970" t="s">
        <v>15</v>
      </c>
      <c r="D970" t="s">
        <v>34</v>
      </c>
      <c r="E970" t="s">
        <v>26</v>
      </c>
      <c r="F970" t="s">
        <v>18</v>
      </c>
      <c r="G970" s="1">
        <v>43965</v>
      </c>
      <c r="H970" s="1">
        <v>44258</v>
      </c>
      <c r="I970" t="s">
        <v>3651</v>
      </c>
      <c r="J970" t="s">
        <v>3652</v>
      </c>
      <c r="K970" t="s">
        <v>21</v>
      </c>
      <c r="L970" t="s">
        <v>116</v>
      </c>
      <c r="M970" t="s">
        <v>22</v>
      </c>
    </row>
    <row r="971" spans="1:13" x14ac:dyDescent="0.3">
      <c r="A971" t="s">
        <v>3653</v>
      </c>
      <c r="B971" t="s">
        <v>3654</v>
      </c>
      <c r="C971" t="s">
        <v>40</v>
      </c>
      <c r="D971" t="s">
        <v>51</v>
      </c>
      <c r="E971" t="s">
        <v>52</v>
      </c>
      <c r="F971" t="s">
        <v>160</v>
      </c>
      <c r="G971" s="1">
        <v>44016</v>
      </c>
      <c r="H971" s="1">
        <v>44363</v>
      </c>
      <c r="I971" t="s">
        <v>3655</v>
      </c>
      <c r="J971" t="s">
        <v>3656</v>
      </c>
      <c r="K971" t="s">
        <v>21</v>
      </c>
      <c r="L971" t="s">
        <v>30</v>
      </c>
      <c r="M971" t="s">
        <v>22</v>
      </c>
    </row>
    <row r="972" spans="1:13" x14ac:dyDescent="0.3">
      <c r="A972" t="s">
        <v>3657</v>
      </c>
      <c r="B972" t="s">
        <v>3658</v>
      </c>
      <c r="C972" t="s">
        <v>15</v>
      </c>
      <c r="D972" t="s">
        <v>16</v>
      </c>
      <c r="E972" t="s">
        <v>17</v>
      </c>
      <c r="F972" t="s">
        <v>18</v>
      </c>
      <c r="G972" s="1">
        <v>44350</v>
      </c>
      <c r="H972" s="1">
        <v>44469</v>
      </c>
      <c r="I972" t="s">
        <v>3659</v>
      </c>
      <c r="J972" t="s">
        <v>3660</v>
      </c>
      <c r="K972" t="s">
        <v>90</v>
      </c>
      <c r="L972" t="s">
        <v>116</v>
      </c>
      <c r="M972" t="s">
        <v>22</v>
      </c>
    </row>
    <row r="973" spans="1:13" x14ac:dyDescent="0.3">
      <c r="A973" t="s">
        <v>3661</v>
      </c>
      <c r="B973" t="s">
        <v>3662</v>
      </c>
      <c r="C973" t="s">
        <v>15</v>
      </c>
      <c r="D973" t="s">
        <v>25</v>
      </c>
      <c r="E973" t="s">
        <v>26</v>
      </c>
      <c r="F973" t="s">
        <v>18</v>
      </c>
      <c r="G973" s="1">
        <v>44831</v>
      </c>
      <c r="H973" s="1">
        <v>45005</v>
      </c>
      <c r="I973" t="s">
        <v>3663</v>
      </c>
      <c r="J973" t="s">
        <v>3664</v>
      </c>
      <c r="K973" t="s">
        <v>37</v>
      </c>
      <c r="L973" t="s">
        <v>55</v>
      </c>
      <c r="M973" t="s">
        <v>22</v>
      </c>
    </row>
    <row r="974" spans="1:13" x14ac:dyDescent="0.3">
      <c r="A974" t="s">
        <v>3665</v>
      </c>
      <c r="B974" t="s">
        <v>3666</v>
      </c>
      <c r="C974" t="s">
        <v>40</v>
      </c>
      <c r="D974" t="s">
        <v>51</v>
      </c>
      <c r="E974" t="s">
        <v>26</v>
      </c>
      <c r="F974" t="s">
        <v>18</v>
      </c>
      <c r="G974" s="1">
        <v>45378</v>
      </c>
      <c r="H974" s="1">
        <v>45405</v>
      </c>
      <c r="I974" t="s">
        <v>3667</v>
      </c>
      <c r="J974" t="s">
        <v>3668</v>
      </c>
      <c r="K974" t="s">
        <v>21</v>
      </c>
      <c r="M974" t="s">
        <v>22</v>
      </c>
    </row>
    <row r="975" spans="1:13" x14ac:dyDescent="0.3">
      <c r="A975" t="s">
        <v>3669</v>
      </c>
      <c r="B975" t="s">
        <v>3670</v>
      </c>
      <c r="C975" t="s">
        <v>46</v>
      </c>
      <c r="D975" t="s">
        <v>41</v>
      </c>
      <c r="E975" t="s">
        <v>17</v>
      </c>
      <c r="F975" t="s">
        <v>151</v>
      </c>
      <c r="G975" s="1">
        <v>43486</v>
      </c>
      <c r="H975" s="1">
        <v>43699</v>
      </c>
      <c r="I975" t="s">
        <v>3671</v>
      </c>
      <c r="J975" t="s">
        <v>3672</v>
      </c>
      <c r="K975" t="s">
        <v>21</v>
      </c>
      <c r="M975" t="s">
        <v>22</v>
      </c>
    </row>
    <row r="976" spans="1:13" x14ac:dyDescent="0.3">
      <c r="A976" t="s">
        <v>3673</v>
      </c>
      <c r="B976" t="s">
        <v>3674</v>
      </c>
      <c r="C976" t="s">
        <v>40</v>
      </c>
      <c r="D976" t="s">
        <v>77</v>
      </c>
      <c r="E976" t="s">
        <v>52</v>
      </c>
      <c r="F976" t="s">
        <v>18</v>
      </c>
      <c r="G976" s="1">
        <v>44450</v>
      </c>
      <c r="H976" s="1">
        <v>44803</v>
      </c>
      <c r="I976" t="s">
        <v>3675</v>
      </c>
      <c r="J976" t="s">
        <v>3676</v>
      </c>
      <c r="K976" t="s">
        <v>21</v>
      </c>
      <c r="L976" t="s">
        <v>60</v>
      </c>
      <c r="M976" t="s">
        <v>22</v>
      </c>
    </row>
    <row r="977" spans="1:13" x14ac:dyDescent="0.3">
      <c r="A977" t="s">
        <v>3677</v>
      </c>
      <c r="B977" t="s">
        <v>3678</v>
      </c>
      <c r="C977" t="s">
        <v>15</v>
      </c>
      <c r="D977" t="s">
        <v>77</v>
      </c>
      <c r="E977" t="s">
        <v>52</v>
      </c>
      <c r="F977" t="s">
        <v>151</v>
      </c>
      <c r="G977" s="1">
        <v>44113</v>
      </c>
      <c r="H977" s="1">
        <v>44150</v>
      </c>
      <c r="I977" t="s">
        <v>3679</v>
      </c>
      <c r="J977" t="s">
        <v>3680</v>
      </c>
      <c r="K977" t="s">
        <v>29</v>
      </c>
      <c r="M977" t="s">
        <v>22</v>
      </c>
    </row>
    <row r="978" spans="1:13" x14ac:dyDescent="0.3">
      <c r="A978" t="s">
        <v>3681</v>
      </c>
      <c r="B978" t="s">
        <v>3682</v>
      </c>
      <c r="C978" t="s">
        <v>40</v>
      </c>
      <c r="D978" t="s">
        <v>77</v>
      </c>
      <c r="E978" t="s">
        <v>52</v>
      </c>
      <c r="F978" t="s">
        <v>160</v>
      </c>
      <c r="G978" s="1">
        <v>44460</v>
      </c>
      <c r="I978" t="s">
        <v>3683</v>
      </c>
      <c r="J978" t="s">
        <v>3684</v>
      </c>
      <c r="K978" t="s">
        <v>21</v>
      </c>
      <c r="L978" t="s">
        <v>55</v>
      </c>
      <c r="M978" t="s">
        <v>22</v>
      </c>
    </row>
    <row r="979" spans="1:13" x14ac:dyDescent="0.3">
      <c r="A979" t="s">
        <v>3685</v>
      </c>
      <c r="B979" t="s">
        <v>3686</v>
      </c>
      <c r="C979" t="s">
        <v>40</v>
      </c>
      <c r="D979" t="s">
        <v>34</v>
      </c>
      <c r="E979" t="s">
        <v>26</v>
      </c>
      <c r="F979" t="s">
        <v>151</v>
      </c>
      <c r="G979" s="1">
        <v>44133</v>
      </c>
      <c r="H979" s="1">
        <v>44206</v>
      </c>
      <c r="I979" t="s">
        <v>3687</v>
      </c>
      <c r="J979" t="s">
        <v>3688</v>
      </c>
      <c r="K979" t="s">
        <v>21</v>
      </c>
      <c r="M979" t="s">
        <v>22</v>
      </c>
    </row>
    <row r="980" spans="1:13" x14ac:dyDescent="0.3">
      <c r="A980" t="s">
        <v>3689</v>
      </c>
      <c r="B980" t="s">
        <v>3690</v>
      </c>
      <c r="C980" t="s">
        <v>87</v>
      </c>
      <c r="D980" t="s">
        <v>16</v>
      </c>
      <c r="E980" t="s">
        <v>17</v>
      </c>
      <c r="F980" t="s">
        <v>18</v>
      </c>
      <c r="G980" s="1">
        <v>45095</v>
      </c>
      <c r="H980" s="1">
        <v>45270</v>
      </c>
      <c r="I980" t="s">
        <v>3691</v>
      </c>
      <c r="J980" t="s">
        <v>3692</v>
      </c>
      <c r="K980" t="s">
        <v>37</v>
      </c>
      <c r="L980" t="s">
        <v>55</v>
      </c>
      <c r="M980" t="s">
        <v>22</v>
      </c>
    </row>
    <row r="981" spans="1:13" x14ac:dyDescent="0.3">
      <c r="A981" t="s">
        <v>3693</v>
      </c>
      <c r="B981" t="s">
        <v>3694</v>
      </c>
      <c r="C981" t="s">
        <v>87</v>
      </c>
      <c r="D981" t="s">
        <v>34</v>
      </c>
      <c r="E981" t="s">
        <v>26</v>
      </c>
      <c r="F981" t="s">
        <v>151</v>
      </c>
      <c r="G981" s="1">
        <v>44397</v>
      </c>
      <c r="H981" s="1">
        <v>44443</v>
      </c>
      <c r="I981" t="s">
        <v>3695</v>
      </c>
      <c r="J981" t="s">
        <v>3696</v>
      </c>
      <c r="K981" t="s">
        <v>90</v>
      </c>
      <c r="L981" t="s">
        <v>30</v>
      </c>
      <c r="M981" t="s">
        <v>22</v>
      </c>
    </row>
    <row r="982" spans="1:13" x14ac:dyDescent="0.3">
      <c r="A982" t="s">
        <v>2498</v>
      </c>
      <c r="B982" t="s">
        <v>2499</v>
      </c>
      <c r="C982" t="s">
        <v>40</v>
      </c>
      <c r="D982" t="s">
        <v>51</v>
      </c>
      <c r="E982" t="s">
        <v>52</v>
      </c>
      <c r="F982" t="s">
        <v>151</v>
      </c>
      <c r="G982" s="1">
        <v>43995</v>
      </c>
      <c r="H982" s="1">
        <v>44103</v>
      </c>
      <c r="I982" t="s">
        <v>2500</v>
      </c>
      <c r="J982" t="s">
        <v>2501</v>
      </c>
      <c r="K982" t="s">
        <v>29</v>
      </c>
      <c r="L982" t="s">
        <v>60</v>
      </c>
      <c r="M982" t="s">
        <v>22</v>
      </c>
    </row>
    <row r="983" spans="1:13" x14ac:dyDescent="0.3">
      <c r="A983" t="s">
        <v>1719</v>
      </c>
      <c r="B983" t="s">
        <v>1720</v>
      </c>
      <c r="C983" t="s">
        <v>15</v>
      </c>
      <c r="D983" t="s">
        <v>67</v>
      </c>
      <c r="E983" t="s">
        <v>26</v>
      </c>
      <c r="F983" t="s">
        <v>18</v>
      </c>
      <c r="G983" s="1">
        <v>44490</v>
      </c>
      <c r="H983" s="1">
        <v>44516</v>
      </c>
      <c r="I983" t="s">
        <v>1721</v>
      </c>
      <c r="J983" t="s">
        <v>1722</v>
      </c>
      <c r="K983" t="s">
        <v>90</v>
      </c>
      <c r="M983" t="s">
        <v>22</v>
      </c>
    </row>
    <row r="984" spans="1:13" x14ac:dyDescent="0.3">
      <c r="A984" t="s">
        <v>1292</v>
      </c>
      <c r="B984" t="s">
        <v>1293</v>
      </c>
      <c r="C984" t="s">
        <v>46</v>
      </c>
      <c r="D984" t="s">
        <v>67</v>
      </c>
      <c r="E984" t="s">
        <v>26</v>
      </c>
      <c r="F984" t="s">
        <v>18</v>
      </c>
      <c r="G984" s="1">
        <v>44280</v>
      </c>
      <c r="H984" s="1">
        <v>44626</v>
      </c>
      <c r="I984" t="s">
        <v>1294</v>
      </c>
      <c r="J984" t="s">
        <v>1295</v>
      </c>
      <c r="K984" t="s">
        <v>90</v>
      </c>
      <c r="L984" t="s">
        <v>116</v>
      </c>
      <c r="M984" t="s">
        <v>22</v>
      </c>
    </row>
    <row r="985" spans="1:13" x14ac:dyDescent="0.3">
      <c r="A985" t="s">
        <v>605</v>
      </c>
      <c r="B985" t="s">
        <v>606</v>
      </c>
      <c r="C985" t="s">
        <v>181</v>
      </c>
      <c r="D985" t="s">
        <v>41</v>
      </c>
      <c r="E985" t="s">
        <v>17</v>
      </c>
      <c r="F985" t="s">
        <v>18</v>
      </c>
      <c r="G985" s="1">
        <v>45457</v>
      </c>
      <c r="H985" s="1">
        <v>45555</v>
      </c>
      <c r="I985" t="s">
        <v>607</v>
      </c>
      <c r="J985" t="s">
        <v>608</v>
      </c>
      <c r="K985" t="s">
        <v>37</v>
      </c>
      <c r="L985" t="s">
        <v>60</v>
      </c>
      <c r="M985" t="s">
        <v>22</v>
      </c>
    </row>
    <row r="986" spans="1:13" x14ac:dyDescent="0.3">
      <c r="A986" t="s">
        <v>2430</v>
      </c>
      <c r="B986" t="s">
        <v>2431</v>
      </c>
      <c r="C986" t="s">
        <v>46</v>
      </c>
      <c r="D986" t="s">
        <v>41</v>
      </c>
      <c r="E986" t="s">
        <v>17</v>
      </c>
      <c r="F986" t="s">
        <v>18</v>
      </c>
      <c r="G986" s="1">
        <v>45546</v>
      </c>
      <c r="H986" s="1">
        <v>45587</v>
      </c>
      <c r="I986" t="s">
        <v>2432</v>
      </c>
      <c r="J986" t="s">
        <v>2433</v>
      </c>
      <c r="K986" t="s">
        <v>90</v>
      </c>
      <c r="M986" t="s">
        <v>22</v>
      </c>
    </row>
    <row r="987" spans="1:13" x14ac:dyDescent="0.3">
      <c r="A987" t="s">
        <v>483</v>
      </c>
      <c r="B987" t="s">
        <v>484</v>
      </c>
      <c r="C987" t="s">
        <v>76</v>
      </c>
      <c r="D987" t="s">
        <v>16</v>
      </c>
      <c r="E987" t="s">
        <v>17</v>
      </c>
      <c r="F987" t="s">
        <v>160</v>
      </c>
      <c r="G987" s="1">
        <v>45006</v>
      </c>
      <c r="H987" s="1">
        <v>45086</v>
      </c>
      <c r="I987" t="s">
        <v>485</v>
      </c>
      <c r="J987" t="s">
        <v>486</v>
      </c>
      <c r="K987" t="s">
        <v>90</v>
      </c>
      <c r="L987" t="s">
        <v>60</v>
      </c>
      <c r="M987" t="s">
        <v>22</v>
      </c>
    </row>
    <row r="988" spans="1:13" x14ac:dyDescent="0.3">
      <c r="A988" t="s">
        <v>137</v>
      </c>
      <c r="B988" t="s">
        <v>138</v>
      </c>
      <c r="C988" t="s">
        <v>40</v>
      </c>
      <c r="D988" t="s">
        <v>25</v>
      </c>
      <c r="E988" t="s">
        <v>26</v>
      </c>
      <c r="F988" t="s">
        <v>18</v>
      </c>
      <c r="G988" s="1">
        <v>44894</v>
      </c>
      <c r="H988" s="1">
        <v>44928</v>
      </c>
      <c r="I988" t="s">
        <v>139</v>
      </c>
      <c r="J988" t="s">
        <v>140</v>
      </c>
      <c r="K988" t="s">
        <v>21</v>
      </c>
      <c r="L988" t="s">
        <v>91</v>
      </c>
      <c r="M988" t="s">
        <v>22</v>
      </c>
    </row>
    <row r="989" spans="1:13" x14ac:dyDescent="0.3">
      <c r="A989" t="s">
        <v>636</v>
      </c>
      <c r="B989" t="s">
        <v>637</v>
      </c>
      <c r="C989" t="s">
        <v>76</v>
      </c>
      <c r="D989" t="s">
        <v>16</v>
      </c>
      <c r="E989" t="s">
        <v>17</v>
      </c>
      <c r="F989" t="s">
        <v>18</v>
      </c>
      <c r="G989" s="1">
        <v>44931</v>
      </c>
      <c r="H989" s="1">
        <v>45029</v>
      </c>
      <c r="I989" t="s">
        <v>638</v>
      </c>
      <c r="J989" t="s">
        <v>639</v>
      </c>
      <c r="K989" t="s">
        <v>37</v>
      </c>
      <c r="L989" t="s">
        <v>55</v>
      </c>
      <c r="M989" t="s">
        <v>22</v>
      </c>
    </row>
    <row r="990" spans="1:13" x14ac:dyDescent="0.3">
      <c r="A990" t="s">
        <v>1460</v>
      </c>
      <c r="B990" t="s">
        <v>1461</v>
      </c>
      <c r="C990" t="s">
        <v>33</v>
      </c>
      <c r="D990" t="s">
        <v>16</v>
      </c>
      <c r="E990" t="s">
        <v>17</v>
      </c>
      <c r="F990" t="s">
        <v>18</v>
      </c>
      <c r="G990" s="1">
        <v>45556</v>
      </c>
      <c r="H990" s="1">
        <v>45880</v>
      </c>
      <c r="I990" t="s">
        <v>1462</v>
      </c>
      <c r="J990" t="s">
        <v>1463</v>
      </c>
      <c r="K990" t="s">
        <v>37</v>
      </c>
      <c r="L990" t="s">
        <v>116</v>
      </c>
      <c r="M990" t="s">
        <v>22</v>
      </c>
    </row>
    <row r="991" spans="1:13" x14ac:dyDescent="0.3">
      <c r="A991" t="s">
        <v>476</v>
      </c>
      <c r="B991" t="s">
        <v>477</v>
      </c>
      <c r="C991" t="s">
        <v>181</v>
      </c>
      <c r="D991" t="s">
        <v>25</v>
      </c>
      <c r="E991" t="s">
        <v>26</v>
      </c>
      <c r="F991" t="s">
        <v>18</v>
      </c>
      <c r="G991" s="1">
        <v>44821</v>
      </c>
      <c r="H991" s="1">
        <v>45098</v>
      </c>
      <c r="I991" t="s">
        <v>177</v>
      </c>
      <c r="J991" t="s">
        <v>478</v>
      </c>
      <c r="K991" t="s">
        <v>90</v>
      </c>
      <c r="L991" t="s">
        <v>55</v>
      </c>
      <c r="M991" t="s">
        <v>22</v>
      </c>
    </row>
    <row r="992" spans="1:13" x14ac:dyDescent="0.3">
      <c r="A992" t="s">
        <v>3603</v>
      </c>
      <c r="B992" t="s">
        <v>2905</v>
      </c>
      <c r="C992" t="s">
        <v>181</v>
      </c>
      <c r="D992" t="s">
        <v>25</v>
      </c>
      <c r="E992" t="s">
        <v>26</v>
      </c>
      <c r="F992" t="s">
        <v>18</v>
      </c>
      <c r="G992" s="1">
        <v>44316</v>
      </c>
      <c r="H992" s="1">
        <v>44668</v>
      </c>
      <c r="I992" t="s">
        <v>2906</v>
      </c>
      <c r="J992" t="s">
        <v>3604</v>
      </c>
      <c r="K992" t="s">
        <v>37</v>
      </c>
      <c r="L992" t="s">
        <v>60</v>
      </c>
      <c r="M992" t="s">
        <v>22</v>
      </c>
    </row>
    <row r="993" spans="1:13" x14ac:dyDescent="0.3">
      <c r="A993" t="s">
        <v>3519</v>
      </c>
      <c r="B993" t="s">
        <v>3520</v>
      </c>
      <c r="C993" t="s">
        <v>15</v>
      </c>
      <c r="D993" t="s">
        <v>34</v>
      </c>
      <c r="E993" t="s">
        <v>26</v>
      </c>
      <c r="F993" t="s">
        <v>554</v>
      </c>
      <c r="G993" s="1">
        <v>45560</v>
      </c>
      <c r="H993" s="1">
        <v>45844</v>
      </c>
      <c r="I993" t="s">
        <v>3521</v>
      </c>
      <c r="J993" t="s">
        <v>3522</v>
      </c>
      <c r="K993" t="s">
        <v>90</v>
      </c>
      <c r="L993" t="s">
        <v>60</v>
      </c>
      <c r="M993" t="s">
        <v>22</v>
      </c>
    </row>
    <row r="994" spans="1:13" x14ac:dyDescent="0.3">
      <c r="A994" t="s">
        <v>2760</v>
      </c>
      <c r="B994" t="s">
        <v>2761</v>
      </c>
      <c r="C994" t="s">
        <v>181</v>
      </c>
      <c r="D994" t="s">
        <v>67</v>
      </c>
      <c r="E994" t="s">
        <v>26</v>
      </c>
      <c r="F994" t="s">
        <v>18</v>
      </c>
      <c r="G994" s="1">
        <v>44180</v>
      </c>
      <c r="H994" s="1">
        <v>44236</v>
      </c>
      <c r="I994" t="s">
        <v>2762</v>
      </c>
      <c r="J994" t="s">
        <v>2763</v>
      </c>
      <c r="K994" t="s">
        <v>90</v>
      </c>
      <c r="L994" t="s">
        <v>116</v>
      </c>
      <c r="M994" t="s">
        <v>22</v>
      </c>
    </row>
    <row r="995" spans="1:13" x14ac:dyDescent="0.3">
      <c r="A995" t="s">
        <v>1911</v>
      </c>
      <c r="B995" t="s">
        <v>1912</v>
      </c>
      <c r="C995" t="s">
        <v>15</v>
      </c>
      <c r="D995" t="s">
        <v>77</v>
      </c>
      <c r="E995" t="s">
        <v>52</v>
      </c>
      <c r="F995" t="s">
        <v>160</v>
      </c>
      <c r="G995" s="1">
        <v>45581</v>
      </c>
      <c r="H995" s="1">
        <v>45772</v>
      </c>
      <c r="I995" t="s">
        <v>1913</v>
      </c>
      <c r="J995" t="s">
        <v>1914</v>
      </c>
      <c r="K995" t="s">
        <v>37</v>
      </c>
      <c r="L995" t="s">
        <v>60</v>
      </c>
      <c r="M995" t="s">
        <v>22</v>
      </c>
    </row>
    <row r="996" spans="1:13" x14ac:dyDescent="0.3">
      <c r="A996" t="s">
        <v>3080</v>
      </c>
      <c r="B996" t="s">
        <v>3081</v>
      </c>
      <c r="C996" t="s">
        <v>87</v>
      </c>
      <c r="D996" t="s">
        <v>41</v>
      </c>
      <c r="E996" t="s">
        <v>17</v>
      </c>
      <c r="F996" t="s">
        <v>308</v>
      </c>
      <c r="G996" s="1">
        <v>44725</v>
      </c>
      <c r="H996" s="1">
        <v>44789</v>
      </c>
      <c r="I996" t="s">
        <v>3082</v>
      </c>
      <c r="J996" t="s">
        <v>3083</v>
      </c>
      <c r="K996" t="s">
        <v>90</v>
      </c>
      <c r="L996" t="s">
        <v>30</v>
      </c>
      <c r="M996" t="s">
        <v>22</v>
      </c>
    </row>
    <row r="997" spans="1:13" x14ac:dyDescent="0.3">
      <c r="A997" t="s">
        <v>1214</v>
      </c>
      <c r="B997" t="s">
        <v>1215</v>
      </c>
      <c r="C997" t="s">
        <v>46</v>
      </c>
      <c r="D997" t="s">
        <v>25</v>
      </c>
      <c r="E997" t="s">
        <v>26</v>
      </c>
      <c r="F997" t="s">
        <v>18</v>
      </c>
      <c r="G997" s="1">
        <v>45619</v>
      </c>
      <c r="H997" s="1">
        <v>45841</v>
      </c>
      <c r="I997" t="s">
        <v>1216</v>
      </c>
      <c r="J997" t="s">
        <v>1217</v>
      </c>
      <c r="K997" t="s">
        <v>90</v>
      </c>
      <c r="L997" t="s">
        <v>55</v>
      </c>
      <c r="M997" t="s">
        <v>22</v>
      </c>
    </row>
    <row r="998" spans="1:13" x14ac:dyDescent="0.3">
      <c r="A998" t="s">
        <v>2586</v>
      </c>
      <c r="B998" t="s">
        <v>2587</v>
      </c>
      <c r="C998" t="s">
        <v>181</v>
      </c>
      <c r="D998" t="s">
        <v>34</v>
      </c>
      <c r="E998" t="s">
        <v>26</v>
      </c>
      <c r="F998" t="s">
        <v>18</v>
      </c>
      <c r="G998" s="1">
        <v>44151</v>
      </c>
      <c r="H998" s="1">
        <v>44258</v>
      </c>
      <c r="I998" t="s">
        <v>2588</v>
      </c>
      <c r="J998" t="s">
        <v>2589</v>
      </c>
      <c r="K998" t="s">
        <v>90</v>
      </c>
      <c r="M998" t="s">
        <v>22</v>
      </c>
    </row>
    <row r="999" spans="1:13" x14ac:dyDescent="0.3">
      <c r="A999" t="s">
        <v>439</v>
      </c>
      <c r="B999" t="s">
        <v>440</v>
      </c>
      <c r="C999" t="s">
        <v>40</v>
      </c>
      <c r="D999" t="s">
        <v>25</v>
      </c>
      <c r="E999" t="s">
        <v>26</v>
      </c>
      <c r="F999" t="s">
        <v>18</v>
      </c>
      <c r="G999" s="1">
        <v>45234</v>
      </c>
      <c r="H999" s="1">
        <v>45267</v>
      </c>
      <c r="I999" t="s">
        <v>441</v>
      </c>
      <c r="J999" t="s">
        <v>442</v>
      </c>
      <c r="K999" t="s">
        <v>90</v>
      </c>
      <c r="L999" t="s">
        <v>116</v>
      </c>
      <c r="M999" t="s">
        <v>22</v>
      </c>
    </row>
    <row r="1000" spans="1:13" x14ac:dyDescent="0.3">
      <c r="A1000" t="s">
        <v>2006</v>
      </c>
      <c r="B1000" t="s">
        <v>2007</v>
      </c>
      <c r="C1000" t="s">
        <v>181</v>
      </c>
      <c r="D1000" t="s">
        <v>16</v>
      </c>
      <c r="E1000" t="s">
        <v>17</v>
      </c>
      <c r="F1000" t="s">
        <v>151</v>
      </c>
      <c r="G1000" s="1">
        <v>45281</v>
      </c>
      <c r="H1000" s="1">
        <v>45562</v>
      </c>
      <c r="I1000" t="s">
        <v>2008</v>
      </c>
      <c r="J1000" t="s">
        <v>2009</v>
      </c>
      <c r="K1000" t="s">
        <v>90</v>
      </c>
      <c r="L1000" t="s">
        <v>60</v>
      </c>
      <c r="M1000" t="s">
        <v>22</v>
      </c>
    </row>
    <row r="1001" spans="1:13" x14ac:dyDescent="0.3">
      <c r="A1001" t="s">
        <v>945</v>
      </c>
      <c r="B1001" t="s">
        <v>946</v>
      </c>
      <c r="C1001" t="s">
        <v>87</v>
      </c>
      <c r="D1001" t="s">
        <v>51</v>
      </c>
      <c r="E1001" t="s">
        <v>52</v>
      </c>
      <c r="F1001" t="s">
        <v>151</v>
      </c>
      <c r="G1001" s="1">
        <v>44294</v>
      </c>
      <c r="H1001" s="1">
        <v>44465</v>
      </c>
      <c r="I1001" t="s">
        <v>947</v>
      </c>
      <c r="J1001" t="s">
        <v>948</v>
      </c>
      <c r="K1001" t="s">
        <v>90</v>
      </c>
      <c r="L1001" t="s">
        <v>116</v>
      </c>
      <c r="M1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3640-90B5-4BFE-B2DA-45B21D7BC936}">
  <dimension ref="A1:Q951"/>
  <sheetViews>
    <sheetView tabSelected="1" topLeftCell="N1" zoomScale="82" workbookViewId="0">
      <pane ySplit="1" topLeftCell="A712" activePane="bottomLeft" state="frozen"/>
      <selection activeCell="K1" sqref="K1:K1048576"/>
      <selection pane="bottomLeft" activeCell="O736" sqref="O736"/>
    </sheetView>
  </sheetViews>
  <sheetFormatPr defaultRowHeight="14.4" x14ac:dyDescent="0.3"/>
  <cols>
    <col min="1" max="1" width="26.44140625" bestFit="1" customWidth="1"/>
    <col min="2" max="2" width="30.44140625" bestFit="1" customWidth="1"/>
    <col min="3" max="3" width="24.5546875" bestFit="1" customWidth="1"/>
    <col min="4" max="4" width="22.88671875" bestFit="1" customWidth="1"/>
    <col min="5" max="5" width="21.77734375" bestFit="1" customWidth="1"/>
    <col min="6" max="6" width="21" bestFit="1" customWidth="1"/>
    <col min="7" max="7" width="35.33203125" bestFit="1" customWidth="1"/>
    <col min="8" max="8" width="30.77734375" bestFit="1" customWidth="1"/>
    <col min="9" max="9" width="38" bestFit="1" customWidth="1"/>
    <col min="10" max="10" width="31.5546875" bestFit="1" customWidth="1"/>
    <col min="11" max="11" width="28.88671875" bestFit="1" customWidth="1"/>
    <col min="12" max="12" width="28" bestFit="1" customWidth="1"/>
    <col min="13" max="13" width="31.77734375" bestFit="1" customWidth="1"/>
    <col min="14" max="14" width="35.88671875" bestFit="1" customWidth="1"/>
    <col min="15" max="15" width="48.88671875" bestFit="1" customWidth="1"/>
    <col min="16" max="16" width="30.21875" bestFit="1" customWidth="1"/>
    <col min="17" max="17" width="26.88671875" bestFit="1" customWidth="1"/>
  </cols>
  <sheetData>
    <row r="1" spans="1:1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3697</v>
      </c>
      <c r="O1" s="3" t="s">
        <v>3698</v>
      </c>
      <c r="P1" s="3" t="s">
        <v>3699</v>
      </c>
      <c r="Q1" s="3" t="s">
        <v>3719</v>
      </c>
    </row>
    <row r="2" spans="1:1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43604</v>
      </c>
      <c r="H2" s="1">
        <v>43744</v>
      </c>
      <c r="I2" t="s">
        <v>19</v>
      </c>
      <c r="J2" t="s">
        <v>20</v>
      </c>
      <c r="K2" t="s">
        <v>21</v>
      </c>
      <c r="M2" t="s">
        <v>3735</v>
      </c>
      <c r="N2" t="str">
        <f t="shared" ref="N2:N65" si="0">IF(OR(B2="",H2="",I2="",J2="",L2="",Q2="Invalid"),"Flagged","Clean")</f>
        <v>Flagged</v>
      </c>
      <c r="O2" t="str">
        <f>TRIM(IF(B2="","Missing Vendor_Name ","")&amp;IF(I2="","Missing Contact_Email ","")&amp;IF(J2="","Missing Account_Code ","")&amp;IF(L2="","Missing Verified_By ","")&amp;IF(Q2="Invalid","Invalid Email Format ","")&amp;IF(H2="","Missing Last_Updated ",""))</f>
        <v>Missing Verified_By</v>
      </c>
      <c r="P2" t="str">
        <f t="shared" ref="P2:P65" si="1">IF(N2="Clean","Clean","Flagged for Review")</f>
        <v>Flagged for Review</v>
      </c>
      <c r="Q2" t="str">
        <f t="shared" ref="Q2:Q65" si="2">IF(I2="","Blank",IF(ISERROR(FIND("@",I2&amp;"")),"Invalid",IF(FIND("@",I2&amp;"")&lt;2,"Invalid",IF(LEN(I2&amp;"")-FIND("@",I2&amp;"")&lt;4,"Invalid","Valid"))))</f>
        <v>Valid</v>
      </c>
    </row>
    <row r="3" spans="1:17" x14ac:dyDescent="0.3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s="1">
        <v>44674</v>
      </c>
      <c r="H3" s="1">
        <v>44778</v>
      </c>
      <c r="I3" t="s">
        <v>27</v>
      </c>
      <c r="J3" t="s">
        <v>28</v>
      </c>
      <c r="K3" t="s">
        <v>29</v>
      </c>
      <c r="L3" t="s">
        <v>30</v>
      </c>
      <c r="M3" t="s">
        <v>22</v>
      </c>
      <c r="N3" t="str">
        <f>IF(OR(B3="",H3="",I3="",J3="",L3="",Q3="Invalid"),"Flagged","Clean")</f>
        <v>Clean</v>
      </c>
      <c r="O3" t="str">
        <f t="shared" ref="O3:O66" si="3">TRIM(IF(B3="","Missing Vendor_Name ","")&amp;IF(I3="","Missing Contact_Email ","")&amp;IF(J3="","Missing Account_Code ","")&amp;IF(L3="","Missing Verified_By ","")&amp;IF(Q3="Invalid","Invalid Email Format ","")&amp;IF(H3="","Missing Last_Updated ",""))</f>
        <v/>
      </c>
      <c r="P3" t="str">
        <f t="shared" si="1"/>
        <v>Clean</v>
      </c>
      <c r="Q3" t="str">
        <f t="shared" si="2"/>
        <v>Valid</v>
      </c>
    </row>
    <row r="4" spans="1:17" x14ac:dyDescent="0.3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18</v>
      </c>
      <c r="G4" s="1">
        <v>45459</v>
      </c>
      <c r="H4" s="1">
        <v>45728</v>
      </c>
      <c r="I4" t="s">
        <v>35</v>
      </c>
      <c r="J4" t="s">
        <v>36</v>
      </c>
      <c r="K4" t="s">
        <v>37</v>
      </c>
      <c r="L4" t="s">
        <v>30</v>
      </c>
      <c r="M4" t="s">
        <v>22</v>
      </c>
      <c r="N4" t="str">
        <f t="shared" si="0"/>
        <v>Clean</v>
      </c>
      <c r="O4" t="str">
        <f t="shared" si="3"/>
        <v/>
      </c>
      <c r="P4" t="str">
        <f t="shared" si="1"/>
        <v>Clean</v>
      </c>
      <c r="Q4" t="str">
        <f t="shared" si="2"/>
        <v>Valid</v>
      </c>
    </row>
    <row r="5" spans="1:17" x14ac:dyDescent="0.3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 s="1">
        <v>45329</v>
      </c>
      <c r="H5" s="1">
        <v>45420</v>
      </c>
      <c r="I5" t="s">
        <v>42</v>
      </c>
      <c r="J5" t="s">
        <v>43</v>
      </c>
      <c r="K5" t="s">
        <v>37</v>
      </c>
      <c r="L5" t="s">
        <v>30</v>
      </c>
      <c r="M5" t="s">
        <v>22</v>
      </c>
      <c r="N5" t="str">
        <f t="shared" si="0"/>
        <v>Clean</v>
      </c>
      <c r="O5" t="str">
        <f t="shared" si="3"/>
        <v/>
      </c>
      <c r="P5" t="str">
        <f t="shared" si="1"/>
        <v>Clean</v>
      </c>
      <c r="Q5" t="str">
        <f t="shared" si="2"/>
        <v>Valid</v>
      </c>
    </row>
    <row r="6" spans="1:17" x14ac:dyDescent="0.3">
      <c r="A6" t="s">
        <v>44</v>
      </c>
      <c r="B6" t="s">
        <v>45</v>
      </c>
      <c r="C6" t="s">
        <v>46</v>
      </c>
      <c r="D6" t="s">
        <v>34</v>
      </c>
      <c r="E6" t="s">
        <v>26</v>
      </c>
      <c r="F6" t="s">
        <v>18</v>
      </c>
      <c r="G6" s="1">
        <v>45186</v>
      </c>
      <c r="H6" s="1">
        <v>45436</v>
      </c>
      <c r="I6" t="s">
        <v>47</v>
      </c>
      <c r="J6" t="s">
        <v>48</v>
      </c>
      <c r="K6" t="s">
        <v>29</v>
      </c>
      <c r="M6" t="s">
        <v>3735</v>
      </c>
      <c r="N6" t="str">
        <f t="shared" si="0"/>
        <v>Flagged</v>
      </c>
      <c r="O6" t="str">
        <f t="shared" si="3"/>
        <v>Missing Verified_By</v>
      </c>
      <c r="P6" t="str">
        <f t="shared" si="1"/>
        <v>Flagged for Review</v>
      </c>
      <c r="Q6" t="str">
        <f t="shared" si="2"/>
        <v>Valid</v>
      </c>
    </row>
    <row r="7" spans="1:17" x14ac:dyDescent="0.3">
      <c r="A7" t="s">
        <v>49</v>
      </c>
      <c r="B7" t="s">
        <v>50</v>
      </c>
      <c r="C7" t="s">
        <v>46</v>
      </c>
      <c r="D7" t="s">
        <v>51</v>
      </c>
      <c r="E7" t="s">
        <v>52</v>
      </c>
      <c r="F7" t="s">
        <v>18</v>
      </c>
      <c r="G7" s="1">
        <v>44121</v>
      </c>
      <c r="H7" s="1">
        <v>44132</v>
      </c>
      <c r="I7" t="s">
        <v>53</v>
      </c>
      <c r="J7" t="s">
        <v>54</v>
      </c>
      <c r="K7" t="s">
        <v>29</v>
      </c>
      <c r="L7" t="s">
        <v>55</v>
      </c>
      <c r="M7" t="s">
        <v>22</v>
      </c>
      <c r="N7" t="str">
        <f t="shared" si="0"/>
        <v>Clean</v>
      </c>
      <c r="O7" t="str">
        <f t="shared" si="3"/>
        <v/>
      </c>
      <c r="P7" t="str">
        <f t="shared" si="1"/>
        <v>Clean</v>
      </c>
      <c r="Q7" t="str">
        <f t="shared" si="2"/>
        <v>Valid</v>
      </c>
    </row>
    <row r="8" spans="1:17" x14ac:dyDescent="0.3">
      <c r="A8" t="s">
        <v>56</v>
      </c>
      <c r="B8" t="s">
        <v>57</v>
      </c>
      <c r="C8" t="s">
        <v>33</v>
      </c>
      <c r="D8" t="s">
        <v>51</v>
      </c>
      <c r="E8" t="s">
        <v>52</v>
      </c>
      <c r="F8" t="s">
        <v>18</v>
      </c>
      <c r="G8" s="1">
        <v>45037</v>
      </c>
      <c r="H8" s="1">
        <v>45294</v>
      </c>
      <c r="I8" t="s">
        <v>58</v>
      </c>
      <c r="J8" t="s">
        <v>59</v>
      </c>
      <c r="K8" t="s">
        <v>37</v>
      </c>
      <c r="L8" t="s">
        <v>60</v>
      </c>
      <c r="M8" t="s">
        <v>22</v>
      </c>
      <c r="N8" t="str">
        <f t="shared" si="0"/>
        <v>Clean</v>
      </c>
      <c r="O8" t="str">
        <f t="shared" si="3"/>
        <v/>
      </c>
      <c r="P8" t="str">
        <f t="shared" si="1"/>
        <v>Clean</v>
      </c>
      <c r="Q8" t="str">
        <f t="shared" si="2"/>
        <v>Valid</v>
      </c>
    </row>
    <row r="9" spans="1:17" x14ac:dyDescent="0.3">
      <c r="A9" t="s">
        <v>61</v>
      </c>
      <c r="B9" t="s">
        <v>62</v>
      </c>
      <c r="C9" t="s">
        <v>33</v>
      </c>
      <c r="D9" t="s">
        <v>25</v>
      </c>
      <c r="E9" t="s">
        <v>26</v>
      </c>
      <c r="F9" t="s">
        <v>18</v>
      </c>
      <c r="G9" s="1">
        <v>45635</v>
      </c>
      <c r="H9" s="1">
        <v>45962</v>
      </c>
      <c r="I9" t="s">
        <v>63</v>
      </c>
      <c r="J9" t="s">
        <v>64</v>
      </c>
      <c r="K9" t="s">
        <v>37</v>
      </c>
      <c r="M9" t="s">
        <v>3735</v>
      </c>
      <c r="N9" t="str">
        <f t="shared" si="0"/>
        <v>Flagged</v>
      </c>
      <c r="O9" t="str">
        <f t="shared" si="3"/>
        <v>Missing Verified_By</v>
      </c>
      <c r="P9" t="str">
        <f t="shared" si="1"/>
        <v>Flagged for Review</v>
      </c>
      <c r="Q9" t="str">
        <f t="shared" si="2"/>
        <v>Valid</v>
      </c>
    </row>
    <row r="10" spans="1:17" x14ac:dyDescent="0.3">
      <c r="A10" t="s">
        <v>65</v>
      </c>
      <c r="B10" t="s">
        <v>66</v>
      </c>
      <c r="C10" t="s">
        <v>33</v>
      </c>
      <c r="D10" t="s">
        <v>67</v>
      </c>
      <c r="E10" t="s">
        <v>26</v>
      </c>
      <c r="F10" t="s">
        <v>18</v>
      </c>
      <c r="G10" s="1">
        <v>44700</v>
      </c>
      <c r="H10" s="1">
        <v>45010</v>
      </c>
      <c r="I10" t="s">
        <v>68</v>
      </c>
      <c r="J10" t="s">
        <v>69</v>
      </c>
      <c r="K10" t="s">
        <v>21</v>
      </c>
      <c r="L10" t="s">
        <v>30</v>
      </c>
      <c r="M10" t="s">
        <v>22</v>
      </c>
      <c r="N10" t="str">
        <f t="shared" si="0"/>
        <v>Clean</v>
      </c>
      <c r="O10" t="str">
        <f t="shared" si="3"/>
        <v/>
      </c>
      <c r="P10" t="str">
        <f t="shared" si="1"/>
        <v>Clean</v>
      </c>
      <c r="Q10" t="str">
        <f t="shared" si="2"/>
        <v>Valid</v>
      </c>
    </row>
    <row r="11" spans="1:17" x14ac:dyDescent="0.3">
      <c r="A11" t="s">
        <v>70</v>
      </c>
      <c r="B11" t="s">
        <v>71</v>
      </c>
      <c r="C11" t="s">
        <v>15</v>
      </c>
      <c r="D11" t="s">
        <v>25</v>
      </c>
      <c r="E11" t="s">
        <v>26</v>
      </c>
      <c r="F11" t="s">
        <v>18</v>
      </c>
      <c r="G11" s="1">
        <v>45348</v>
      </c>
      <c r="H11" s="1">
        <v>45356</v>
      </c>
      <c r="I11" t="s">
        <v>72</v>
      </c>
      <c r="J11" t="s">
        <v>73</v>
      </c>
      <c r="K11" t="s">
        <v>21</v>
      </c>
      <c r="L11" t="s">
        <v>30</v>
      </c>
      <c r="M11" t="s">
        <v>22</v>
      </c>
      <c r="N11" t="str">
        <f t="shared" si="0"/>
        <v>Clean</v>
      </c>
      <c r="O11" t="str">
        <f t="shared" si="3"/>
        <v/>
      </c>
      <c r="P11" t="str">
        <f t="shared" si="1"/>
        <v>Clean</v>
      </c>
      <c r="Q11" t="str">
        <f t="shared" si="2"/>
        <v>Valid</v>
      </c>
    </row>
    <row r="12" spans="1:17" x14ac:dyDescent="0.3">
      <c r="A12" t="s">
        <v>74</v>
      </c>
      <c r="B12" t="s">
        <v>75</v>
      </c>
      <c r="C12" t="s">
        <v>76</v>
      </c>
      <c r="D12" t="s">
        <v>77</v>
      </c>
      <c r="E12" t="s">
        <v>52</v>
      </c>
      <c r="F12" t="s">
        <v>18</v>
      </c>
      <c r="G12" s="1">
        <v>43697</v>
      </c>
      <c r="H12" s="1">
        <v>43799</v>
      </c>
      <c r="I12" t="s">
        <v>78</v>
      </c>
      <c r="J12" t="s">
        <v>79</v>
      </c>
      <c r="K12" t="s">
        <v>29</v>
      </c>
      <c r="M12" t="s">
        <v>3735</v>
      </c>
      <c r="N12" t="str">
        <f t="shared" si="0"/>
        <v>Flagged</v>
      </c>
      <c r="O12" t="str">
        <f t="shared" si="3"/>
        <v>Missing Verified_By</v>
      </c>
      <c r="P12" t="str">
        <f t="shared" si="1"/>
        <v>Flagged for Review</v>
      </c>
      <c r="Q12" t="str">
        <f t="shared" si="2"/>
        <v>Valid</v>
      </c>
    </row>
    <row r="13" spans="1:17" x14ac:dyDescent="0.3">
      <c r="A13" t="s">
        <v>80</v>
      </c>
      <c r="B13" t="s">
        <v>81</v>
      </c>
      <c r="C13" t="s">
        <v>76</v>
      </c>
      <c r="D13" t="s">
        <v>34</v>
      </c>
      <c r="E13" t="s">
        <v>26</v>
      </c>
      <c r="F13" t="s">
        <v>18</v>
      </c>
      <c r="G13" s="1">
        <v>44187</v>
      </c>
      <c r="H13" s="1">
        <v>44454</v>
      </c>
      <c r="I13" t="s">
        <v>83</v>
      </c>
      <c r="J13" t="s">
        <v>84</v>
      </c>
      <c r="K13" t="s">
        <v>21</v>
      </c>
      <c r="L13" t="s">
        <v>30</v>
      </c>
      <c r="M13" t="s">
        <v>22</v>
      </c>
      <c r="N13" t="str">
        <f t="shared" si="0"/>
        <v>Clean</v>
      </c>
      <c r="O13" t="str">
        <f t="shared" si="3"/>
        <v/>
      </c>
      <c r="P13" t="str">
        <f t="shared" si="1"/>
        <v>Clean</v>
      </c>
      <c r="Q13" t="str">
        <f t="shared" si="2"/>
        <v>Valid</v>
      </c>
    </row>
    <row r="14" spans="1:17" x14ac:dyDescent="0.3">
      <c r="A14" t="s">
        <v>85</v>
      </c>
      <c r="B14" t="s">
        <v>86</v>
      </c>
      <c r="C14" t="s">
        <v>87</v>
      </c>
      <c r="D14" t="s">
        <v>25</v>
      </c>
      <c r="E14" t="s">
        <v>26</v>
      </c>
      <c r="F14" t="s">
        <v>18</v>
      </c>
      <c r="G14" s="1">
        <v>45622</v>
      </c>
      <c r="H14" s="1">
        <v>45765</v>
      </c>
      <c r="I14" t="s">
        <v>88</v>
      </c>
      <c r="J14" t="s">
        <v>89</v>
      </c>
      <c r="K14" t="s">
        <v>90</v>
      </c>
      <c r="L14" t="s">
        <v>91</v>
      </c>
      <c r="M14" t="s">
        <v>22</v>
      </c>
      <c r="N14" t="str">
        <f t="shared" si="0"/>
        <v>Clean</v>
      </c>
      <c r="O14" t="str">
        <f t="shared" si="3"/>
        <v/>
      </c>
      <c r="P14" t="str">
        <f t="shared" si="1"/>
        <v>Clean</v>
      </c>
      <c r="Q14" t="str">
        <f t="shared" si="2"/>
        <v>Valid</v>
      </c>
    </row>
    <row r="15" spans="1:17" x14ac:dyDescent="0.3">
      <c r="A15" t="s">
        <v>92</v>
      </c>
      <c r="B15" t="s">
        <v>93</v>
      </c>
      <c r="C15" t="s">
        <v>33</v>
      </c>
      <c r="D15" t="s">
        <v>77</v>
      </c>
      <c r="E15" t="s">
        <v>52</v>
      </c>
      <c r="F15" t="s">
        <v>18</v>
      </c>
      <c r="G15" s="1">
        <v>43935</v>
      </c>
      <c r="H15" s="1">
        <v>43985</v>
      </c>
      <c r="I15" t="s">
        <v>94</v>
      </c>
      <c r="J15" t="s">
        <v>95</v>
      </c>
      <c r="K15" t="s">
        <v>29</v>
      </c>
      <c r="L15" t="s">
        <v>55</v>
      </c>
      <c r="M15" t="s">
        <v>22</v>
      </c>
      <c r="N15" t="str">
        <f t="shared" si="0"/>
        <v>Clean</v>
      </c>
      <c r="O15" t="str">
        <f t="shared" si="3"/>
        <v/>
      </c>
      <c r="P15" t="str">
        <f t="shared" si="1"/>
        <v>Clean</v>
      </c>
      <c r="Q15" t="str">
        <f t="shared" si="2"/>
        <v>Valid</v>
      </c>
    </row>
    <row r="16" spans="1:17" x14ac:dyDescent="0.3">
      <c r="A16" t="s">
        <v>96</v>
      </c>
      <c r="B16" t="s">
        <v>97</v>
      </c>
      <c r="C16" t="s">
        <v>87</v>
      </c>
      <c r="D16" t="s">
        <v>67</v>
      </c>
      <c r="E16" t="s">
        <v>26</v>
      </c>
      <c r="F16" t="s">
        <v>18</v>
      </c>
      <c r="G16" s="1">
        <v>45200</v>
      </c>
      <c r="H16" s="1">
        <v>45489</v>
      </c>
      <c r="I16" t="s">
        <v>98</v>
      </c>
      <c r="J16" t="s">
        <v>99</v>
      </c>
      <c r="K16" t="s">
        <v>21</v>
      </c>
      <c r="L16" t="s">
        <v>55</v>
      </c>
      <c r="M16" t="s">
        <v>22</v>
      </c>
      <c r="N16" t="str">
        <f t="shared" si="0"/>
        <v>Clean</v>
      </c>
      <c r="O16" t="str">
        <f t="shared" si="3"/>
        <v/>
      </c>
      <c r="P16" t="str">
        <f t="shared" si="1"/>
        <v>Clean</v>
      </c>
      <c r="Q16" t="str">
        <f t="shared" si="2"/>
        <v>Valid</v>
      </c>
    </row>
    <row r="17" spans="1:17" x14ac:dyDescent="0.3">
      <c r="A17" t="s">
        <v>100</v>
      </c>
      <c r="B17" t="s">
        <v>101</v>
      </c>
      <c r="C17" t="s">
        <v>15</v>
      </c>
      <c r="D17" t="s">
        <v>41</v>
      </c>
      <c r="E17" t="s">
        <v>17</v>
      </c>
      <c r="F17" t="s">
        <v>18</v>
      </c>
      <c r="G17" s="1">
        <v>44661</v>
      </c>
      <c r="H17" s="1">
        <v>45002</v>
      </c>
      <c r="I17" t="s">
        <v>102</v>
      </c>
      <c r="J17" t="s">
        <v>103</v>
      </c>
      <c r="K17" t="s">
        <v>21</v>
      </c>
      <c r="L17" t="s">
        <v>30</v>
      </c>
      <c r="M17" t="s">
        <v>22</v>
      </c>
      <c r="N17" t="str">
        <f t="shared" si="0"/>
        <v>Clean</v>
      </c>
      <c r="O17" t="str">
        <f t="shared" si="3"/>
        <v/>
      </c>
      <c r="P17" t="str">
        <f t="shared" si="1"/>
        <v>Clean</v>
      </c>
      <c r="Q17" t="str">
        <f t="shared" si="2"/>
        <v>Valid</v>
      </c>
    </row>
    <row r="18" spans="1:17" x14ac:dyDescent="0.3">
      <c r="A18" t="s">
        <v>104</v>
      </c>
      <c r="B18" t="s">
        <v>105</v>
      </c>
      <c r="C18" t="s">
        <v>87</v>
      </c>
      <c r="D18" t="s">
        <v>67</v>
      </c>
      <c r="E18" t="s">
        <v>26</v>
      </c>
      <c r="F18" t="s">
        <v>18</v>
      </c>
      <c r="G18" s="1">
        <v>43652</v>
      </c>
      <c r="H18" s="1">
        <v>43679</v>
      </c>
      <c r="I18" t="s">
        <v>106</v>
      </c>
      <c r="J18" t="s">
        <v>107</v>
      </c>
      <c r="K18" t="s">
        <v>37</v>
      </c>
      <c r="M18" t="s">
        <v>3735</v>
      </c>
      <c r="N18" t="str">
        <f t="shared" si="0"/>
        <v>Flagged</v>
      </c>
      <c r="O18" t="str">
        <f t="shared" si="3"/>
        <v>Missing Verified_By</v>
      </c>
      <c r="P18" t="str">
        <f t="shared" si="1"/>
        <v>Flagged for Review</v>
      </c>
      <c r="Q18" t="str">
        <f t="shared" si="2"/>
        <v>Valid</v>
      </c>
    </row>
    <row r="19" spans="1:17" x14ac:dyDescent="0.3">
      <c r="A19" t="s">
        <v>108</v>
      </c>
      <c r="B19" t="s">
        <v>109</v>
      </c>
      <c r="C19" t="s">
        <v>87</v>
      </c>
      <c r="D19" t="s">
        <v>25</v>
      </c>
      <c r="E19" t="s">
        <v>26</v>
      </c>
      <c r="F19" t="s">
        <v>18</v>
      </c>
      <c r="G19" s="1">
        <v>45238</v>
      </c>
      <c r="H19" s="1">
        <v>45537</v>
      </c>
      <c r="I19" t="s">
        <v>110</v>
      </c>
      <c r="J19" t="s">
        <v>111</v>
      </c>
      <c r="K19" t="s">
        <v>37</v>
      </c>
      <c r="M19" t="s">
        <v>3735</v>
      </c>
      <c r="N19" t="str">
        <f t="shared" si="0"/>
        <v>Flagged</v>
      </c>
      <c r="O19" t="str">
        <f t="shared" si="3"/>
        <v>Missing Verified_By</v>
      </c>
      <c r="P19" t="str">
        <f t="shared" si="1"/>
        <v>Flagged for Review</v>
      </c>
      <c r="Q19" t="str">
        <f t="shared" si="2"/>
        <v>Valid</v>
      </c>
    </row>
    <row r="20" spans="1:17" x14ac:dyDescent="0.3">
      <c r="A20" t="s">
        <v>112</v>
      </c>
      <c r="B20" t="s">
        <v>113</v>
      </c>
      <c r="C20" t="s">
        <v>40</v>
      </c>
      <c r="D20" t="s">
        <v>67</v>
      </c>
      <c r="E20" t="s">
        <v>26</v>
      </c>
      <c r="F20" t="s">
        <v>18</v>
      </c>
      <c r="G20" s="1">
        <v>44489</v>
      </c>
      <c r="H20" s="1">
        <v>44572</v>
      </c>
      <c r="I20" t="s">
        <v>114</v>
      </c>
      <c r="J20" t="s">
        <v>115</v>
      </c>
      <c r="K20" t="s">
        <v>37</v>
      </c>
      <c r="L20" t="s">
        <v>116</v>
      </c>
      <c r="M20" t="s">
        <v>22</v>
      </c>
      <c r="N20" t="str">
        <f t="shared" si="0"/>
        <v>Clean</v>
      </c>
      <c r="O20" t="str">
        <f t="shared" si="3"/>
        <v/>
      </c>
      <c r="P20" t="str">
        <f t="shared" si="1"/>
        <v>Clean</v>
      </c>
      <c r="Q20" t="str">
        <f t="shared" si="2"/>
        <v>Valid</v>
      </c>
    </row>
    <row r="21" spans="1:17" x14ac:dyDescent="0.3">
      <c r="A21" t="s">
        <v>117</v>
      </c>
      <c r="B21" t="s">
        <v>118</v>
      </c>
      <c r="C21" t="s">
        <v>15</v>
      </c>
      <c r="D21" t="s">
        <v>25</v>
      </c>
      <c r="E21" t="s">
        <v>26</v>
      </c>
      <c r="F21" t="s">
        <v>18</v>
      </c>
      <c r="G21" s="1">
        <v>45134</v>
      </c>
      <c r="H21" s="1">
        <v>45481</v>
      </c>
      <c r="I21" t="s">
        <v>119</v>
      </c>
      <c r="J21" t="s">
        <v>120</v>
      </c>
      <c r="K21" t="s">
        <v>29</v>
      </c>
      <c r="L21" t="s">
        <v>55</v>
      </c>
      <c r="M21" t="s">
        <v>22</v>
      </c>
      <c r="N21" t="str">
        <f t="shared" si="0"/>
        <v>Clean</v>
      </c>
      <c r="O21" t="str">
        <f t="shared" si="3"/>
        <v/>
      </c>
      <c r="P21" t="str">
        <f t="shared" si="1"/>
        <v>Clean</v>
      </c>
      <c r="Q21" t="str">
        <f t="shared" si="2"/>
        <v>Valid</v>
      </c>
    </row>
    <row r="22" spans="1:17" x14ac:dyDescent="0.3">
      <c r="A22" t="s">
        <v>121</v>
      </c>
      <c r="B22" t="s">
        <v>122</v>
      </c>
      <c r="C22" t="s">
        <v>76</v>
      </c>
      <c r="D22" t="s">
        <v>51</v>
      </c>
      <c r="E22" t="s">
        <v>52</v>
      </c>
      <c r="F22" t="s">
        <v>18</v>
      </c>
      <c r="G22" s="1">
        <v>44368</v>
      </c>
      <c r="H22" s="1">
        <v>44596</v>
      </c>
      <c r="I22" t="s">
        <v>123</v>
      </c>
      <c r="J22" t="s">
        <v>124</v>
      </c>
      <c r="K22" t="s">
        <v>29</v>
      </c>
      <c r="L22" t="s">
        <v>60</v>
      </c>
      <c r="M22" t="s">
        <v>22</v>
      </c>
      <c r="N22" t="str">
        <f t="shared" si="0"/>
        <v>Clean</v>
      </c>
      <c r="O22" t="str">
        <f t="shared" si="3"/>
        <v/>
      </c>
      <c r="P22" t="str">
        <f t="shared" si="1"/>
        <v>Clean</v>
      </c>
      <c r="Q22" t="str">
        <f t="shared" si="2"/>
        <v>Valid</v>
      </c>
    </row>
    <row r="23" spans="1:17" x14ac:dyDescent="0.3">
      <c r="A23" t="s">
        <v>125</v>
      </c>
      <c r="B23" t="s">
        <v>126</v>
      </c>
      <c r="C23" t="s">
        <v>87</v>
      </c>
      <c r="D23" t="s">
        <v>25</v>
      </c>
      <c r="E23" t="s">
        <v>26</v>
      </c>
      <c r="F23" t="s">
        <v>18</v>
      </c>
      <c r="G23" s="1">
        <v>43998</v>
      </c>
      <c r="H23" s="1">
        <v>44190</v>
      </c>
      <c r="I23" t="s">
        <v>127</v>
      </c>
      <c r="J23" t="s">
        <v>128</v>
      </c>
      <c r="K23" t="s">
        <v>90</v>
      </c>
      <c r="M23" t="s">
        <v>3735</v>
      </c>
      <c r="N23" t="str">
        <f t="shared" si="0"/>
        <v>Flagged</v>
      </c>
      <c r="O23" t="str">
        <f t="shared" si="3"/>
        <v>Missing Verified_By</v>
      </c>
      <c r="P23" t="str">
        <f t="shared" si="1"/>
        <v>Flagged for Review</v>
      </c>
      <c r="Q23" t="str">
        <f t="shared" si="2"/>
        <v>Valid</v>
      </c>
    </row>
    <row r="24" spans="1:17" x14ac:dyDescent="0.3">
      <c r="A24" t="s">
        <v>129</v>
      </c>
      <c r="B24" t="s">
        <v>130</v>
      </c>
      <c r="C24" t="s">
        <v>76</v>
      </c>
      <c r="D24" t="s">
        <v>77</v>
      </c>
      <c r="E24" t="s">
        <v>52</v>
      </c>
      <c r="F24" t="s">
        <v>18</v>
      </c>
      <c r="G24" s="1">
        <v>44270</v>
      </c>
      <c r="H24" s="1">
        <v>45440</v>
      </c>
      <c r="I24" t="s">
        <v>131</v>
      </c>
      <c r="J24" t="s">
        <v>132</v>
      </c>
      <c r="K24" t="s">
        <v>37</v>
      </c>
      <c r="L24" t="s">
        <v>55</v>
      </c>
      <c r="M24" t="s">
        <v>22</v>
      </c>
      <c r="N24" t="str">
        <f t="shared" si="0"/>
        <v>Clean</v>
      </c>
      <c r="O24" t="str">
        <f t="shared" si="3"/>
        <v/>
      </c>
      <c r="P24" t="str">
        <f t="shared" si="1"/>
        <v>Clean</v>
      </c>
      <c r="Q24" t="str">
        <f t="shared" si="2"/>
        <v>Valid</v>
      </c>
    </row>
    <row r="25" spans="1:17" x14ac:dyDescent="0.3">
      <c r="A25" t="s">
        <v>133</v>
      </c>
      <c r="B25" t="s">
        <v>134</v>
      </c>
      <c r="C25" t="s">
        <v>76</v>
      </c>
      <c r="D25" t="s">
        <v>77</v>
      </c>
      <c r="E25" t="s">
        <v>52</v>
      </c>
      <c r="F25" t="s">
        <v>18</v>
      </c>
      <c r="G25" s="1">
        <v>44128</v>
      </c>
      <c r="H25" s="1">
        <v>44488</v>
      </c>
      <c r="I25" t="s">
        <v>135</v>
      </c>
      <c r="J25" t="s">
        <v>136</v>
      </c>
      <c r="K25" t="s">
        <v>21</v>
      </c>
      <c r="L25" t="s">
        <v>30</v>
      </c>
      <c r="M25" t="s">
        <v>22</v>
      </c>
      <c r="N25" t="str">
        <f t="shared" si="0"/>
        <v>Clean</v>
      </c>
      <c r="O25" t="str">
        <f t="shared" si="3"/>
        <v/>
      </c>
      <c r="P25" t="str">
        <f t="shared" si="1"/>
        <v>Clean</v>
      </c>
      <c r="Q25" t="str">
        <f t="shared" si="2"/>
        <v>Valid</v>
      </c>
    </row>
    <row r="26" spans="1:17" x14ac:dyDescent="0.3">
      <c r="A26" t="s">
        <v>137</v>
      </c>
      <c r="B26" t="s">
        <v>138</v>
      </c>
      <c r="C26" t="s">
        <v>40</v>
      </c>
      <c r="D26" t="s">
        <v>25</v>
      </c>
      <c r="E26" t="s">
        <v>26</v>
      </c>
      <c r="F26" t="s">
        <v>18</v>
      </c>
      <c r="G26" s="1">
        <v>44894</v>
      </c>
      <c r="H26" s="1">
        <v>44928</v>
      </c>
      <c r="I26" t="s">
        <v>139</v>
      </c>
      <c r="J26" t="s">
        <v>140</v>
      </c>
      <c r="K26" t="s">
        <v>21</v>
      </c>
      <c r="L26" t="s">
        <v>91</v>
      </c>
      <c r="M26" t="s">
        <v>22</v>
      </c>
      <c r="N26" t="str">
        <f t="shared" si="0"/>
        <v>Clean</v>
      </c>
      <c r="O26" t="str">
        <f t="shared" si="3"/>
        <v/>
      </c>
      <c r="P26" t="str">
        <f t="shared" si="1"/>
        <v>Clean</v>
      </c>
      <c r="Q26" t="str">
        <f t="shared" si="2"/>
        <v>Valid</v>
      </c>
    </row>
    <row r="27" spans="1:17" x14ac:dyDescent="0.3">
      <c r="A27" t="s">
        <v>141</v>
      </c>
      <c r="B27" t="s">
        <v>142</v>
      </c>
      <c r="C27" t="s">
        <v>15</v>
      </c>
      <c r="D27" t="s">
        <v>51</v>
      </c>
      <c r="E27" t="s">
        <v>52</v>
      </c>
      <c r="F27" t="s">
        <v>18</v>
      </c>
      <c r="G27" s="1">
        <v>43587</v>
      </c>
      <c r="H27" s="1">
        <v>43688</v>
      </c>
      <c r="I27" t="s">
        <v>143</v>
      </c>
      <c r="J27" t="s">
        <v>144</v>
      </c>
      <c r="K27" t="s">
        <v>37</v>
      </c>
      <c r="L27" t="s">
        <v>55</v>
      </c>
      <c r="M27" t="s">
        <v>22</v>
      </c>
      <c r="N27" t="str">
        <f t="shared" si="0"/>
        <v>Clean</v>
      </c>
      <c r="O27" t="str">
        <f t="shared" si="3"/>
        <v/>
      </c>
      <c r="P27" t="str">
        <f t="shared" si="1"/>
        <v>Clean</v>
      </c>
      <c r="Q27" t="str">
        <f t="shared" si="2"/>
        <v>Valid</v>
      </c>
    </row>
    <row r="28" spans="1:17" x14ac:dyDescent="0.3">
      <c r="A28" t="s">
        <v>145</v>
      </c>
      <c r="B28" t="s">
        <v>146</v>
      </c>
      <c r="C28" t="s">
        <v>15</v>
      </c>
      <c r="D28" t="s">
        <v>41</v>
      </c>
      <c r="E28" t="s">
        <v>17</v>
      </c>
      <c r="F28" t="s">
        <v>18</v>
      </c>
      <c r="G28" s="1">
        <v>44672</v>
      </c>
      <c r="H28" s="1">
        <v>44737</v>
      </c>
      <c r="I28" t="s">
        <v>147</v>
      </c>
      <c r="J28" t="s">
        <v>148</v>
      </c>
      <c r="K28" t="s">
        <v>21</v>
      </c>
      <c r="L28" t="s">
        <v>91</v>
      </c>
      <c r="M28" t="s">
        <v>22</v>
      </c>
      <c r="N28" t="str">
        <f t="shared" si="0"/>
        <v>Clean</v>
      </c>
      <c r="O28" t="str">
        <f t="shared" si="3"/>
        <v/>
      </c>
      <c r="P28" t="str">
        <f t="shared" si="1"/>
        <v>Clean</v>
      </c>
      <c r="Q28" t="str">
        <f t="shared" si="2"/>
        <v>Valid</v>
      </c>
    </row>
    <row r="29" spans="1:17" x14ac:dyDescent="0.3">
      <c r="A29" t="s">
        <v>149</v>
      </c>
      <c r="B29" t="s">
        <v>150</v>
      </c>
      <c r="C29" t="s">
        <v>87</v>
      </c>
      <c r="D29" t="s">
        <v>41</v>
      </c>
      <c r="E29" t="s">
        <v>17</v>
      </c>
      <c r="F29" t="s">
        <v>151</v>
      </c>
      <c r="G29" s="1">
        <v>45278</v>
      </c>
      <c r="H29" s="1">
        <v>45389</v>
      </c>
      <c r="I29" t="s">
        <v>152</v>
      </c>
      <c r="J29" t="s">
        <v>153</v>
      </c>
      <c r="K29" t="s">
        <v>37</v>
      </c>
      <c r="L29" t="s">
        <v>60</v>
      </c>
      <c r="M29" t="s">
        <v>22</v>
      </c>
      <c r="N29" t="str">
        <f t="shared" si="0"/>
        <v>Clean</v>
      </c>
      <c r="O29" t="str">
        <f t="shared" si="3"/>
        <v/>
      </c>
      <c r="P29" t="str">
        <f t="shared" si="1"/>
        <v>Clean</v>
      </c>
      <c r="Q29" t="str">
        <f t="shared" si="2"/>
        <v>Valid</v>
      </c>
    </row>
    <row r="30" spans="1:17" x14ac:dyDescent="0.3">
      <c r="A30" t="s">
        <v>154</v>
      </c>
      <c r="B30" t="s">
        <v>155</v>
      </c>
      <c r="C30" t="s">
        <v>33</v>
      </c>
      <c r="D30" t="s">
        <v>34</v>
      </c>
      <c r="E30" t="s">
        <v>26</v>
      </c>
      <c r="F30" t="s">
        <v>18</v>
      </c>
      <c r="G30" s="1">
        <v>43914</v>
      </c>
      <c r="H30" s="1">
        <v>44205</v>
      </c>
      <c r="I30" t="s">
        <v>156</v>
      </c>
      <c r="J30" t="s">
        <v>157</v>
      </c>
      <c r="K30" t="s">
        <v>21</v>
      </c>
      <c r="L30" t="s">
        <v>30</v>
      </c>
      <c r="M30" t="s">
        <v>22</v>
      </c>
      <c r="N30" t="str">
        <f t="shared" si="0"/>
        <v>Clean</v>
      </c>
      <c r="O30" t="str">
        <f t="shared" si="3"/>
        <v/>
      </c>
      <c r="P30" t="str">
        <f t="shared" si="1"/>
        <v>Clean</v>
      </c>
      <c r="Q30" t="str">
        <f t="shared" si="2"/>
        <v>Valid</v>
      </c>
    </row>
    <row r="31" spans="1:17" x14ac:dyDescent="0.3">
      <c r="A31" t="s">
        <v>158</v>
      </c>
      <c r="B31" t="s">
        <v>159</v>
      </c>
      <c r="C31" t="s">
        <v>87</v>
      </c>
      <c r="D31" t="s">
        <v>67</v>
      </c>
      <c r="E31" t="s">
        <v>26</v>
      </c>
      <c r="F31" t="s">
        <v>160</v>
      </c>
      <c r="G31" s="1">
        <v>43949</v>
      </c>
      <c r="H31" s="1">
        <v>44304</v>
      </c>
      <c r="I31" t="s">
        <v>161</v>
      </c>
      <c r="J31" t="s">
        <v>162</v>
      </c>
      <c r="K31" t="s">
        <v>21</v>
      </c>
      <c r="L31" t="s">
        <v>60</v>
      </c>
      <c r="M31" t="s">
        <v>22</v>
      </c>
      <c r="N31" t="str">
        <f t="shared" si="0"/>
        <v>Clean</v>
      </c>
      <c r="O31" t="str">
        <f t="shared" si="3"/>
        <v/>
      </c>
      <c r="P31" t="str">
        <f t="shared" si="1"/>
        <v>Clean</v>
      </c>
      <c r="Q31" t="str">
        <f t="shared" si="2"/>
        <v>Valid</v>
      </c>
    </row>
    <row r="32" spans="1:17" x14ac:dyDescent="0.3">
      <c r="A32" t="s">
        <v>163</v>
      </c>
      <c r="B32" t="s">
        <v>164</v>
      </c>
      <c r="C32" t="s">
        <v>15</v>
      </c>
      <c r="D32" t="s">
        <v>41</v>
      </c>
      <c r="E32" t="s">
        <v>17</v>
      </c>
      <c r="F32" t="s">
        <v>18</v>
      </c>
      <c r="G32" s="1">
        <v>45455</v>
      </c>
      <c r="H32" s="1">
        <v>45701</v>
      </c>
      <c r="I32" t="s">
        <v>165</v>
      </c>
      <c r="J32" t="s">
        <v>166</v>
      </c>
      <c r="K32" t="s">
        <v>90</v>
      </c>
      <c r="L32" t="s">
        <v>55</v>
      </c>
      <c r="M32" t="s">
        <v>22</v>
      </c>
      <c r="N32" t="str">
        <f t="shared" si="0"/>
        <v>Clean</v>
      </c>
      <c r="O32" t="str">
        <f t="shared" si="3"/>
        <v/>
      </c>
      <c r="P32" t="str">
        <f t="shared" si="1"/>
        <v>Clean</v>
      </c>
      <c r="Q32" t="str">
        <f t="shared" si="2"/>
        <v>Valid</v>
      </c>
    </row>
    <row r="33" spans="1:17" x14ac:dyDescent="0.3">
      <c r="A33" t="s">
        <v>167</v>
      </c>
      <c r="B33" t="s">
        <v>168</v>
      </c>
      <c r="C33" t="s">
        <v>33</v>
      </c>
      <c r="D33" t="s">
        <v>41</v>
      </c>
      <c r="E33" t="s">
        <v>17</v>
      </c>
      <c r="F33" t="s">
        <v>151</v>
      </c>
      <c r="G33" s="1">
        <v>43747</v>
      </c>
      <c r="H33" s="1">
        <v>43872</v>
      </c>
      <c r="I33" t="s">
        <v>169</v>
      </c>
      <c r="J33" t="s">
        <v>170</v>
      </c>
      <c r="K33" t="s">
        <v>37</v>
      </c>
      <c r="L33" t="s">
        <v>30</v>
      </c>
      <c r="M33" t="s">
        <v>22</v>
      </c>
      <c r="N33" t="str">
        <f t="shared" si="0"/>
        <v>Clean</v>
      </c>
      <c r="O33" t="str">
        <f t="shared" si="3"/>
        <v/>
      </c>
      <c r="P33" t="str">
        <f t="shared" si="1"/>
        <v>Clean</v>
      </c>
      <c r="Q33" t="str">
        <f t="shared" si="2"/>
        <v>Valid</v>
      </c>
    </row>
    <row r="34" spans="1:17" x14ac:dyDescent="0.3">
      <c r="A34" t="s">
        <v>171</v>
      </c>
      <c r="B34" t="s">
        <v>172</v>
      </c>
      <c r="C34" t="s">
        <v>15</v>
      </c>
      <c r="D34" t="s">
        <v>77</v>
      </c>
      <c r="E34" t="s">
        <v>52</v>
      </c>
      <c r="F34" t="s">
        <v>18</v>
      </c>
      <c r="G34" s="1">
        <v>45391</v>
      </c>
      <c r="H34" s="1">
        <v>45483</v>
      </c>
      <c r="I34" t="s">
        <v>173</v>
      </c>
      <c r="J34" t="s">
        <v>174</v>
      </c>
      <c r="K34" t="s">
        <v>21</v>
      </c>
      <c r="L34" t="s">
        <v>60</v>
      </c>
      <c r="M34" t="s">
        <v>22</v>
      </c>
      <c r="N34" t="str">
        <f t="shared" si="0"/>
        <v>Clean</v>
      </c>
      <c r="O34" t="str">
        <f t="shared" si="3"/>
        <v/>
      </c>
      <c r="P34" t="str">
        <f t="shared" si="1"/>
        <v>Clean</v>
      </c>
      <c r="Q34" t="str">
        <f t="shared" si="2"/>
        <v>Valid</v>
      </c>
    </row>
    <row r="35" spans="1:17" x14ac:dyDescent="0.3">
      <c r="A35" t="s">
        <v>175</v>
      </c>
      <c r="B35" t="s">
        <v>176</v>
      </c>
      <c r="C35" t="s">
        <v>87</v>
      </c>
      <c r="D35" t="s">
        <v>41</v>
      </c>
      <c r="E35" t="s">
        <v>17</v>
      </c>
      <c r="F35" t="s">
        <v>18</v>
      </c>
      <c r="G35" s="1">
        <v>44579</v>
      </c>
      <c r="H35" s="1">
        <v>44724</v>
      </c>
      <c r="I35" t="s">
        <v>177</v>
      </c>
      <c r="J35" t="s">
        <v>178</v>
      </c>
      <c r="K35" t="s">
        <v>21</v>
      </c>
      <c r="L35" t="s">
        <v>55</v>
      </c>
      <c r="M35" t="s">
        <v>3735</v>
      </c>
      <c r="N35" t="str">
        <f t="shared" si="0"/>
        <v>Flagged</v>
      </c>
      <c r="O35" t="str">
        <f t="shared" si="3"/>
        <v>Invalid Email Format</v>
      </c>
      <c r="P35" t="str">
        <f t="shared" si="1"/>
        <v>Flagged for Review</v>
      </c>
      <c r="Q35" t="str">
        <f t="shared" si="2"/>
        <v>Invalid</v>
      </c>
    </row>
    <row r="36" spans="1:17" x14ac:dyDescent="0.3">
      <c r="A36" t="s">
        <v>179</v>
      </c>
      <c r="B36" t="s">
        <v>180</v>
      </c>
      <c r="C36" t="s">
        <v>181</v>
      </c>
      <c r="D36" t="s">
        <v>25</v>
      </c>
      <c r="E36" t="s">
        <v>26</v>
      </c>
      <c r="F36" t="s">
        <v>151</v>
      </c>
      <c r="G36" s="1">
        <v>44112</v>
      </c>
      <c r="H36" s="1">
        <v>44320</v>
      </c>
      <c r="J36" t="s">
        <v>182</v>
      </c>
      <c r="K36" t="s">
        <v>37</v>
      </c>
      <c r="L36" t="s">
        <v>116</v>
      </c>
      <c r="M36" t="s">
        <v>3735</v>
      </c>
      <c r="N36" t="str">
        <f t="shared" si="0"/>
        <v>Flagged</v>
      </c>
      <c r="O36" t="str">
        <f t="shared" si="3"/>
        <v>Missing Contact_Email</v>
      </c>
      <c r="P36" t="str">
        <f t="shared" si="1"/>
        <v>Flagged for Review</v>
      </c>
      <c r="Q36" t="str">
        <f t="shared" si="2"/>
        <v>Blank</v>
      </c>
    </row>
    <row r="37" spans="1:17" x14ac:dyDescent="0.3">
      <c r="A37" t="s">
        <v>183</v>
      </c>
      <c r="B37" t="s">
        <v>184</v>
      </c>
      <c r="C37" t="s">
        <v>15</v>
      </c>
      <c r="D37" t="s">
        <v>34</v>
      </c>
      <c r="E37" t="s">
        <v>26</v>
      </c>
      <c r="F37" t="s">
        <v>18</v>
      </c>
      <c r="G37" s="1">
        <v>43658</v>
      </c>
      <c r="H37" s="1">
        <v>43853</v>
      </c>
      <c r="I37" t="s">
        <v>185</v>
      </c>
      <c r="J37" t="s">
        <v>186</v>
      </c>
      <c r="K37" t="s">
        <v>29</v>
      </c>
      <c r="L37" t="s">
        <v>91</v>
      </c>
      <c r="M37" t="s">
        <v>22</v>
      </c>
      <c r="N37" t="str">
        <f t="shared" si="0"/>
        <v>Clean</v>
      </c>
      <c r="O37" t="str">
        <f t="shared" si="3"/>
        <v/>
      </c>
      <c r="P37" t="str">
        <f t="shared" si="1"/>
        <v>Clean</v>
      </c>
      <c r="Q37" t="str">
        <f t="shared" si="2"/>
        <v>Valid</v>
      </c>
    </row>
    <row r="38" spans="1:17" x14ac:dyDescent="0.3">
      <c r="A38" t="s">
        <v>187</v>
      </c>
      <c r="B38" t="s">
        <v>188</v>
      </c>
      <c r="C38" t="s">
        <v>87</v>
      </c>
      <c r="D38" t="s">
        <v>16</v>
      </c>
      <c r="E38" t="s">
        <v>17</v>
      </c>
      <c r="F38" t="s">
        <v>18</v>
      </c>
      <c r="G38" s="1">
        <v>43839</v>
      </c>
      <c r="H38" s="1">
        <v>44079</v>
      </c>
      <c r="I38" t="s">
        <v>189</v>
      </c>
      <c r="J38" t="s">
        <v>190</v>
      </c>
      <c r="K38" t="s">
        <v>29</v>
      </c>
      <c r="L38" t="s">
        <v>116</v>
      </c>
      <c r="M38" t="s">
        <v>22</v>
      </c>
      <c r="N38" t="str">
        <f t="shared" si="0"/>
        <v>Clean</v>
      </c>
      <c r="O38" t="str">
        <f t="shared" si="3"/>
        <v/>
      </c>
      <c r="P38" t="str">
        <f t="shared" si="1"/>
        <v>Clean</v>
      </c>
      <c r="Q38" t="str">
        <f t="shared" si="2"/>
        <v>Valid</v>
      </c>
    </row>
    <row r="39" spans="1:17" x14ac:dyDescent="0.3">
      <c r="A39" t="s">
        <v>191</v>
      </c>
      <c r="B39" t="s">
        <v>192</v>
      </c>
      <c r="C39" t="s">
        <v>76</v>
      </c>
      <c r="D39" t="s">
        <v>67</v>
      </c>
      <c r="E39" t="s">
        <v>26</v>
      </c>
      <c r="F39" t="s">
        <v>160</v>
      </c>
      <c r="G39" s="1">
        <v>43515</v>
      </c>
      <c r="H39" s="1">
        <v>43699</v>
      </c>
      <c r="I39" t="s">
        <v>193</v>
      </c>
      <c r="J39" t="s">
        <v>194</v>
      </c>
      <c r="K39" t="s">
        <v>21</v>
      </c>
      <c r="L39" t="s">
        <v>91</v>
      </c>
      <c r="M39" t="s">
        <v>22</v>
      </c>
      <c r="N39" t="str">
        <f t="shared" si="0"/>
        <v>Clean</v>
      </c>
      <c r="O39" t="str">
        <f t="shared" si="3"/>
        <v/>
      </c>
      <c r="P39" t="str">
        <f t="shared" si="1"/>
        <v>Clean</v>
      </c>
      <c r="Q39" t="str">
        <f t="shared" si="2"/>
        <v>Valid</v>
      </c>
    </row>
    <row r="40" spans="1:17" x14ac:dyDescent="0.3">
      <c r="A40" t="s">
        <v>195</v>
      </c>
      <c r="B40" t="s">
        <v>196</v>
      </c>
      <c r="C40" t="s">
        <v>15</v>
      </c>
      <c r="D40" t="s">
        <v>34</v>
      </c>
      <c r="E40" t="s">
        <v>26</v>
      </c>
      <c r="F40" t="s">
        <v>18</v>
      </c>
      <c r="G40" s="1">
        <v>45280</v>
      </c>
      <c r="H40" s="1">
        <v>45406</v>
      </c>
      <c r="I40" t="s">
        <v>197</v>
      </c>
      <c r="J40" t="s">
        <v>198</v>
      </c>
      <c r="K40" t="s">
        <v>21</v>
      </c>
      <c r="M40" t="s">
        <v>3735</v>
      </c>
      <c r="N40" t="str">
        <f t="shared" si="0"/>
        <v>Flagged</v>
      </c>
      <c r="O40" t="str">
        <f t="shared" si="3"/>
        <v>Missing Verified_By</v>
      </c>
      <c r="P40" t="str">
        <f t="shared" si="1"/>
        <v>Flagged for Review</v>
      </c>
      <c r="Q40" t="str">
        <f t="shared" si="2"/>
        <v>Valid</v>
      </c>
    </row>
    <row r="41" spans="1:17" x14ac:dyDescent="0.3">
      <c r="A41" t="s">
        <v>199</v>
      </c>
      <c r="B41" t="s">
        <v>200</v>
      </c>
      <c r="C41" t="s">
        <v>46</v>
      </c>
      <c r="D41" t="s">
        <v>25</v>
      </c>
      <c r="E41" t="s">
        <v>26</v>
      </c>
      <c r="F41" t="s">
        <v>18</v>
      </c>
      <c r="G41" s="1">
        <v>44325</v>
      </c>
      <c r="H41" s="1">
        <v>44440</v>
      </c>
      <c r="I41" t="s">
        <v>201</v>
      </c>
      <c r="J41" t="s">
        <v>202</v>
      </c>
      <c r="K41" t="s">
        <v>29</v>
      </c>
      <c r="L41" t="s">
        <v>91</v>
      </c>
      <c r="M41" t="s">
        <v>22</v>
      </c>
      <c r="N41" t="str">
        <f t="shared" si="0"/>
        <v>Clean</v>
      </c>
      <c r="O41" t="str">
        <f t="shared" si="3"/>
        <v/>
      </c>
      <c r="P41" t="str">
        <f t="shared" si="1"/>
        <v>Clean</v>
      </c>
      <c r="Q41" t="str">
        <f t="shared" si="2"/>
        <v>Valid</v>
      </c>
    </row>
    <row r="42" spans="1:17" x14ac:dyDescent="0.3">
      <c r="A42" t="s">
        <v>203</v>
      </c>
      <c r="B42" t="s">
        <v>204</v>
      </c>
      <c r="C42" t="s">
        <v>15</v>
      </c>
      <c r="D42" t="s">
        <v>34</v>
      </c>
      <c r="E42" t="s">
        <v>26</v>
      </c>
      <c r="F42" t="s">
        <v>151</v>
      </c>
      <c r="G42" s="1">
        <v>44587</v>
      </c>
      <c r="H42" s="1">
        <v>44664</v>
      </c>
      <c r="I42" t="s">
        <v>205</v>
      </c>
      <c r="J42" t="s">
        <v>206</v>
      </c>
      <c r="K42" t="s">
        <v>37</v>
      </c>
      <c r="L42" t="s">
        <v>55</v>
      </c>
      <c r="M42" t="s">
        <v>22</v>
      </c>
      <c r="N42" t="str">
        <f t="shared" si="0"/>
        <v>Clean</v>
      </c>
      <c r="O42" t="str">
        <f t="shared" si="3"/>
        <v/>
      </c>
      <c r="P42" t="str">
        <f t="shared" si="1"/>
        <v>Clean</v>
      </c>
      <c r="Q42" t="str">
        <f t="shared" si="2"/>
        <v>Valid</v>
      </c>
    </row>
    <row r="43" spans="1:17" x14ac:dyDescent="0.3">
      <c r="A43" t="s">
        <v>207</v>
      </c>
      <c r="B43" t="s">
        <v>208</v>
      </c>
      <c r="C43" t="s">
        <v>76</v>
      </c>
      <c r="D43" t="s">
        <v>25</v>
      </c>
      <c r="E43" t="s">
        <v>26</v>
      </c>
      <c r="F43" t="s">
        <v>160</v>
      </c>
      <c r="G43" s="1">
        <v>43883</v>
      </c>
      <c r="H43" s="1">
        <v>44170</v>
      </c>
      <c r="I43" t="s">
        <v>209</v>
      </c>
      <c r="J43" t="s">
        <v>210</v>
      </c>
      <c r="K43" t="s">
        <v>90</v>
      </c>
      <c r="L43" t="s">
        <v>55</v>
      </c>
      <c r="M43" t="s">
        <v>22</v>
      </c>
      <c r="N43" t="str">
        <f t="shared" si="0"/>
        <v>Clean</v>
      </c>
      <c r="O43" t="str">
        <f t="shared" si="3"/>
        <v/>
      </c>
      <c r="P43" t="str">
        <f t="shared" si="1"/>
        <v>Clean</v>
      </c>
      <c r="Q43" t="str">
        <f t="shared" si="2"/>
        <v>Valid</v>
      </c>
    </row>
    <row r="44" spans="1:17" x14ac:dyDescent="0.3">
      <c r="A44" t="s">
        <v>211</v>
      </c>
      <c r="B44" t="s">
        <v>212</v>
      </c>
      <c r="C44" t="s">
        <v>40</v>
      </c>
      <c r="D44" t="s">
        <v>25</v>
      </c>
      <c r="E44" t="s">
        <v>26</v>
      </c>
      <c r="F44" t="s">
        <v>18</v>
      </c>
      <c r="G44" s="1">
        <v>44852</v>
      </c>
      <c r="H44" s="1">
        <v>45172</v>
      </c>
      <c r="I44" t="s">
        <v>213</v>
      </c>
      <c r="J44" t="s">
        <v>214</v>
      </c>
      <c r="K44" t="s">
        <v>29</v>
      </c>
      <c r="M44" t="s">
        <v>3735</v>
      </c>
      <c r="N44" t="str">
        <f t="shared" si="0"/>
        <v>Flagged</v>
      </c>
      <c r="O44" t="str">
        <f t="shared" si="3"/>
        <v>Missing Verified_By</v>
      </c>
      <c r="P44" t="str">
        <f t="shared" si="1"/>
        <v>Flagged for Review</v>
      </c>
      <c r="Q44" t="str">
        <f t="shared" si="2"/>
        <v>Valid</v>
      </c>
    </row>
    <row r="45" spans="1:17" x14ac:dyDescent="0.3">
      <c r="A45" t="s">
        <v>215</v>
      </c>
      <c r="B45" t="s">
        <v>216</v>
      </c>
      <c r="C45" t="s">
        <v>181</v>
      </c>
      <c r="D45" t="s">
        <v>51</v>
      </c>
      <c r="E45" t="s">
        <v>52</v>
      </c>
      <c r="F45" t="s">
        <v>18</v>
      </c>
      <c r="G45" s="1">
        <v>43789</v>
      </c>
      <c r="H45" s="1">
        <v>43966</v>
      </c>
      <c r="I45" t="s">
        <v>217</v>
      </c>
      <c r="J45" t="s">
        <v>218</v>
      </c>
      <c r="K45" t="s">
        <v>21</v>
      </c>
      <c r="L45" t="s">
        <v>55</v>
      </c>
      <c r="M45" t="s">
        <v>22</v>
      </c>
      <c r="N45" t="str">
        <f t="shared" si="0"/>
        <v>Clean</v>
      </c>
      <c r="O45" t="str">
        <f t="shared" si="3"/>
        <v/>
      </c>
      <c r="P45" t="str">
        <f t="shared" si="1"/>
        <v>Clean</v>
      </c>
      <c r="Q45" t="str">
        <f t="shared" si="2"/>
        <v>Valid</v>
      </c>
    </row>
    <row r="46" spans="1:17" x14ac:dyDescent="0.3">
      <c r="A46" t="s">
        <v>219</v>
      </c>
      <c r="B46" t="s">
        <v>220</v>
      </c>
      <c r="C46" t="s">
        <v>33</v>
      </c>
      <c r="D46" t="s">
        <v>77</v>
      </c>
      <c r="E46" t="s">
        <v>52</v>
      </c>
      <c r="F46" t="s">
        <v>160</v>
      </c>
      <c r="G46" s="1">
        <v>44281</v>
      </c>
      <c r="H46" s="1">
        <v>44477</v>
      </c>
      <c r="I46" t="s">
        <v>221</v>
      </c>
      <c r="J46" t="s">
        <v>222</v>
      </c>
      <c r="K46" t="s">
        <v>37</v>
      </c>
      <c r="L46" t="s">
        <v>30</v>
      </c>
      <c r="M46" t="s">
        <v>22</v>
      </c>
      <c r="N46" t="str">
        <f t="shared" si="0"/>
        <v>Clean</v>
      </c>
      <c r="O46" t="str">
        <f t="shared" si="3"/>
        <v/>
      </c>
      <c r="P46" t="str">
        <f t="shared" si="1"/>
        <v>Clean</v>
      </c>
      <c r="Q46" t="str">
        <f t="shared" si="2"/>
        <v>Valid</v>
      </c>
    </row>
    <row r="47" spans="1:17" x14ac:dyDescent="0.3">
      <c r="A47" t="s">
        <v>223</v>
      </c>
      <c r="B47" t="s">
        <v>224</v>
      </c>
      <c r="C47" t="s">
        <v>46</v>
      </c>
      <c r="D47" t="s">
        <v>16</v>
      </c>
      <c r="E47" t="s">
        <v>17</v>
      </c>
      <c r="F47" t="s">
        <v>18</v>
      </c>
      <c r="G47" s="1">
        <v>45510</v>
      </c>
      <c r="H47" s="1">
        <v>45619</v>
      </c>
      <c r="I47" t="s">
        <v>225</v>
      </c>
      <c r="J47" t="s">
        <v>226</v>
      </c>
      <c r="K47" t="s">
        <v>21</v>
      </c>
      <c r="L47" t="s">
        <v>91</v>
      </c>
      <c r="M47" t="s">
        <v>22</v>
      </c>
      <c r="N47" t="str">
        <f t="shared" si="0"/>
        <v>Clean</v>
      </c>
      <c r="O47" t="str">
        <f t="shared" si="3"/>
        <v/>
      </c>
      <c r="P47" t="str">
        <f t="shared" si="1"/>
        <v>Clean</v>
      </c>
      <c r="Q47" t="str">
        <f t="shared" si="2"/>
        <v>Valid</v>
      </c>
    </row>
    <row r="48" spans="1:17" x14ac:dyDescent="0.3">
      <c r="A48" t="s">
        <v>227</v>
      </c>
      <c r="B48" t="s">
        <v>228</v>
      </c>
      <c r="C48" t="s">
        <v>33</v>
      </c>
      <c r="D48" t="s">
        <v>67</v>
      </c>
      <c r="E48" t="s">
        <v>26</v>
      </c>
      <c r="F48" t="s">
        <v>18</v>
      </c>
      <c r="G48" s="1">
        <v>44125</v>
      </c>
      <c r="H48" s="1">
        <v>44424</v>
      </c>
      <c r="I48" t="s">
        <v>229</v>
      </c>
      <c r="J48" t="s">
        <v>230</v>
      </c>
      <c r="K48" t="s">
        <v>29</v>
      </c>
      <c r="L48" t="s">
        <v>30</v>
      </c>
      <c r="M48" t="s">
        <v>22</v>
      </c>
      <c r="N48" t="str">
        <f t="shared" si="0"/>
        <v>Clean</v>
      </c>
      <c r="O48" t="str">
        <f t="shared" si="3"/>
        <v/>
      </c>
      <c r="P48" t="str">
        <f t="shared" si="1"/>
        <v>Clean</v>
      </c>
      <c r="Q48" t="str">
        <f t="shared" si="2"/>
        <v>Valid</v>
      </c>
    </row>
    <row r="49" spans="1:17" x14ac:dyDescent="0.3">
      <c r="A49" t="s">
        <v>231</v>
      </c>
      <c r="B49" t="s">
        <v>232</v>
      </c>
      <c r="C49" t="s">
        <v>33</v>
      </c>
      <c r="D49" t="s">
        <v>41</v>
      </c>
      <c r="E49" t="s">
        <v>17</v>
      </c>
      <c r="F49" t="s">
        <v>18</v>
      </c>
      <c r="G49" s="1">
        <v>43647</v>
      </c>
      <c r="H49" s="1">
        <v>43935</v>
      </c>
      <c r="I49" t="s">
        <v>233</v>
      </c>
      <c r="J49" t="s">
        <v>234</v>
      </c>
      <c r="K49" t="s">
        <v>21</v>
      </c>
      <c r="L49" t="s">
        <v>60</v>
      </c>
      <c r="M49" t="s">
        <v>22</v>
      </c>
      <c r="N49" t="str">
        <f t="shared" si="0"/>
        <v>Clean</v>
      </c>
      <c r="O49" t="str">
        <f t="shared" si="3"/>
        <v/>
      </c>
      <c r="P49" t="str">
        <f t="shared" si="1"/>
        <v>Clean</v>
      </c>
      <c r="Q49" t="str">
        <f t="shared" si="2"/>
        <v>Valid</v>
      </c>
    </row>
    <row r="50" spans="1:17" x14ac:dyDescent="0.3">
      <c r="A50" t="s">
        <v>235</v>
      </c>
      <c r="B50" t="s">
        <v>236</v>
      </c>
      <c r="C50" t="s">
        <v>181</v>
      </c>
      <c r="D50" t="s">
        <v>51</v>
      </c>
      <c r="E50" t="s">
        <v>52</v>
      </c>
      <c r="F50" t="s">
        <v>160</v>
      </c>
      <c r="G50" s="1">
        <v>44979</v>
      </c>
      <c r="H50" s="1">
        <v>45074</v>
      </c>
      <c r="I50" t="s">
        <v>237</v>
      </c>
      <c r="J50" t="s">
        <v>238</v>
      </c>
      <c r="K50" t="s">
        <v>29</v>
      </c>
      <c r="L50" t="s">
        <v>30</v>
      </c>
      <c r="M50" t="s">
        <v>22</v>
      </c>
      <c r="N50" t="str">
        <f t="shared" si="0"/>
        <v>Clean</v>
      </c>
      <c r="O50" t="str">
        <f t="shared" si="3"/>
        <v/>
      </c>
      <c r="P50" t="str">
        <f t="shared" si="1"/>
        <v>Clean</v>
      </c>
      <c r="Q50" t="str">
        <f t="shared" si="2"/>
        <v>Valid</v>
      </c>
    </row>
    <row r="51" spans="1:17" x14ac:dyDescent="0.3">
      <c r="A51" t="s">
        <v>239</v>
      </c>
      <c r="B51" t="s">
        <v>240</v>
      </c>
      <c r="C51" t="s">
        <v>76</v>
      </c>
      <c r="D51" t="s">
        <v>77</v>
      </c>
      <c r="E51" t="s">
        <v>52</v>
      </c>
      <c r="F51" t="s">
        <v>160</v>
      </c>
      <c r="G51" s="1">
        <v>44149</v>
      </c>
      <c r="H51" s="1">
        <v>44337</v>
      </c>
      <c r="I51" t="s">
        <v>241</v>
      </c>
      <c r="J51" t="s">
        <v>242</v>
      </c>
      <c r="K51" t="s">
        <v>90</v>
      </c>
      <c r="L51" t="s">
        <v>91</v>
      </c>
      <c r="M51" t="s">
        <v>22</v>
      </c>
      <c r="N51" t="str">
        <f t="shared" si="0"/>
        <v>Clean</v>
      </c>
      <c r="O51" t="str">
        <f t="shared" si="3"/>
        <v/>
      </c>
      <c r="P51" t="str">
        <f t="shared" si="1"/>
        <v>Clean</v>
      </c>
      <c r="Q51" t="str">
        <f t="shared" si="2"/>
        <v>Valid</v>
      </c>
    </row>
    <row r="52" spans="1:17" x14ac:dyDescent="0.3">
      <c r="A52" t="s">
        <v>243</v>
      </c>
      <c r="B52" t="s">
        <v>244</v>
      </c>
      <c r="C52" t="s">
        <v>76</v>
      </c>
      <c r="D52" t="s">
        <v>77</v>
      </c>
      <c r="E52" t="s">
        <v>52</v>
      </c>
      <c r="F52" t="s">
        <v>18</v>
      </c>
      <c r="G52" s="1">
        <v>45167</v>
      </c>
      <c r="H52" s="1">
        <v>45400</v>
      </c>
      <c r="I52" t="s">
        <v>245</v>
      </c>
      <c r="J52" t="s">
        <v>246</v>
      </c>
      <c r="K52" t="s">
        <v>21</v>
      </c>
      <c r="M52" t="s">
        <v>3735</v>
      </c>
      <c r="N52" t="str">
        <f t="shared" si="0"/>
        <v>Flagged</v>
      </c>
      <c r="O52" t="str">
        <f t="shared" si="3"/>
        <v>Missing Verified_By</v>
      </c>
      <c r="P52" t="str">
        <f t="shared" si="1"/>
        <v>Flagged for Review</v>
      </c>
      <c r="Q52" t="str">
        <f t="shared" si="2"/>
        <v>Valid</v>
      </c>
    </row>
    <row r="53" spans="1:17" x14ac:dyDescent="0.3">
      <c r="A53" t="s">
        <v>247</v>
      </c>
      <c r="B53" t="s">
        <v>248</v>
      </c>
      <c r="C53" t="s">
        <v>46</v>
      </c>
      <c r="D53" t="s">
        <v>41</v>
      </c>
      <c r="E53" t="s">
        <v>17</v>
      </c>
      <c r="F53" t="s">
        <v>18</v>
      </c>
      <c r="G53" s="1">
        <v>43585</v>
      </c>
      <c r="H53" s="1">
        <v>43833</v>
      </c>
      <c r="I53" t="s">
        <v>249</v>
      </c>
      <c r="J53" t="s">
        <v>250</v>
      </c>
      <c r="K53" t="s">
        <v>90</v>
      </c>
      <c r="L53" t="s">
        <v>55</v>
      </c>
      <c r="M53" t="s">
        <v>22</v>
      </c>
      <c r="N53" t="str">
        <f t="shared" si="0"/>
        <v>Clean</v>
      </c>
      <c r="O53" t="str">
        <f t="shared" si="3"/>
        <v/>
      </c>
      <c r="P53" t="str">
        <f t="shared" si="1"/>
        <v>Clean</v>
      </c>
      <c r="Q53" t="str">
        <f t="shared" si="2"/>
        <v>Valid</v>
      </c>
    </row>
    <row r="54" spans="1:17" x14ac:dyDescent="0.3">
      <c r="A54" t="s">
        <v>251</v>
      </c>
      <c r="B54" t="s">
        <v>252</v>
      </c>
      <c r="C54" t="s">
        <v>181</v>
      </c>
      <c r="D54" t="s">
        <v>41</v>
      </c>
      <c r="E54" t="s">
        <v>17</v>
      </c>
      <c r="F54" t="s">
        <v>160</v>
      </c>
      <c r="G54" s="1">
        <v>45351</v>
      </c>
      <c r="H54" s="1">
        <v>45530</v>
      </c>
      <c r="I54" t="s">
        <v>253</v>
      </c>
      <c r="J54" t="s">
        <v>254</v>
      </c>
      <c r="K54" t="s">
        <v>37</v>
      </c>
      <c r="L54" t="s">
        <v>60</v>
      </c>
      <c r="M54" t="s">
        <v>22</v>
      </c>
      <c r="N54" t="str">
        <f t="shared" si="0"/>
        <v>Clean</v>
      </c>
      <c r="O54" t="str">
        <f t="shared" si="3"/>
        <v/>
      </c>
      <c r="P54" t="str">
        <f t="shared" si="1"/>
        <v>Clean</v>
      </c>
      <c r="Q54" t="str">
        <f t="shared" si="2"/>
        <v>Valid</v>
      </c>
    </row>
    <row r="55" spans="1:17" x14ac:dyDescent="0.3">
      <c r="A55" t="s">
        <v>255</v>
      </c>
      <c r="B55" t="s">
        <v>256</v>
      </c>
      <c r="C55" t="s">
        <v>87</v>
      </c>
      <c r="D55" t="s">
        <v>34</v>
      </c>
      <c r="E55" t="s">
        <v>26</v>
      </c>
      <c r="F55" t="s">
        <v>18</v>
      </c>
      <c r="G55" s="1">
        <v>44053</v>
      </c>
      <c r="H55" s="1">
        <v>44255</v>
      </c>
      <c r="I55" t="s">
        <v>257</v>
      </c>
      <c r="J55" t="s">
        <v>258</v>
      </c>
      <c r="K55" t="s">
        <v>37</v>
      </c>
      <c r="L55" t="s">
        <v>60</v>
      </c>
      <c r="M55" t="s">
        <v>22</v>
      </c>
      <c r="N55" t="str">
        <f t="shared" si="0"/>
        <v>Clean</v>
      </c>
      <c r="O55" t="str">
        <f t="shared" si="3"/>
        <v/>
      </c>
      <c r="P55" t="str">
        <f t="shared" si="1"/>
        <v>Clean</v>
      </c>
      <c r="Q55" t="str">
        <f t="shared" si="2"/>
        <v>Valid</v>
      </c>
    </row>
    <row r="56" spans="1:17" x14ac:dyDescent="0.3">
      <c r="A56" t="s">
        <v>259</v>
      </c>
      <c r="B56" t="s">
        <v>260</v>
      </c>
      <c r="C56" t="s">
        <v>87</v>
      </c>
      <c r="D56" t="s">
        <v>25</v>
      </c>
      <c r="E56" t="s">
        <v>26</v>
      </c>
      <c r="F56" t="s">
        <v>18</v>
      </c>
      <c r="G56" s="1">
        <v>45419</v>
      </c>
      <c r="H56" s="1">
        <v>45458</v>
      </c>
      <c r="I56" t="s">
        <v>261</v>
      </c>
      <c r="J56" t="s">
        <v>262</v>
      </c>
      <c r="K56" t="s">
        <v>21</v>
      </c>
      <c r="L56" t="s">
        <v>60</v>
      </c>
      <c r="M56" t="s">
        <v>22</v>
      </c>
      <c r="N56" t="str">
        <f t="shared" si="0"/>
        <v>Clean</v>
      </c>
      <c r="O56" t="str">
        <f t="shared" si="3"/>
        <v/>
      </c>
      <c r="P56" t="str">
        <f t="shared" si="1"/>
        <v>Clean</v>
      </c>
      <c r="Q56" t="str">
        <f t="shared" si="2"/>
        <v>Valid</v>
      </c>
    </row>
    <row r="57" spans="1:17" x14ac:dyDescent="0.3">
      <c r="A57" t="s">
        <v>263</v>
      </c>
      <c r="B57" t="s">
        <v>264</v>
      </c>
      <c r="C57" t="s">
        <v>181</v>
      </c>
      <c r="D57" t="s">
        <v>41</v>
      </c>
      <c r="E57" t="s">
        <v>17</v>
      </c>
      <c r="F57" t="s">
        <v>151</v>
      </c>
      <c r="G57" s="1">
        <v>45413</v>
      </c>
      <c r="H57" s="1">
        <v>45551</v>
      </c>
      <c r="I57" t="s">
        <v>265</v>
      </c>
      <c r="J57" t="s">
        <v>266</v>
      </c>
      <c r="K57" t="s">
        <v>29</v>
      </c>
      <c r="L57" t="s">
        <v>91</v>
      </c>
      <c r="M57" t="s">
        <v>22</v>
      </c>
      <c r="N57" t="str">
        <f t="shared" si="0"/>
        <v>Clean</v>
      </c>
      <c r="O57" t="str">
        <f t="shared" si="3"/>
        <v/>
      </c>
      <c r="P57" t="str">
        <f t="shared" si="1"/>
        <v>Clean</v>
      </c>
      <c r="Q57" t="str">
        <f t="shared" si="2"/>
        <v>Valid</v>
      </c>
    </row>
    <row r="58" spans="1:17" x14ac:dyDescent="0.3">
      <c r="A58" t="s">
        <v>267</v>
      </c>
      <c r="B58" t="s">
        <v>268</v>
      </c>
      <c r="C58" t="s">
        <v>181</v>
      </c>
      <c r="D58" t="s">
        <v>41</v>
      </c>
      <c r="E58" t="s">
        <v>17</v>
      </c>
      <c r="F58" t="s">
        <v>18</v>
      </c>
      <c r="G58" s="1">
        <v>45139</v>
      </c>
      <c r="H58" s="1">
        <v>45146</v>
      </c>
      <c r="I58" t="s">
        <v>269</v>
      </c>
      <c r="J58" t="s">
        <v>270</v>
      </c>
      <c r="K58" t="s">
        <v>37</v>
      </c>
      <c r="M58" t="s">
        <v>3735</v>
      </c>
      <c r="N58" t="str">
        <f t="shared" si="0"/>
        <v>Flagged</v>
      </c>
      <c r="O58" t="str">
        <f t="shared" si="3"/>
        <v>Missing Verified_By</v>
      </c>
      <c r="P58" t="str">
        <f t="shared" si="1"/>
        <v>Flagged for Review</v>
      </c>
      <c r="Q58" t="str">
        <f t="shared" si="2"/>
        <v>Valid</v>
      </c>
    </row>
    <row r="59" spans="1:17" x14ac:dyDescent="0.3">
      <c r="A59" t="s">
        <v>271</v>
      </c>
      <c r="B59" t="s">
        <v>272</v>
      </c>
      <c r="C59" t="s">
        <v>87</v>
      </c>
      <c r="D59" t="s">
        <v>25</v>
      </c>
      <c r="E59" t="s">
        <v>26</v>
      </c>
      <c r="F59" t="s">
        <v>18</v>
      </c>
      <c r="G59" s="1">
        <v>45221</v>
      </c>
      <c r="H59" s="1">
        <v>45290</v>
      </c>
      <c r="I59" t="s">
        <v>273</v>
      </c>
      <c r="J59" t="s">
        <v>274</v>
      </c>
      <c r="K59" t="s">
        <v>90</v>
      </c>
      <c r="L59" t="s">
        <v>116</v>
      </c>
      <c r="M59" t="s">
        <v>22</v>
      </c>
      <c r="N59" t="str">
        <f t="shared" si="0"/>
        <v>Clean</v>
      </c>
      <c r="O59" t="str">
        <f t="shared" si="3"/>
        <v/>
      </c>
      <c r="P59" t="str">
        <f t="shared" si="1"/>
        <v>Clean</v>
      </c>
      <c r="Q59" t="str">
        <f t="shared" si="2"/>
        <v>Valid</v>
      </c>
    </row>
    <row r="60" spans="1:17" x14ac:dyDescent="0.3">
      <c r="A60" t="s">
        <v>275</v>
      </c>
      <c r="B60" t="s">
        <v>276</v>
      </c>
      <c r="C60" t="s">
        <v>76</v>
      </c>
      <c r="D60" t="s">
        <v>51</v>
      </c>
      <c r="E60" t="s">
        <v>52</v>
      </c>
      <c r="F60" t="s">
        <v>18</v>
      </c>
      <c r="G60" s="1">
        <v>44078</v>
      </c>
      <c r="H60" s="1">
        <v>44245</v>
      </c>
      <c r="I60" t="s">
        <v>277</v>
      </c>
      <c r="J60" t="s">
        <v>278</v>
      </c>
      <c r="K60" t="s">
        <v>37</v>
      </c>
      <c r="L60" t="s">
        <v>60</v>
      </c>
      <c r="M60" t="s">
        <v>22</v>
      </c>
      <c r="N60" t="str">
        <f t="shared" si="0"/>
        <v>Clean</v>
      </c>
      <c r="O60" t="str">
        <f t="shared" si="3"/>
        <v/>
      </c>
      <c r="P60" t="str">
        <f t="shared" si="1"/>
        <v>Clean</v>
      </c>
      <c r="Q60" t="str">
        <f t="shared" si="2"/>
        <v>Valid</v>
      </c>
    </row>
    <row r="61" spans="1:17" x14ac:dyDescent="0.3">
      <c r="A61" t="s">
        <v>279</v>
      </c>
      <c r="B61" t="s">
        <v>280</v>
      </c>
      <c r="C61" t="s">
        <v>76</v>
      </c>
      <c r="D61" t="s">
        <v>25</v>
      </c>
      <c r="E61" t="s">
        <v>26</v>
      </c>
      <c r="F61" t="s">
        <v>160</v>
      </c>
      <c r="G61" s="1">
        <v>44347</v>
      </c>
      <c r="H61" s="1">
        <v>44539</v>
      </c>
      <c r="I61" t="s">
        <v>281</v>
      </c>
      <c r="J61" t="s">
        <v>282</v>
      </c>
      <c r="K61" t="s">
        <v>29</v>
      </c>
      <c r="L61" t="s">
        <v>55</v>
      </c>
      <c r="M61" t="s">
        <v>22</v>
      </c>
      <c r="N61" t="str">
        <f t="shared" si="0"/>
        <v>Clean</v>
      </c>
      <c r="O61" t="str">
        <f t="shared" si="3"/>
        <v/>
      </c>
      <c r="P61" t="str">
        <f t="shared" si="1"/>
        <v>Clean</v>
      </c>
      <c r="Q61" t="str">
        <f t="shared" si="2"/>
        <v>Valid</v>
      </c>
    </row>
    <row r="62" spans="1:17" x14ac:dyDescent="0.3">
      <c r="A62" t="s">
        <v>283</v>
      </c>
      <c r="B62" t="s">
        <v>284</v>
      </c>
      <c r="C62" t="s">
        <v>76</v>
      </c>
      <c r="D62" t="s">
        <v>51</v>
      </c>
      <c r="E62" t="s">
        <v>52</v>
      </c>
      <c r="F62" t="s">
        <v>160</v>
      </c>
      <c r="G62" s="1">
        <v>45471</v>
      </c>
      <c r="H62" s="1">
        <v>45547</v>
      </c>
      <c r="I62" t="s">
        <v>285</v>
      </c>
      <c r="J62" t="s">
        <v>286</v>
      </c>
      <c r="K62" t="s">
        <v>21</v>
      </c>
      <c r="L62" t="s">
        <v>116</v>
      </c>
      <c r="M62" t="s">
        <v>22</v>
      </c>
      <c r="N62" t="str">
        <f t="shared" si="0"/>
        <v>Clean</v>
      </c>
      <c r="O62" t="str">
        <f t="shared" si="3"/>
        <v/>
      </c>
      <c r="P62" t="str">
        <f t="shared" si="1"/>
        <v>Clean</v>
      </c>
      <c r="Q62" t="str">
        <f t="shared" si="2"/>
        <v>Valid</v>
      </c>
    </row>
    <row r="63" spans="1:17" x14ac:dyDescent="0.3">
      <c r="A63" t="s">
        <v>287</v>
      </c>
      <c r="B63" t="s">
        <v>288</v>
      </c>
      <c r="C63" t="s">
        <v>46</v>
      </c>
      <c r="D63" t="s">
        <v>34</v>
      </c>
      <c r="E63" t="s">
        <v>26</v>
      </c>
      <c r="F63" t="s">
        <v>160</v>
      </c>
      <c r="G63" s="1">
        <v>45494</v>
      </c>
      <c r="H63" s="1">
        <v>45775</v>
      </c>
      <c r="I63" t="s">
        <v>289</v>
      </c>
      <c r="J63" t="s">
        <v>290</v>
      </c>
      <c r="K63" t="s">
        <v>90</v>
      </c>
      <c r="L63" t="s">
        <v>116</v>
      </c>
      <c r="M63" t="s">
        <v>22</v>
      </c>
      <c r="N63" t="str">
        <f t="shared" si="0"/>
        <v>Clean</v>
      </c>
      <c r="O63" t="str">
        <f t="shared" si="3"/>
        <v/>
      </c>
      <c r="P63" t="str">
        <f t="shared" si="1"/>
        <v>Clean</v>
      </c>
      <c r="Q63" t="str">
        <f t="shared" si="2"/>
        <v>Valid</v>
      </c>
    </row>
    <row r="64" spans="1:17" x14ac:dyDescent="0.3">
      <c r="A64" t="s">
        <v>291</v>
      </c>
      <c r="B64" t="s">
        <v>292</v>
      </c>
      <c r="C64" t="s">
        <v>33</v>
      </c>
      <c r="D64" t="s">
        <v>34</v>
      </c>
      <c r="E64" t="s">
        <v>26</v>
      </c>
      <c r="F64" t="s">
        <v>18</v>
      </c>
      <c r="G64" s="1">
        <v>45445</v>
      </c>
      <c r="H64" s="1">
        <v>45698</v>
      </c>
      <c r="I64" t="s">
        <v>293</v>
      </c>
      <c r="J64" t="s">
        <v>294</v>
      </c>
      <c r="K64" t="s">
        <v>21</v>
      </c>
      <c r="M64" t="s">
        <v>3735</v>
      </c>
      <c r="N64" t="str">
        <f t="shared" si="0"/>
        <v>Flagged</v>
      </c>
      <c r="O64" t="str">
        <f t="shared" si="3"/>
        <v>Missing Verified_By</v>
      </c>
      <c r="P64" t="str">
        <f t="shared" si="1"/>
        <v>Flagged for Review</v>
      </c>
      <c r="Q64" t="str">
        <f t="shared" si="2"/>
        <v>Valid</v>
      </c>
    </row>
    <row r="65" spans="1:17" x14ac:dyDescent="0.3">
      <c r="A65" t="s">
        <v>295</v>
      </c>
      <c r="B65" t="s">
        <v>296</v>
      </c>
      <c r="C65" t="s">
        <v>46</v>
      </c>
      <c r="D65" t="s">
        <v>25</v>
      </c>
      <c r="E65" t="s">
        <v>26</v>
      </c>
      <c r="F65" t="s">
        <v>160</v>
      </c>
      <c r="G65" s="1">
        <v>45311</v>
      </c>
      <c r="H65" s="1">
        <v>45545</v>
      </c>
      <c r="I65" t="s">
        <v>297</v>
      </c>
      <c r="K65" t="s">
        <v>37</v>
      </c>
      <c r="L65" t="s">
        <v>30</v>
      </c>
      <c r="M65" t="s">
        <v>3735</v>
      </c>
      <c r="N65" t="str">
        <f t="shared" si="0"/>
        <v>Flagged</v>
      </c>
      <c r="O65" t="str">
        <f t="shared" si="3"/>
        <v>Missing Account_Code</v>
      </c>
      <c r="P65" t="str">
        <f t="shared" si="1"/>
        <v>Flagged for Review</v>
      </c>
      <c r="Q65" t="str">
        <f t="shared" si="2"/>
        <v>Valid</v>
      </c>
    </row>
    <row r="66" spans="1:17" x14ac:dyDescent="0.3">
      <c r="A66" t="s">
        <v>298</v>
      </c>
      <c r="B66" t="s">
        <v>299</v>
      </c>
      <c r="C66" t="s">
        <v>76</v>
      </c>
      <c r="D66" t="s">
        <v>34</v>
      </c>
      <c r="E66" t="s">
        <v>26</v>
      </c>
      <c r="F66" t="s">
        <v>151</v>
      </c>
      <c r="G66" s="1">
        <v>43595</v>
      </c>
      <c r="H66" s="1">
        <v>43642</v>
      </c>
      <c r="I66" t="s">
        <v>300</v>
      </c>
      <c r="J66" t="s">
        <v>301</v>
      </c>
      <c r="K66" t="s">
        <v>21</v>
      </c>
      <c r="L66" t="s">
        <v>91</v>
      </c>
      <c r="M66" t="s">
        <v>22</v>
      </c>
      <c r="N66" t="str">
        <f t="shared" ref="N66:N129" si="4">IF(OR(B66="",H66="",I66="",J66="",L66="",Q66="Invalid"),"Flagged","Clean")</f>
        <v>Clean</v>
      </c>
      <c r="O66" t="str">
        <f t="shared" si="3"/>
        <v/>
      </c>
      <c r="P66" t="str">
        <f t="shared" ref="P66:P129" si="5">IF(N66="Clean","Clean","Flagged for Review")</f>
        <v>Clean</v>
      </c>
      <c r="Q66" t="str">
        <f t="shared" ref="Q66:Q129" si="6">IF(I66="","Blank",IF(ISERROR(FIND("@",I66&amp;"")),"Invalid",IF(FIND("@",I66&amp;"")&lt;2,"Invalid",IF(LEN(I66&amp;"")-FIND("@",I66&amp;"")&lt;4,"Invalid","Valid"))))</f>
        <v>Valid</v>
      </c>
    </row>
    <row r="67" spans="1:17" x14ac:dyDescent="0.3">
      <c r="A67" t="s">
        <v>302</v>
      </c>
      <c r="B67" t="s">
        <v>303</v>
      </c>
      <c r="C67" t="s">
        <v>76</v>
      </c>
      <c r="D67" t="s">
        <v>16</v>
      </c>
      <c r="E67" t="s">
        <v>17</v>
      </c>
      <c r="F67" t="s">
        <v>18</v>
      </c>
      <c r="G67" s="1">
        <v>43575</v>
      </c>
      <c r="H67" s="1">
        <v>43666</v>
      </c>
      <c r="I67" t="s">
        <v>304</v>
      </c>
      <c r="J67" t="s">
        <v>305</v>
      </c>
      <c r="K67" t="s">
        <v>37</v>
      </c>
      <c r="L67" t="s">
        <v>116</v>
      </c>
      <c r="M67" t="s">
        <v>22</v>
      </c>
      <c r="N67" t="str">
        <f t="shared" si="4"/>
        <v>Clean</v>
      </c>
      <c r="O67" t="str">
        <f t="shared" ref="O67:O130" si="7">TRIM(IF(B67="","Missing Vendor_Name ","")&amp;IF(I67="","Missing Contact_Email ","")&amp;IF(J67="","Missing Account_Code ","")&amp;IF(L67="","Missing Verified_By ","")&amp;IF(Q67="Invalid","Invalid Email Format ","")&amp;IF(H67="","Missing Last_Updated ",""))</f>
        <v/>
      </c>
      <c r="P67" t="str">
        <f t="shared" si="5"/>
        <v>Clean</v>
      </c>
      <c r="Q67" t="str">
        <f t="shared" si="6"/>
        <v>Valid</v>
      </c>
    </row>
    <row r="68" spans="1:17" x14ac:dyDescent="0.3">
      <c r="A68" t="s">
        <v>306</v>
      </c>
      <c r="B68" t="s">
        <v>307</v>
      </c>
      <c r="C68" t="s">
        <v>33</v>
      </c>
      <c r="D68" t="s">
        <v>16</v>
      </c>
      <c r="E68" t="s">
        <v>17</v>
      </c>
      <c r="F68" t="s">
        <v>151</v>
      </c>
      <c r="G68" s="1">
        <v>43608</v>
      </c>
      <c r="H68" s="1">
        <v>43947</v>
      </c>
      <c r="I68" t="s">
        <v>309</v>
      </c>
      <c r="J68" t="s">
        <v>310</v>
      </c>
      <c r="K68" t="s">
        <v>29</v>
      </c>
      <c r="L68" t="s">
        <v>91</v>
      </c>
      <c r="M68" t="s">
        <v>22</v>
      </c>
      <c r="N68" t="str">
        <f t="shared" si="4"/>
        <v>Clean</v>
      </c>
      <c r="O68" t="str">
        <f t="shared" si="7"/>
        <v/>
      </c>
      <c r="P68" t="str">
        <f t="shared" si="5"/>
        <v>Clean</v>
      </c>
      <c r="Q68" t="str">
        <f t="shared" si="6"/>
        <v>Valid</v>
      </c>
    </row>
    <row r="69" spans="1:17" x14ac:dyDescent="0.3">
      <c r="A69" t="s">
        <v>311</v>
      </c>
      <c r="B69" t="s">
        <v>312</v>
      </c>
      <c r="C69" t="s">
        <v>33</v>
      </c>
      <c r="D69" t="s">
        <v>51</v>
      </c>
      <c r="E69" t="s">
        <v>52</v>
      </c>
      <c r="F69" t="s">
        <v>160</v>
      </c>
      <c r="G69" s="1">
        <v>44597</v>
      </c>
      <c r="H69" s="1">
        <v>44881</v>
      </c>
      <c r="I69" t="s">
        <v>313</v>
      </c>
      <c r="J69" t="s">
        <v>314</v>
      </c>
      <c r="K69" t="s">
        <v>37</v>
      </c>
      <c r="L69" t="s">
        <v>60</v>
      </c>
      <c r="M69" t="s">
        <v>22</v>
      </c>
      <c r="N69" t="str">
        <f t="shared" si="4"/>
        <v>Clean</v>
      </c>
      <c r="O69" t="str">
        <f t="shared" si="7"/>
        <v/>
      </c>
      <c r="P69" t="str">
        <f t="shared" si="5"/>
        <v>Clean</v>
      </c>
      <c r="Q69" t="str">
        <f t="shared" si="6"/>
        <v>Valid</v>
      </c>
    </row>
    <row r="70" spans="1:17" x14ac:dyDescent="0.3">
      <c r="A70" t="s">
        <v>315</v>
      </c>
      <c r="B70" t="s">
        <v>316</v>
      </c>
      <c r="C70" t="s">
        <v>87</v>
      </c>
      <c r="D70" t="s">
        <v>67</v>
      </c>
      <c r="E70" t="s">
        <v>26</v>
      </c>
      <c r="F70" t="s">
        <v>151</v>
      </c>
      <c r="G70" s="1">
        <v>45092</v>
      </c>
      <c r="H70" s="1">
        <v>45153</v>
      </c>
      <c r="I70" t="s">
        <v>318</v>
      </c>
      <c r="J70" t="s">
        <v>319</v>
      </c>
      <c r="K70" t="s">
        <v>29</v>
      </c>
      <c r="L70" t="s">
        <v>91</v>
      </c>
      <c r="M70" t="s">
        <v>22</v>
      </c>
      <c r="N70" t="str">
        <f t="shared" si="4"/>
        <v>Clean</v>
      </c>
      <c r="O70" t="str">
        <f t="shared" si="7"/>
        <v/>
      </c>
      <c r="P70" t="str">
        <f t="shared" si="5"/>
        <v>Clean</v>
      </c>
      <c r="Q70" t="str">
        <f t="shared" si="6"/>
        <v>Valid</v>
      </c>
    </row>
    <row r="71" spans="1:17" x14ac:dyDescent="0.3">
      <c r="A71" t="s">
        <v>320</v>
      </c>
      <c r="B71" t="s">
        <v>321</v>
      </c>
      <c r="C71" t="s">
        <v>33</v>
      </c>
      <c r="D71" t="s">
        <v>25</v>
      </c>
      <c r="E71" t="s">
        <v>26</v>
      </c>
      <c r="F71" t="s">
        <v>18</v>
      </c>
      <c r="G71" s="1">
        <v>44143</v>
      </c>
      <c r="H71" s="1">
        <v>44169</v>
      </c>
      <c r="I71" t="s">
        <v>322</v>
      </c>
      <c r="J71" t="s">
        <v>323</v>
      </c>
      <c r="K71" t="s">
        <v>37</v>
      </c>
      <c r="L71" t="s">
        <v>30</v>
      </c>
      <c r="M71" t="s">
        <v>22</v>
      </c>
      <c r="N71" t="str">
        <f t="shared" si="4"/>
        <v>Clean</v>
      </c>
      <c r="O71" t="str">
        <f t="shared" si="7"/>
        <v/>
      </c>
      <c r="P71" t="str">
        <f t="shared" si="5"/>
        <v>Clean</v>
      </c>
      <c r="Q71" t="str">
        <f t="shared" si="6"/>
        <v>Valid</v>
      </c>
    </row>
    <row r="72" spans="1:17" x14ac:dyDescent="0.3">
      <c r="A72" t="s">
        <v>324</v>
      </c>
      <c r="B72" t="s">
        <v>325</v>
      </c>
      <c r="C72" t="s">
        <v>33</v>
      </c>
      <c r="D72" t="s">
        <v>77</v>
      </c>
      <c r="E72" t="s">
        <v>52</v>
      </c>
      <c r="F72" t="s">
        <v>18</v>
      </c>
      <c r="G72" s="1">
        <v>44312</v>
      </c>
      <c r="H72" s="1">
        <v>44646</v>
      </c>
      <c r="I72" t="s">
        <v>326</v>
      </c>
      <c r="J72" t="s">
        <v>327</v>
      </c>
      <c r="K72" t="s">
        <v>37</v>
      </c>
      <c r="L72" t="s">
        <v>55</v>
      </c>
      <c r="M72" t="s">
        <v>22</v>
      </c>
      <c r="N72" t="str">
        <f t="shared" si="4"/>
        <v>Clean</v>
      </c>
      <c r="O72" t="str">
        <f t="shared" si="7"/>
        <v/>
      </c>
      <c r="P72" t="str">
        <f t="shared" si="5"/>
        <v>Clean</v>
      </c>
      <c r="Q72" t="str">
        <f t="shared" si="6"/>
        <v>Valid</v>
      </c>
    </row>
    <row r="73" spans="1:17" x14ac:dyDescent="0.3">
      <c r="A73" t="s">
        <v>328</v>
      </c>
      <c r="B73" t="s">
        <v>329</v>
      </c>
      <c r="C73" t="s">
        <v>15</v>
      </c>
      <c r="D73" t="s">
        <v>51</v>
      </c>
      <c r="E73" t="s">
        <v>52</v>
      </c>
      <c r="F73" t="s">
        <v>160</v>
      </c>
      <c r="G73" s="1">
        <v>43749</v>
      </c>
      <c r="H73" s="1">
        <v>43958</v>
      </c>
      <c r="I73" t="s">
        <v>330</v>
      </c>
      <c r="J73" t="s">
        <v>331</v>
      </c>
      <c r="K73" t="s">
        <v>29</v>
      </c>
      <c r="L73" t="s">
        <v>55</v>
      </c>
      <c r="M73" t="s">
        <v>22</v>
      </c>
      <c r="N73" t="str">
        <f t="shared" si="4"/>
        <v>Clean</v>
      </c>
      <c r="O73" t="str">
        <f t="shared" si="7"/>
        <v/>
      </c>
      <c r="P73" t="str">
        <f t="shared" si="5"/>
        <v>Clean</v>
      </c>
      <c r="Q73" t="str">
        <f t="shared" si="6"/>
        <v>Valid</v>
      </c>
    </row>
    <row r="74" spans="1:17" x14ac:dyDescent="0.3">
      <c r="A74" t="s">
        <v>332</v>
      </c>
      <c r="B74" t="s">
        <v>333</v>
      </c>
      <c r="C74" t="s">
        <v>181</v>
      </c>
      <c r="D74" t="s">
        <v>16</v>
      </c>
      <c r="E74" t="s">
        <v>17</v>
      </c>
      <c r="F74" t="s">
        <v>18</v>
      </c>
      <c r="G74" s="1">
        <v>44981</v>
      </c>
      <c r="H74" s="1">
        <v>45264</v>
      </c>
      <c r="I74" t="s">
        <v>334</v>
      </c>
      <c r="J74" t="s">
        <v>335</v>
      </c>
      <c r="K74" t="s">
        <v>37</v>
      </c>
      <c r="L74" t="s">
        <v>91</v>
      </c>
      <c r="M74" t="s">
        <v>22</v>
      </c>
      <c r="N74" t="str">
        <f t="shared" si="4"/>
        <v>Clean</v>
      </c>
      <c r="O74" t="str">
        <f t="shared" si="7"/>
        <v/>
      </c>
      <c r="P74" t="str">
        <f t="shared" si="5"/>
        <v>Clean</v>
      </c>
      <c r="Q74" t="str">
        <f t="shared" si="6"/>
        <v>Valid</v>
      </c>
    </row>
    <row r="75" spans="1:17" x14ac:dyDescent="0.3">
      <c r="A75" t="s">
        <v>336</v>
      </c>
      <c r="B75" t="s">
        <v>337</v>
      </c>
      <c r="C75" t="s">
        <v>15</v>
      </c>
      <c r="D75" t="s">
        <v>16</v>
      </c>
      <c r="E75" t="s">
        <v>17</v>
      </c>
      <c r="F75" t="s">
        <v>18</v>
      </c>
      <c r="G75" s="1">
        <v>45181</v>
      </c>
      <c r="H75" s="1">
        <v>45183</v>
      </c>
      <c r="I75" t="s">
        <v>338</v>
      </c>
      <c r="J75" t="s">
        <v>339</v>
      </c>
      <c r="K75" t="s">
        <v>37</v>
      </c>
      <c r="L75" t="s">
        <v>60</v>
      </c>
      <c r="M75" t="s">
        <v>22</v>
      </c>
      <c r="N75" t="str">
        <f t="shared" si="4"/>
        <v>Clean</v>
      </c>
      <c r="O75" t="str">
        <f t="shared" si="7"/>
        <v/>
      </c>
      <c r="P75" t="str">
        <f t="shared" si="5"/>
        <v>Clean</v>
      </c>
      <c r="Q75" t="str">
        <f t="shared" si="6"/>
        <v>Valid</v>
      </c>
    </row>
    <row r="76" spans="1:17" x14ac:dyDescent="0.3">
      <c r="A76" t="s">
        <v>340</v>
      </c>
      <c r="B76" t="s">
        <v>341</v>
      </c>
      <c r="C76" t="s">
        <v>181</v>
      </c>
      <c r="D76" t="s">
        <v>16</v>
      </c>
      <c r="E76" t="s">
        <v>17</v>
      </c>
      <c r="F76" t="s">
        <v>18</v>
      </c>
      <c r="G76" s="1">
        <v>45627</v>
      </c>
      <c r="H76" s="1">
        <v>45843</v>
      </c>
      <c r="I76" t="s">
        <v>342</v>
      </c>
      <c r="J76" t="s">
        <v>343</v>
      </c>
      <c r="K76" t="s">
        <v>37</v>
      </c>
      <c r="L76" t="s">
        <v>116</v>
      </c>
      <c r="M76" t="s">
        <v>22</v>
      </c>
      <c r="N76" t="str">
        <f t="shared" si="4"/>
        <v>Clean</v>
      </c>
      <c r="O76" t="str">
        <f t="shared" si="7"/>
        <v/>
      </c>
      <c r="P76" t="str">
        <f t="shared" si="5"/>
        <v>Clean</v>
      </c>
      <c r="Q76" t="str">
        <f t="shared" si="6"/>
        <v>Valid</v>
      </c>
    </row>
    <row r="77" spans="1:17" x14ac:dyDescent="0.3">
      <c r="A77" t="s">
        <v>344</v>
      </c>
      <c r="B77" t="s">
        <v>345</v>
      </c>
      <c r="C77" t="s">
        <v>33</v>
      </c>
      <c r="D77" t="s">
        <v>41</v>
      </c>
      <c r="E77" t="s">
        <v>17</v>
      </c>
      <c r="F77" t="s">
        <v>18</v>
      </c>
      <c r="G77" s="1">
        <v>43935</v>
      </c>
      <c r="H77" s="1">
        <v>44018</v>
      </c>
      <c r="I77" t="s">
        <v>346</v>
      </c>
      <c r="J77" t="s">
        <v>347</v>
      </c>
      <c r="K77" t="s">
        <v>90</v>
      </c>
      <c r="L77" t="s">
        <v>116</v>
      </c>
      <c r="M77" t="s">
        <v>22</v>
      </c>
      <c r="N77" t="str">
        <f t="shared" si="4"/>
        <v>Clean</v>
      </c>
      <c r="O77" t="str">
        <f t="shared" si="7"/>
        <v/>
      </c>
      <c r="P77" t="str">
        <f t="shared" si="5"/>
        <v>Clean</v>
      </c>
      <c r="Q77" t="str">
        <f t="shared" si="6"/>
        <v>Valid</v>
      </c>
    </row>
    <row r="78" spans="1:17" x14ac:dyDescent="0.3">
      <c r="A78" t="s">
        <v>348</v>
      </c>
      <c r="B78" t="s">
        <v>349</v>
      </c>
      <c r="C78" t="s">
        <v>181</v>
      </c>
      <c r="D78" t="s">
        <v>16</v>
      </c>
      <c r="E78" t="s">
        <v>17</v>
      </c>
      <c r="F78" t="s">
        <v>18</v>
      </c>
      <c r="G78" s="1">
        <v>44155</v>
      </c>
      <c r="H78" s="1">
        <v>44415</v>
      </c>
      <c r="I78" t="s">
        <v>350</v>
      </c>
      <c r="J78" t="s">
        <v>351</v>
      </c>
      <c r="K78" t="s">
        <v>90</v>
      </c>
      <c r="L78" t="s">
        <v>91</v>
      </c>
      <c r="M78" t="s">
        <v>22</v>
      </c>
      <c r="N78" t="str">
        <f t="shared" si="4"/>
        <v>Clean</v>
      </c>
      <c r="O78" t="str">
        <f t="shared" si="7"/>
        <v/>
      </c>
      <c r="P78" t="str">
        <f t="shared" si="5"/>
        <v>Clean</v>
      </c>
      <c r="Q78" t="str">
        <f t="shared" si="6"/>
        <v>Valid</v>
      </c>
    </row>
    <row r="79" spans="1:17" x14ac:dyDescent="0.3">
      <c r="A79" t="s">
        <v>352</v>
      </c>
      <c r="B79" t="s">
        <v>353</v>
      </c>
      <c r="C79" t="s">
        <v>15</v>
      </c>
      <c r="D79" t="s">
        <v>34</v>
      </c>
      <c r="E79" t="s">
        <v>26</v>
      </c>
      <c r="F79" t="s">
        <v>18</v>
      </c>
      <c r="G79" s="1">
        <v>45426</v>
      </c>
      <c r="H79" s="1">
        <v>45749</v>
      </c>
      <c r="I79" t="s">
        <v>354</v>
      </c>
      <c r="J79" t="s">
        <v>355</v>
      </c>
      <c r="K79" t="s">
        <v>90</v>
      </c>
      <c r="M79" t="s">
        <v>3735</v>
      </c>
      <c r="N79" t="str">
        <f t="shared" si="4"/>
        <v>Flagged</v>
      </c>
      <c r="O79" t="str">
        <f t="shared" si="7"/>
        <v>Missing Verified_By</v>
      </c>
      <c r="P79" t="str">
        <f t="shared" si="5"/>
        <v>Flagged for Review</v>
      </c>
      <c r="Q79" t="str">
        <f t="shared" si="6"/>
        <v>Valid</v>
      </c>
    </row>
    <row r="80" spans="1:17" x14ac:dyDescent="0.3">
      <c r="A80" t="s">
        <v>356</v>
      </c>
      <c r="B80" t="s">
        <v>357</v>
      </c>
      <c r="C80" t="s">
        <v>15</v>
      </c>
      <c r="D80" t="s">
        <v>77</v>
      </c>
      <c r="E80" t="s">
        <v>52</v>
      </c>
      <c r="F80" t="s">
        <v>18</v>
      </c>
      <c r="G80" s="1">
        <v>45386</v>
      </c>
      <c r="H80" s="1">
        <v>45750</v>
      </c>
      <c r="I80" t="s">
        <v>358</v>
      </c>
      <c r="J80" t="s">
        <v>359</v>
      </c>
      <c r="K80" t="s">
        <v>21</v>
      </c>
      <c r="L80" t="s">
        <v>30</v>
      </c>
      <c r="M80" t="s">
        <v>22</v>
      </c>
      <c r="N80" t="str">
        <f t="shared" si="4"/>
        <v>Clean</v>
      </c>
      <c r="O80" t="str">
        <f t="shared" si="7"/>
        <v/>
      </c>
      <c r="P80" t="str">
        <f t="shared" si="5"/>
        <v>Clean</v>
      </c>
      <c r="Q80" t="str">
        <f t="shared" si="6"/>
        <v>Valid</v>
      </c>
    </row>
    <row r="81" spans="1:17" x14ac:dyDescent="0.3">
      <c r="A81" t="s">
        <v>360</v>
      </c>
      <c r="B81" t="s">
        <v>361</v>
      </c>
      <c r="C81" t="s">
        <v>40</v>
      </c>
      <c r="D81" t="s">
        <v>34</v>
      </c>
      <c r="E81" t="s">
        <v>26</v>
      </c>
      <c r="F81" t="s">
        <v>18</v>
      </c>
      <c r="G81" s="1">
        <v>45037</v>
      </c>
      <c r="H81" s="1">
        <v>45064</v>
      </c>
      <c r="I81" t="s">
        <v>362</v>
      </c>
      <c r="J81" t="s">
        <v>363</v>
      </c>
      <c r="K81" t="s">
        <v>21</v>
      </c>
      <c r="L81" t="s">
        <v>55</v>
      </c>
      <c r="M81" t="s">
        <v>22</v>
      </c>
      <c r="N81" t="str">
        <f t="shared" si="4"/>
        <v>Clean</v>
      </c>
      <c r="O81" t="str">
        <f t="shared" si="7"/>
        <v/>
      </c>
      <c r="P81" t="str">
        <f t="shared" si="5"/>
        <v>Clean</v>
      </c>
      <c r="Q81" t="str">
        <f t="shared" si="6"/>
        <v>Valid</v>
      </c>
    </row>
    <row r="82" spans="1:17" x14ac:dyDescent="0.3">
      <c r="A82" t="s">
        <v>364</v>
      </c>
      <c r="B82" t="s">
        <v>365</v>
      </c>
      <c r="C82" t="s">
        <v>33</v>
      </c>
      <c r="D82" t="s">
        <v>16</v>
      </c>
      <c r="E82" t="s">
        <v>17</v>
      </c>
      <c r="F82" t="s">
        <v>18</v>
      </c>
      <c r="G82" s="1">
        <v>45217</v>
      </c>
      <c r="H82" s="1">
        <v>45368</v>
      </c>
      <c r="I82" t="s">
        <v>366</v>
      </c>
      <c r="J82" t="s">
        <v>367</v>
      </c>
      <c r="K82" t="s">
        <v>90</v>
      </c>
      <c r="L82" t="s">
        <v>60</v>
      </c>
      <c r="M82" t="s">
        <v>22</v>
      </c>
      <c r="N82" t="str">
        <f t="shared" si="4"/>
        <v>Clean</v>
      </c>
      <c r="O82" t="str">
        <f t="shared" si="7"/>
        <v/>
      </c>
      <c r="P82" t="str">
        <f t="shared" si="5"/>
        <v>Clean</v>
      </c>
      <c r="Q82" t="str">
        <f t="shared" si="6"/>
        <v>Valid</v>
      </c>
    </row>
    <row r="83" spans="1:17" x14ac:dyDescent="0.3">
      <c r="A83" t="s">
        <v>368</v>
      </c>
      <c r="B83" t="s">
        <v>369</v>
      </c>
      <c r="C83" t="s">
        <v>76</v>
      </c>
      <c r="D83" t="s">
        <v>16</v>
      </c>
      <c r="E83" t="s">
        <v>17</v>
      </c>
      <c r="F83" t="s">
        <v>18</v>
      </c>
      <c r="G83" s="1">
        <v>45092</v>
      </c>
      <c r="H83" s="1">
        <v>45847</v>
      </c>
      <c r="I83" t="s">
        <v>370</v>
      </c>
      <c r="J83" t="s">
        <v>371</v>
      </c>
      <c r="K83" t="s">
        <v>29</v>
      </c>
      <c r="M83" t="s">
        <v>3735</v>
      </c>
      <c r="N83" t="str">
        <f t="shared" si="4"/>
        <v>Flagged</v>
      </c>
      <c r="O83" t="str">
        <f t="shared" si="7"/>
        <v>Missing Verified_By</v>
      </c>
      <c r="P83" t="str">
        <f t="shared" si="5"/>
        <v>Flagged for Review</v>
      </c>
      <c r="Q83" t="str">
        <f t="shared" si="6"/>
        <v>Valid</v>
      </c>
    </row>
    <row r="84" spans="1:17" x14ac:dyDescent="0.3">
      <c r="A84" t="s">
        <v>372</v>
      </c>
      <c r="B84" t="s">
        <v>373</v>
      </c>
      <c r="C84" t="s">
        <v>40</v>
      </c>
      <c r="D84" t="s">
        <v>25</v>
      </c>
      <c r="E84" t="s">
        <v>26</v>
      </c>
      <c r="F84" t="s">
        <v>18</v>
      </c>
      <c r="G84" s="1">
        <v>44011</v>
      </c>
      <c r="H84" s="1">
        <v>44176</v>
      </c>
      <c r="I84" t="s">
        <v>374</v>
      </c>
      <c r="K84" t="s">
        <v>21</v>
      </c>
      <c r="M84" t="s">
        <v>3735</v>
      </c>
      <c r="N84" t="str">
        <f t="shared" si="4"/>
        <v>Flagged</v>
      </c>
      <c r="O84" t="str">
        <f t="shared" si="7"/>
        <v>Missing Account_Code Missing Verified_By</v>
      </c>
      <c r="P84" t="str">
        <f t="shared" si="5"/>
        <v>Flagged for Review</v>
      </c>
      <c r="Q84" t="str">
        <f t="shared" si="6"/>
        <v>Valid</v>
      </c>
    </row>
    <row r="85" spans="1:17" x14ac:dyDescent="0.3">
      <c r="A85" t="s">
        <v>375</v>
      </c>
      <c r="B85" t="s">
        <v>376</v>
      </c>
      <c r="C85" t="s">
        <v>33</v>
      </c>
      <c r="D85" t="s">
        <v>41</v>
      </c>
      <c r="E85" t="s">
        <v>17</v>
      </c>
      <c r="F85" t="s">
        <v>151</v>
      </c>
      <c r="G85" s="1">
        <v>43634</v>
      </c>
      <c r="H85" s="1">
        <v>43931</v>
      </c>
      <c r="I85" t="s">
        <v>377</v>
      </c>
      <c r="J85" t="s">
        <v>378</v>
      </c>
      <c r="K85" t="s">
        <v>37</v>
      </c>
      <c r="L85" t="s">
        <v>91</v>
      </c>
      <c r="M85" t="s">
        <v>22</v>
      </c>
      <c r="N85" t="str">
        <f t="shared" si="4"/>
        <v>Clean</v>
      </c>
      <c r="O85" t="str">
        <f t="shared" si="7"/>
        <v/>
      </c>
      <c r="P85" t="str">
        <f t="shared" si="5"/>
        <v>Clean</v>
      </c>
      <c r="Q85" t="str">
        <f t="shared" si="6"/>
        <v>Valid</v>
      </c>
    </row>
    <row r="86" spans="1:17" x14ac:dyDescent="0.3">
      <c r="A86" t="s">
        <v>379</v>
      </c>
      <c r="B86" t="s">
        <v>380</v>
      </c>
      <c r="C86" t="s">
        <v>46</v>
      </c>
      <c r="D86" t="s">
        <v>41</v>
      </c>
      <c r="E86" t="s">
        <v>17</v>
      </c>
      <c r="F86" t="s">
        <v>18</v>
      </c>
      <c r="G86" s="1">
        <v>45063</v>
      </c>
      <c r="H86" s="1">
        <v>45305</v>
      </c>
      <c r="I86" t="s">
        <v>381</v>
      </c>
      <c r="J86" t="s">
        <v>382</v>
      </c>
      <c r="K86" t="s">
        <v>21</v>
      </c>
      <c r="L86" t="s">
        <v>60</v>
      </c>
      <c r="M86" t="s">
        <v>22</v>
      </c>
      <c r="N86" t="str">
        <f t="shared" si="4"/>
        <v>Clean</v>
      </c>
      <c r="O86" t="str">
        <f t="shared" si="7"/>
        <v/>
      </c>
      <c r="P86" t="str">
        <f t="shared" si="5"/>
        <v>Clean</v>
      </c>
      <c r="Q86" t="str">
        <f t="shared" si="6"/>
        <v>Valid</v>
      </c>
    </row>
    <row r="87" spans="1:17" x14ac:dyDescent="0.3">
      <c r="A87" t="s">
        <v>383</v>
      </c>
      <c r="B87" t="s">
        <v>384</v>
      </c>
      <c r="C87" t="s">
        <v>40</v>
      </c>
      <c r="D87" t="s">
        <v>16</v>
      </c>
      <c r="E87" t="s">
        <v>17</v>
      </c>
      <c r="F87" t="s">
        <v>18</v>
      </c>
      <c r="G87" s="1">
        <v>44084</v>
      </c>
      <c r="H87" s="1">
        <v>44378</v>
      </c>
      <c r="I87" t="s">
        <v>385</v>
      </c>
      <c r="J87" t="s">
        <v>386</v>
      </c>
      <c r="K87" t="s">
        <v>29</v>
      </c>
      <c r="L87" t="s">
        <v>30</v>
      </c>
      <c r="M87" t="s">
        <v>22</v>
      </c>
      <c r="N87" t="str">
        <f t="shared" si="4"/>
        <v>Clean</v>
      </c>
      <c r="O87" t="str">
        <f t="shared" si="7"/>
        <v/>
      </c>
      <c r="P87" t="str">
        <f t="shared" si="5"/>
        <v>Clean</v>
      </c>
      <c r="Q87" t="str">
        <f t="shared" si="6"/>
        <v>Valid</v>
      </c>
    </row>
    <row r="88" spans="1:17" x14ac:dyDescent="0.3">
      <c r="A88" t="s">
        <v>387</v>
      </c>
      <c r="B88" t="s">
        <v>388</v>
      </c>
      <c r="C88" t="s">
        <v>181</v>
      </c>
      <c r="D88" t="s">
        <v>41</v>
      </c>
      <c r="E88" t="s">
        <v>17</v>
      </c>
      <c r="F88" t="s">
        <v>18</v>
      </c>
      <c r="G88" s="1">
        <v>43569</v>
      </c>
      <c r="H88" s="1">
        <v>43872</v>
      </c>
      <c r="I88" t="s">
        <v>389</v>
      </c>
      <c r="J88" t="s">
        <v>390</v>
      </c>
      <c r="K88" t="s">
        <v>21</v>
      </c>
      <c r="L88" t="s">
        <v>60</v>
      </c>
      <c r="M88" t="s">
        <v>22</v>
      </c>
      <c r="N88" t="str">
        <f t="shared" si="4"/>
        <v>Clean</v>
      </c>
      <c r="O88" t="str">
        <f t="shared" si="7"/>
        <v/>
      </c>
      <c r="P88" t="str">
        <f t="shared" si="5"/>
        <v>Clean</v>
      </c>
      <c r="Q88" t="str">
        <f t="shared" si="6"/>
        <v>Valid</v>
      </c>
    </row>
    <row r="89" spans="1:17" x14ac:dyDescent="0.3">
      <c r="A89" t="s">
        <v>391</v>
      </c>
      <c r="B89" t="s">
        <v>392</v>
      </c>
      <c r="C89" t="s">
        <v>76</v>
      </c>
      <c r="D89" t="s">
        <v>25</v>
      </c>
      <c r="E89" t="s">
        <v>26</v>
      </c>
      <c r="F89" t="s">
        <v>151</v>
      </c>
      <c r="G89" s="1">
        <v>44725</v>
      </c>
      <c r="H89" s="1">
        <v>44847</v>
      </c>
      <c r="I89" t="s">
        <v>393</v>
      </c>
      <c r="J89" t="s">
        <v>394</v>
      </c>
      <c r="K89" t="s">
        <v>90</v>
      </c>
      <c r="L89" t="s">
        <v>60</v>
      </c>
      <c r="M89" t="s">
        <v>22</v>
      </c>
      <c r="N89" t="str">
        <f t="shared" si="4"/>
        <v>Clean</v>
      </c>
      <c r="O89" t="str">
        <f t="shared" si="7"/>
        <v/>
      </c>
      <c r="P89" t="str">
        <f t="shared" si="5"/>
        <v>Clean</v>
      </c>
      <c r="Q89" t="str">
        <f t="shared" si="6"/>
        <v>Valid</v>
      </c>
    </row>
    <row r="90" spans="1:17" x14ac:dyDescent="0.3">
      <c r="A90" t="s">
        <v>395</v>
      </c>
      <c r="B90" t="s">
        <v>396</v>
      </c>
      <c r="C90" t="s">
        <v>87</v>
      </c>
      <c r="D90" t="s">
        <v>16</v>
      </c>
      <c r="E90" t="s">
        <v>17</v>
      </c>
      <c r="F90" t="s">
        <v>18</v>
      </c>
      <c r="G90" s="1">
        <v>44749</v>
      </c>
      <c r="H90" s="1">
        <v>44937</v>
      </c>
      <c r="I90" t="s">
        <v>397</v>
      </c>
      <c r="J90" t="s">
        <v>398</v>
      </c>
      <c r="K90" t="s">
        <v>21</v>
      </c>
      <c r="L90" t="s">
        <v>55</v>
      </c>
      <c r="M90" t="s">
        <v>22</v>
      </c>
      <c r="N90" t="str">
        <f t="shared" si="4"/>
        <v>Clean</v>
      </c>
      <c r="O90" t="str">
        <f t="shared" si="7"/>
        <v/>
      </c>
      <c r="P90" t="str">
        <f t="shared" si="5"/>
        <v>Clean</v>
      </c>
      <c r="Q90" t="str">
        <f t="shared" si="6"/>
        <v>Valid</v>
      </c>
    </row>
    <row r="91" spans="1:17" x14ac:dyDescent="0.3">
      <c r="A91" t="s">
        <v>399</v>
      </c>
      <c r="B91" t="s">
        <v>400</v>
      </c>
      <c r="C91" t="s">
        <v>40</v>
      </c>
      <c r="D91" t="s">
        <v>34</v>
      </c>
      <c r="E91" t="s">
        <v>26</v>
      </c>
      <c r="F91" t="s">
        <v>18</v>
      </c>
      <c r="G91" s="1">
        <v>44491</v>
      </c>
      <c r="H91" s="1">
        <v>44504</v>
      </c>
      <c r="I91" t="s">
        <v>401</v>
      </c>
      <c r="J91" t="s">
        <v>402</v>
      </c>
      <c r="K91" t="s">
        <v>90</v>
      </c>
      <c r="M91" t="s">
        <v>3735</v>
      </c>
      <c r="N91" t="str">
        <f t="shared" si="4"/>
        <v>Flagged</v>
      </c>
      <c r="O91" t="str">
        <f t="shared" si="7"/>
        <v>Missing Verified_By</v>
      </c>
      <c r="P91" t="str">
        <f t="shared" si="5"/>
        <v>Flagged for Review</v>
      </c>
      <c r="Q91" t="str">
        <f t="shared" si="6"/>
        <v>Valid</v>
      </c>
    </row>
    <row r="92" spans="1:17" x14ac:dyDescent="0.3">
      <c r="A92" t="s">
        <v>403</v>
      </c>
      <c r="B92" t="s">
        <v>404</v>
      </c>
      <c r="C92" t="s">
        <v>87</v>
      </c>
      <c r="D92" t="s">
        <v>34</v>
      </c>
      <c r="E92" t="s">
        <v>26</v>
      </c>
      <c r="F92" t="s">
        <v>18</v>
      </c>
      <c r="G92" s="1">
        <v>44458</v>
      </c>
      <c r="H92" s="1">
        <v>44624</v>
      </c>
      <c r="I92" t="s">
        <v>405</v>
      </c>
      <c r="J92" t="s">
        <v>406</v>
      </c>
      <c r="K92" t="s">
        <v>21</v>
      </c>
      <c r="L92" t="s">
        <v>116</v>
      </c>
      <c r="M92" t="s">
        <v>22</v>
      </c>
      <c r="N92" t="str">
        <f t="shared" si="4"/>
        <v>Clean</v>
      </c>
      <c r="O92" t="str">
        <f t="shared" si="7"/>
        <v/>
      </c>
      <c r="P92" t="str">
        <f t="shared" si="5"/>
        <v>Clean</v>
      </c>
      <c r="Q92" t="str">
        <f t="shared" si="6"/>
        <v>Valid</v>
      </c>
    </row>
    <row r="93" spans="1:17" x14ac:dyDescent="0.3">
      <c r="A93" t="s">
        <v>407</v>
      </c>
      <c r="B93" t="s">
        <v>408</v>
      </c>
      <c r="C93" t="s">
        <v>87</v>
      </c>
      <c r="D93" t="s">
        <v>67</v>
      </c>
      <c r="E93" t="s">
        <v>26</v>
      </c>
      <c r="F93" t="s">
        <v>18</v>
      </c>
      <c r="G93" s="1">
        <v>44020</v>
      </c>
      <c r="H93" s="1">
        <v>44221</v>
      </c>
      <c r="I93" t="s">
        <v>409</v>
      </c>
      <c r="J93" t="s">
        <v>410</v>
      </c>
      <c r="K93" t="s">
        <v>21</v>
      </c>
      <c r="L93" t="s">
        <v>60</v>
      </c>
      <c r="M93" t="s">
        <v>22</v>
      </c>
      <c r="N93" t="str">
        <f t="shared" si="4"/>
        <v>Clean</v>
      </c>
      <c r="O93" t="str">
        <f t="shared" si="7"/>
        <v/>
      </c>
      <c r="P93" t="str">
        <f t="shared" si="5"/>
        <v>Clean</v>
      </c>
      <c r="Q93" t="str">
        <f t="shared" si="6"/>
        <v>Valid</v>
      </c>
    </row>
    <row r="94" spans="1:17" x14ac:dyDescent="0.3">
      <c r="A94" t="s">
        <v>411</v>
      </c>
      <c r="B94" t="s">
        <v>412</v>
      </c>
      <c r="C94" t="s">
        <v>181</v>
      </c>
      <c r="D94" t="s">
        <v>77</v>
      </c>
      <c r="E94" t="s">
        <v>52</v>
      </c>
      <c r="F94" t="s">
        <v>18</v>
      </c>
      <c r="G94" s="1">
        <v>44175</v>
      </c>
      <c r="H94" s="1">
        <v>44459</v>
      </c>
      <c r="I94" t="s">
        <v>413</v>
      </c>
      <c r="J94" t="s">
        <v>414</v>
      </c>
      <c r="K94" t="s">
        <v>29</v>
      </c>
      <c r="L94" t="s">
        <v>55</v>
      </c>
      <c r="M94" t="s">
        <v>22</v>
      </c>
      <c r="N94" t="str">
        <f t="shared" si="4"/>
        <v>Clean</v>
      </c>
      <c r="O94" t="str">
        <f t="shared" si="7"/>
        <v/>
      </c>
      <c r="P94" t="str">
        <f t="shared" si="5"/>
        <v>Clean</v>
      </c>
      <c r="Q94" t="str">
        <f t="shared" si="6"/>
        <v>Valid</v>
      </c>
    </row>
    <row r="95" spans="1:17" x14ac:dyDescent="0.3">
      <c r="A95" t="s">
        <v>415</v>
      </c>
      <c r="B95" t="s">
        <v>416</v>
      </c>
      <c r="C95" t="s">
        <v>33</v>
      </c>
      <c r="D95" t="s">
        <v>77</v>
      </c>
      <c r="E95" t="s">
        <v>52</v>
      </c>
      <c r="F95" t="s">
        <v>18</v>
      </c>
      <c r="G95" s="1">
        <v>44301</v>
      </c>
      <c r="H95" s="1">
        <v>44511</v>
      </c>
      <c r="I95" t="s">
        <v>417</v>
      </c>
      <c r="J95" t="s">
        <v>418</v>
      </c>
      <c r="K95" t="s">
        <v>90</v>
      </c>
      <c r="M95" t="s">
        <v>3735</v>
      </c>
      <c r="N95" t="str">
        <f t="shared" si="4"/>
        <v>Flagged</v>
      </c>
      <c r="O95" t="str">
        <f t="shared" si="7"/>
        <v>Missing Verified_By Invalid Email Format</v>
      </c>
      <c r="P95" t="str">
        <f t="shared" si="5"/>
        <v>Flagged for Review</v>
      </c>
      <c r="Q95" t="str">
        <f t="shared" si="6"/>
        <v>Invalid</v>
      </c>
    </row>
    <row r="96" spans="1:17" x14ac:dyDescent="0.3">
      <c r="A96" t="s">
        <v>419</v>
      </c>
      <c r="B96" t="s">
        <v>420</v>
      </c>
      <c r="C96" t="s">
        <v>87</v>
      </c>
      <c r="D96" t="s">
        <v>51</v>
      </c>
      <c r="E96" t="s">
        <v>52</v>
      </c>
      <c r="F96" t="s">
        <v>18</v>
      </c>
      <c r="G96" s="1">
        <v>43632</v>
      </c>
      <c r="H96" s="1">
        <v>43674</v>
      </c>
      <c r="I96" t="s">
        <v>421</v>
      </c>
      <c r="J96" t="s">
        <v>422</v>
      </c>
      <c r="K96" t="s">
        <v>90</v>
      </c>
      <c r="L96" t="s">
        <v>30</v>
      </c>
      <c r="M96" t="s">
        <v>22</v>
      </c>
      <c r="N96" t="str">
        <f t="shared" si="4"/>
        <v>Clean</v>
      </c>
      <c r="O96" t="str">
        <f t="shared" si="7"/>
        <v/>
      </c>
      <c r="P96" t="str">
        <f t="shared" si="5"/>
        <v>Clean</v>
      </c>
      <c r="Q96" t="str">
        <f t="shared" si="6"/>
        <v>Valid</v>
      </c>
    </row>
    <row r="97" spans="1:17" x14ac:dyDescent="0.3">
      <c r="A97" t="s">
        <v>423</v>
      </c>
      <c r="B97" t="s">
        <v>424</v>
      </c>
      <c r="C97" t="s">
        <v>46</v>
      </c>
      <c r="D97" t="s">
        <v>77</v>
      </c>
      <c r="E97" t="s">
        <v>52</v>
      </c>
      <c r="F97" t="s">
        <v>18</v>
      </c>
      <c r="G97" s="1">
        <v>43643</v>
      </c>
      <c r="H97" s="1">
        <v>44000</v>
      </c>
      <c r="I97" t="s">
        <v>425</v>
      </c>
      <c r="J97" t="s">
        <v>426</v>
      </c>
      <c r="K97" t="s">
        <v>37</v>
      </c>
      <c r="L97" t="s">
        <v>30</v>
      </c>
      <c r="M97" t="s">
        <v>22</v>
      </c>
      <c r="N97" t="str">
        <f t="shared" si="4"/>
        <v>Clean</v>
      </c>
      <c r="O97" t="str">
        <f t="shared" si="7"/>
        <v/>
      </c>
      <c r="P97" t="str">
        <f t="shared" si="5"/>
        <v>Clean</v>
      </c>
      <c r="Q97" t="str">
        <f t="shared" si="6"/>
        <v>Valid</v>
      </c>
    </row>
    <row r="98" spans="1:17" x14ac:dyDescent="0.3">
      <c r="A98" t="s">
        <v>427</v>
      </c>
      <c r="B98" t="s">
        <v>428</v>
      </c>
      <c r="C98" t="s">
        <v>181</v>
      </c>
      <c r="D98" t="s">
        <v>34</v>
      </c>
      <c r="E98" t="s">
        <v>26</v>
      </c>
      <c r="F98" t="s">
        <v>18</v>
      </c>
      <c r="G98" s="1">
        <v>44517</v>
      </c>
      <c r="H98" s="1">
        <v>44572</v>
      </c>
      <c r="I98" t="s">
        <v>429</v>
      </c>
      <c r="J98" t="s">
        <v>430</v>
      </c>
      <c r="K98" t="s">
        <v>21</v>
      </c>
      <c r="L98" t="s">
        <v>30</v>
      </c>
      <c r="M98" t="s">
        <v>22</v>
      </c>
      <c r="N98" t="str">
        <f t="shared" si="4"/>
        <v>Clean</v>
      </c>
      <c r="O98" t="str">
        <f t="shared" si="7"/>
        <v/>
      </c>
      <c r="P98" t="str">
        <f t="shared" si="5"/>
        <v>Clean</v>
      </c>
      <c r="Q98" t="str">
        <f t="shared" si="6"/>
        <v>Valid</v>
      </c>
    </row>
    <row r="99" spans="1:17" x14ac:dyDescent="0.3">
      <c r="A99" t="s">
        <v>431</v>
      </c>
      <c r="B99" t="s">
        <v>432</v>
      </c>
      <c r="C99" t="s">
        <v>40</v>
      </c>
      <c r="D99" t="s">
        <v>67</v>
      </c>
      <c r="E99" t="s">
        <v>26</v>
      </c>
      <c r="F99" t="s">
        <v>18</v>
      </c>
      <c r="G99" s="1">
        <v>44419</v>
      </c>
      <c r="H99" s="1">
        <v>44500</v>
      </c>
      <c r="I99" t="s">
        <v>433</v>
      </c>
      <c r="J99" t="s">
        <v>434</v>
      </c>
      <c r="K99" t="s">
        <v>37</v>
      </c>
      <c r="L99" t="s">
        <v>116</v>
      </c>
      <c r="M99" t="s">
        <v>22</v>
      </c>
      <c r="N99" t="str">
        <f t="shared" si="4"/>
        <v>Clean</v>
      </c>
      <c r="O99" t="str">
        <f t="shared" si="7"/>
        <v/>
      </c>
      <c r="P99" t="str">
        <f t="shared" si="5"/>
        <v>Clean</v>
      </c>
      <c r="Q99" t="str">
        <f t="shared" si="6"/>
        <v>Valid</v>
      </c>
    </row>
    <row r="100" spans="1:17" x14ac:dyDescent="0.3">
      <c r="A100" t="s">
        <v>435</v>
      </c>
      <c r="B100" t="s">
        <v>3720</v>
      </c>
      <c r="C100" t="s">
        <v>33</v>
      </c>
      <c r="D100" t="s">
        <v>51</v>
      </c>
      <c r="E100" t="s">
        <v>52</v>
      </c>
      <c r="F100" t="s">
        <v>151</v>
      </c>
      <c r="G100" s="1">
        <v>45568</v>
      </c>
      <c r="H100" s="1">
        <v>45699</v>
      </c>
      <c r="I100" t="s">
        <v>437</v>
      </c>
      <c r="J100" t="s">
        <v>438</v>
      </c>
      <c r="K100" t="s">
        <v>21</v>
      </c>
      <c r="L100" t="s">
        <v>30</v>
      </c>
      <c r="M100" t="s">
        <v>22</v>
      </c>
      <c r="N100" t="str">
        <f t="shared" si="4"/>
        <v>Clean</v>
      </c>
      <c r="O100" t="str">
        <f t="shared" si="7"/>
        <v/>
      </c>
      <c r="P100" t="str">
        <f t="shared" si="5"/>
        <v>Clean</v>
      </c>
      <c r="Q100" t="str">
        <f t="shared" si="6"/>
        <v>Valid</v>
      </c>
    </row>
    <row r="101" spans="1:17" x14ac:dyDescent="0.3">
      <c r="A101" t="s">
        <v>439</v>
      </c>
      <c r="B101" t="s">
        <v>440</v>
      </c>
      <c r="C101" t="s">
        <v>40</v>
      </c>
      <c r="D101" t="s">
        <v>25</v>
      </c>
      <c r="E101" t="s">
        <v>26</v>
      </c>
      <c r="F101" t="s">
        <v>18</v>
      </c>
      <c r="G101" s="1">
        <v>45234</v>
      </c>
      <c r="H101" s="1">
        <v>45267</v>
      </c>
      <c r="I101" t="s">
        <v>441</v>
      </c>
      <c r="J101" t="s">
        <v>442</v>
      </c>
      <c r="K101" t="s">
        <v>90</v>
      </c>
      <c r="L101" t="s">
        <v>116</v>
      </c>
      <c r="M101" t="s">
        <v>22</v>
      </c>
      <c r="N101" t="str">
        <f t="shared" si="4"/>
        <v>Clean</v>
      </c>
      <c r="O101" t="str">
        <f t="shared" si="7"/>
        <v/>
      </c>
      <c r="P101" t="str">
        <f t="shared" si="5"/>
        <v>Clean</v>
      </c>
      <c r="Q101" t="str">
        <f t="shared" si="6"/>
        <v>Valid</v>
      </c>
    </row>
    <row r="102" spans="1:17" x14ac:dyDescent="0.3">
      <c r="A102" t="s">
        <v>443</v>
      </c>
      <c r="B102" t="s">
        <v>444</v>
      </c>
      <c r="C102" t="s">
        <v>40</v>
      </c>
      <c r="D102" t="s">
        <v>41</v>
      </c>
      <c r="E102" t="s">
        <v>17</v>
      </c>
      <c r="F102" t="s">
        <v>160</v>
      </c>
      <c r="G102" s="1">
        <v>43689</v>
      </c>
      <c r="H102" s="1">
        <v>43694</v>
      </c>
      <c r="I102" t="s">
        <v>445</v>
      </c>
      <c r="J102" t="s">
        <v>446</v>
      </c>
      <c r="K102" t="s">
        <v>21</v>
      </c>
      <c r="L102" t="s">
        <v>30</v>
      </c>
      <c r="M102" t="s">
        <v>22</v>
      </c>
      <c r="N102" t="str">
        <f t="shared" si="4"/>
        <v>Clean</v>
      </c>
      <c r="O102" t="str">
        <f t="shared" si="7"/>
        <v/>
      </c>
      <c r="P102" t="str">
        <f t="shared" si="5"/>
        <v>Clean</v>
      </c>
      <c r="Q102" t="str">
        <f t="shared" si="6"/>
        <v>Valid</v>
      </c>
    </row>
    <row r="103" spans="1:17" x14ac:dyDescent="0.3">
      <c r="A103" t="s">
        <v>447</v>
      </c>
      <c r="B103" t="s">
        <v>448</v>
      </c>
      <c r="C103" t="s">
        <v>15</v>
      </c>
      <c r="D103" t="s">
        <v>41</v>
      </c>
      <c r="E103" t="s">
        <v>17</v>
      </c>
      <c r="F103" t="s">
        <v>160</v>
      </c>
      <c r="G103" s="1">
        <v>45594</v>
      </c>
      <c r="H103" s="1">
        <v>45924</v>
      </c>
      <c r="I103" t="s">
        <v>449</v>
      </c>
      <c r="J103" t="s">
        <v>450</v>
      </c>
      <c r="K103" t="s">
        <v>29</v>
      </c>
      <c r="M103" t="s">
        <v>3735</v>
      </c>
      <c r="N103" t="str">
        <f t="shared" si="4"/>
        <v>Flagged</v>
      </c>
      <c r="O103" t="str">
        <f t="shared" si="7"/>
        <v>Missing Verified_By</v>
      </c>
      <c r="P103" t="str">
        <f t="shared" si="5"/>
        <v>Flagged for Review</v>
      </c>
      <c r="Q103" t="str">
        <f t="shared" si="6"/>
        <v>Valid</v>
      </c>
    </row>
    <row r="104" spans="1:17" x14ac:dyDescent="0.3">
      <c r="A104" t="s">
        <v>451</v>
      </c>
      <c r="B104" t="s">
        <v>452</v>
      </c>
      <c r="C104" t="s">
        <v>181</v>
      </c>
      <c r="D104" t="s">
        <v>16</v>
      </c>
      <c r="E104" t="s">
        <v>17</v>
      </c>
      <c r="F104" t="s">
        <v>18</v>
      </c>
      <c r="G104" s="1">
        <v>45362</v>
      </c>
      <c r="H104" s="1">
        <v>45528</v>
      </c>
      <c r="I104" t="s">
        <v>454</v>
      </c>
      <c r="J104" t="s">
        <v>455</v>
      </c>
      <c r="K104" t="s">
        <v>21</v>
      </c>
      <c r="L104" t="s">
        <v>55</v>
      </c>
      <c r="M104" t="s">
        <v>22</v>
      </c>
      <c r="N104" t="str">
        <f t="shared" si="4"/>
        <v>Clean</v>
      </c>
      <c r="O104" t="str">
        <f t="shared" si="7"/>
        <v/>
      </c>
      <c r="P104" t="str">
        <f t="shared" si="5"/>
        <v>Clean</v>
      </c>
      <c r="Q104" t="str">
        <f t="shared" si="6"/>
        <v>Valid</v>
      </c>
    </row>
    <row r="105" spans="1:17" x14ac:dyDescent="0.3">
      <c r="A105" t="s">
        <v>456</v>
      </c>
      <c r="B105" t="s">
        <v>457</v>
      </c>
      <c r="C105" t="s">
        <v>40</v>
      </c>
      <c r="D105" t="s">
        <v>25</v>
      </c>
      <c r="E105" t="s">
        <v>26</v>
      </c>
      <c r="F105" t="s">
        <v>18</v>
      </c>
      <c r="G105" s="1">
        <v>44198</v>
      </c>
      <c r="H105" s="1">
        <v>44345</v>
      </c>
      <c r="I105" t="s">
        <v>458</v>
      </c>
      <c r="J105" t="s">
        <v>459</v>
      </c>
      <c r="K105" t="s">
        <v>37</v>
      </c>
      <c r="L105" t="s">
        <v>116</v>
      </c>
      <c r="M105" t="s">
        <v>22</v>
      </c>
      <c r="N105" t="str">
        <f t="shared" si="4"/>
        <v>Clean</v>
      </c>
      <c r="O105" t="str">
        <f t="shared" si="7"/>
        <v/>
      </c>
      <c r="P105" t="str">
        <f t="shared" si="5"/>
        <v>Clean</v>
      </c>
      <c r="Q105" t="str">
        <f t="shared" si="6"/>
        <v>Valid</v>
      </c>
    </row>
    <row r="106" spans="1:17" x14ac:dyDescent="0.3">
      <c r="A106" t="s">
        <v>460</v>
      </c>
      <c r="B106" t="s">
        <v>461</v>
      </c>
      <c r="C106" t="s">
        <v>46</v>
      </c>
      <c r="D106" t="s">
        <v>34</v>
      </c>
      <c r="E106" t="s">
        <v>26</v>
      </c>
      <c r="F106" t="s">
        <v>151</v>
      </c>
      <c r="G106" s="1">
        <v>45464</v>
      </c>
      <c r="H106" s="1">
        <v>45582</v>
      </c>
      <c r="I106" t="s">
        <v>177</v>
      </c>
      <c r="J106" t="s">
        <v>462</v>
      </c>
      <c r="K106" t="s">
        <v>90</v>
      </c>
      <c r="L106" t="s">
        <v>30</v>
      </c>
      <c r="M106" t="s">
        <v>3735</v>
      </c>
      <c r="N106" t="str">
        <f t="shared" si="4"/>
        <v>Flagged</v>
      </c>
      <c r="O106" t="str">
        <f t="shared" si="7"/>
        <v>Invalid Email Format</v>
      </c>
      <c r="P106" t="str">
        <f t="shared" si="5"/>
        <v>Flagged for Review</v>
      </c>
      <c r="Q106" t="str">
        <f t="shared" si="6"/>
        <v>Invalid</v>
      </c>
    </row>
    <row r="107" spans="1:17" x14ac:dyDescent="0.3">
      <c r="A107" t="s">
        <v>463</v>
      </c>
      <c r="B107" t="s">
        <v>464</v>
      </c>
      <c r="C107" t="s">
        <v>33</v>
      </c>
      <c r="D107" t="s">
        <v>16</v>
      </c>
      <c r="E107" t="s">
        <v>17</v>
      </c>
      <c r="F107" t="s">
        <v>18</v>
      </c>
      <c r="G107" s="1">
        <v>44235</v>
      </c>
      <c r="H107" s="1">
        <v>44454</v>
      </c>
      <c r="I107" t="s">
        <v>465</v>
      </c>
      <c r="J107" t="s">
        <v>466</v>
      </c>
      <c r="K107" t="s">
        <v>21</v>
      </c>
      <c r="L107" t="s">
        <v>30</v>
      </c>
      <c r="M107" t="s">
        <v>22</v>
      </c>
      <c r="N107" t="str">
        <f t="shared" si="4"/>
        <v>Clean</v>
      </c>
      <c r="O107" t="str">
        <f t="shared" si="7"/>
        <v/>
      </c>
      <c r="P107" t="str">
        <f t="shared" si="5"/>
        <v>Clean</v>
      </c>
      <c r="Q107" t="str">
        <f t="shared" si="6"/>
        <v>Valid</v>
      </c>
    </row>
    <row r="108" spans="1:17" x14ac:dyDescent="0.3">
      <c r="A108" t="s">
        <v>467</v>
      </c>
      <c r="B108" t="s">
        <v>468</v>
      </c>
      <c r="C108" t="s">
        <v>87</v>
      </c>
      <c r="D108" t="s">
        <v>16</v>
      </c>
      <c r="E108" t="s">
        <v>17</v>
      </c>
      <c r="F108" t="s">
        <v>151</v>
      </c>
      <c r="G108" s="1">
        <v>44003</v>
      </c>
      <c r="H108" s="1">
        <v>44186</v>
      </c>
      <c r="I108" t="s">
        <v>469</v>
      </c>
      <c r="J108" t="s">
        <v>470</v>
      </c>
      <c r="K108" t="s">
        <v>37</v>
      </c>
      <c r="L108" t="s">
        <v>30</v>
      </c>
      <c r="M108" t="s">
        <v>22</v>
      </c>
      <c r="N108" t="str">
        <f t="shared" si="4"/>
        <v>Clean</v>
      </c>
      <c r="O108" t="str">
        <f t="shared" si="7"/>
        <v/>
      </c>
      <c r="P108" t="str">
        <f t="shared" si="5"/>
        <v>Clean</v>
      </c>
      <c r="Q108" t="str">
        <f t="shared" si="6"/>
        <v>Valid</v>
      </c>
    </row>
    <row r="109" spans="1:17" x14ac:dyDescent="0.3">
      <c r="A109" t="s">
        <v>471</v>
      </c>
      <c r="B109" t="s">
        <v>472</v>
      </c>
      <c r="C109" t="s">
        <v>46</v>
      </c>
      <c r="D109" t="s">
        <v>41</v>
      </c>
      <c r="E109" t="s">
        <v>17</v>
      </c>
      <c r="F109" t="s">
        <v>160</v>
      </c>
      <c r="G109" s="1">
        <v>44180</v>
      </c>
      <c r="H109" s="1">
        <v>44325</v>
      </c>
      <c r="I109" t="s">
        <v>474</v>
      </c>
      <c r="J109" t="s">
        <v>475</v>
      </c>
      <c r="K109" t="s">
        <v>21</v>
      </c>
      <c r="M109" t="s">
        <v>3735</v>
      </c>
      <c r="N109" t="str">
        <f t="shared" si="4"/>
        <v>Flagged</v>
      </c>
      <c r="O109" t="str">
        <f t="shared" si="7"/>
        <v>Missing Verified_By</v>
      </c>
      <c r="P109" t="str">
        <f t="shared" si="5"/>
        <v>Flagged for Review</v>
      </c>
      <c r="Q109" t="str">
        <f t="shared" si="6"/>
        <v>Valid</v>
      </c>
    </row>
    <row r="110" spans="1:17" x14ac:dyDescent="0.3">
      <c r="A110" t="s">
        <v>476</v>
      </c>
      <c r="B110" t="s">
        <v>477</v>
      </c>
      <c r="C110" t="s">
        <v>181</v>
      </c>
      <c r="D110" t="s">
        <v>25</v>
      </c>
      <c r="E110" t="s">
        <v>26</v>
      </c>
      <c r="F110" t="s">
        <v>18</v>
      </c>
      <c r="G110" s="1">
        <v>44821</v>
      </c>
      <c r="H110" s="1">
        <v>45098</v>
      </c>
      <c r="I110" t="s">
        <v>177</v>
      </c>
      <c r="J110" t="s">
        <v>478</v>
      </c>
      <c r="K110" t="s">
        <v>90</v>
      </c>
      <c r="L110" t="s">
        <v>55</v>
      </c>
      <c r="M110" t="s">
        <v>3735</v>
      </c>
      <c r="N110" t="str">
        <f t="shared" si="4"/>
        <v>Flagged</v>
      </c>
      <c r="O110" t="str">
        <f t="shared" si="7"/>
        <v>Invalid Email Format</v>
      </c>
      <c r="P110" t="str">
        <f t="shared" si="5"/>
        <v>Flagged for Review</v>
      </c>
      <c r="Q110" t="str">
        <f t="shared" si="6"/>
        <v>Invalid</v>
      </c>
    </row>
    <row r="111" spans="1:17" x14ac:dyDescent="0.3">
      <c r="A111" t="s">
        <v>479</v>
      </c>
      <c r="B111" t="s">
        <v>480</v>
      </c>
      <c r="C111" t="s">
        <v>87</v>
      </c>
      <c r="D111" t="s">
        <v>25</v>
      </c>
      <c r="E111" t="s">
        <v>26</v>
      </c>
      <c r="F111" t="s">
        <v>18</v>
      </c>
      <c r="G111" s="1">
        <v>44083</v>
      </c>
      <c r="H111" s="1">
        <v>44090</v>
      </c>
      <c r="I111" t="s">
        <v>481</v>
      </c>
      <c r="J111" t="s">
        <v>482</v>
      </c>
      <c r="K111" t="s">
        <v>29</v>
      </c>
      <c r="L111" t="s">
        <v>30</v>
      </c>
      <c r="M111" t="s">
        <v>22</v>
      </c>
      <c r="N111" t="str">
        <f t="shared" si="4"/>
        <v>Clean</v>
      </c>
      <c r="O111" t="str">
        <f t="shared" si="7"/>
        <v/>
      </c>
      <c r="P111" t="str">
        <f t="shared" si="5"/>
        <v>Clean</v>
      </c>
      <c r="Q111" t="str">
        <f t="shared" si="6"/>
        <v>Valid</v>
      </c>
    </row>
    <row r="112" spans="1:17" x14ac:dyDescent="0.3">
      <c r="A112" t="s">
        <v>483</v>
      </c>
      <c r="B112" t="s">
        <v>484</v>
      </c>
      <c r="C112" t="s">
        <v>76</v>
      </c>
      <c r="D112" t="s">
        <v>16</v>
      </c>
      <c r="E112" t="s">
        <v>17</v>
      </c>
      <c r="F112" t="s">
        <v>160</v>
      </c>
      <c r="G112" s="1">
        <v>45006</v>
      </c>
      <c r="H112" s="1">
        <v>45086</v>
      </c>
      <c r="I112" t="s">
        <v>485</v>
      </c>
      <c r="J112" t="s">
        <v>486</v>
      </c>
      <c r="K112" t="s">
        <v>90</v>
      </c>
      <c r="L112" t="s">
        <v>60</v>
      </c>
      <c r="M112" t="s">
        <v>22</v>
      </c>
      <c r="N112" t="str">
        <f t="shared" si="4"/>
        <v>Clean</v>
      </c>
      <c r="O112" t="str">
        <f t="shared" si="7"/>
        <v/>
      </c>
      <c r="P112" t="str">
        <f t="shared" si="5"/>
        <v>Clean</v>
      </c>
      <c r="Q112" t="str">
        <f t="shared" si="6"/>
        <v>Valid</v>
      </c>
    </row>
    <row r="113" spans="1:17" x14ac:dyDescent="0.3">
      <c r="A113" t="s">
        <v>487</v>
      </c>
      <c r="B113" t="s">
        <v>488</v>
      </c>
      <c r="C113" t="s">
        <v>40</v>
      </c>
      <c r="D113" t="s">
        <v>67</v>
      </c>
      <c r="E113" t="s">
        <v>26</v>
      </c>
      <c r="F113" t="s">
        <v>18</v>
      </c>
      <c r="G113" s="1">
        <v>45056</v>
      </c>
      <c r="H113" s="1">
        <v>45180</v>
      </c>
      <c r="I113" t="s">
        <v>489</v>
      </c>
      <c r="J113" t="s">
        <v>490</v>
      </c>
      <c r="K113" t="s">
        <v>29</v>
      </c>
      <c r="M113" t="s">
        <v>3735</v>
      </c>
      <c r="N113" t="str">
        <f t="shared" si="4"/>
        <v>Flagged</v>
      </c>
      <c r="O113" t="str">
        <f t="shared" si="7"/>
        <v>Missing Verified_By</v>
      </c>
      <c r="P113" t="str">
        <f t="shared" si="5"/>
        <v>Flagged for Review</v>
      </c>
      <c r="Q113" t="str">
        <f t="shared" si="6"/>
        <v>Valid</v>
      </c>
    </row>
    <row r="114" spans="1:17" x14ac:dyDescent="0.3">
      <c r="A114" t="s">
        <v>491</v>
      </c>
      <c r="B114" t="s">
        <v>492</v>
      </c>
      <c r="C114" t="s">
        <v>181</v>
      </c>
      <c r="D114" t="s">
        <v>77</v>
      </c>
      <c r="E114" t="s">
        <v>52</v>
      </c>
      <c r="F114" t="s">
        <v>18</v>
      </c>
      <c r="G114" s="1">
        <v>44720</v>
      </c>
      <c r="H114" s="1">
        <v>45059</v>
      </c>
      <c r="I114" t="s">
        <v>493</v>
      </c>
      <c r="J114" t="s">
        <v>494</v>
      </c>
      <c r="K114" t="s">
        <v>21</v>
      </c>
      <c r="L114" t="s">
        <v>91</v>
      </c>
      <c r="M114" t="s">
        <v>22</v>
      </c>
      <c r="N114" t="str">
        <f t="shared" si="4"/>
        <v>Clean</v>
      </c>
      <c r="O114" t="str">
        <f t="shared" si="7"/>
        <v/>
      </c>
      <c r="P114" t="str">
        <f t="shared" si="5"/>
        <v>Clean</v>
      </c>
      <c r="Q114" t="str">
        <f t="shared" si="6"/>
        <v>Valid</v>
      </c>
    </row>
    <row r="115" spans="1:17" x14ac:dyDescent="0.3">
      <c r="A115" t="s">
        <v>495</v>
      </c>
      <c r="B115" t="s">
        <v>496</v>
      </c>
      <c r="C115" t="s">
        <v>46</v>
      </c>
      <c r="D115" t="s">
        <v>77</v>
      </c>
      <c r="E115" t="s">
        <v>52</v>
      </c>
      <c r="F115" t="s">
        <v>18</v>
      </c>
      <c r="G115" s="1">
        <v>45022</v>
      </c>
      <c r="H115" s="1">
        <v>45065</v>
      </c>
      <c r="I115" t="s">
        <v>497</v>
      </c>
      <c r="J115" t="s">
        <v>498</v>
      </c>
      <c r="K115" t="s">
        <v>37</v>
      </c>
      <c r="M115" t="s">
        <v>3735</v>
      </c>
      <c r="N115" t="str">
        <f t="shared" si="4"/>
        <v>Flagged</v>
      </c>
      <c r="O115" t="str">
        <f t="shared" si="7"/>
        <v>Missing Verified_By</v>
      </c>
      <c r="P115" t="str">
        <f t="shared" si="5"/>
        <v>Flagged for Review</v>
      </c>
      <c r="Q115" t="str">
        <f t="shared" si="6"/>
        <v>Valid</v>
      </c>
    </row>
    <row r="116" spans="1:17" x14ac:dyDescent="0.3">
      <c r="A116" t="s">
        <v>499</v>
      </c>
      <c r="B116" t="s">
        <v>500</v>
      </c>
      <c r="C116" t="s">
        <v>87</v>
      </c>
      <c r="D116" t="s">
        <v>67</v>
      </c>
      <c r="E116" t="s">
        <v>26</v>
      </c>
      <c r="F116" t="s">
        <v>18</v>
      </c>
      <c r="G116" s="1">
        <v>43976</v>
      </c>
      <c r="H116" s="1">
        <v>44129</v>
      </c>
      <c r="I116" t="s">
        <v>502</v>
      </c>
      <c r="J116" t="s">
        <v>503</v>
      </c>
      <c r="K116" t="s">
        <v>21</v>
      </c>
      <c r="L116" t="s">
        <v>116</v>
      </c>
      <c r="M116" t="s">
        <v>22</v>
      </c>
      <c r="N116" t="str">
        <f t="shared" si="4"/>
        <v>Clean</v>
      </c>
      <c r="O116" t="str">
        <f t="shared" si="7"/>
        <v/>
      </c>
      <c r="P116" t="str">
        <f t="shared" si="5"/>
        <v>Clean</v>
      </c>
      <c r="Q116" t="str">
        <f t="shared" si="6"/>
        <v>Valid</v>
      </c>
    </row>
    <row r="117" spans="1:17" x14ac:dyDescent="0.3">
      <c r="A117" t="s">
        <v>504</v>
      </c>
      <c r="B117" t="s">
        <v>505</v>
      </c>
      <c r="C117" t="s">
        <v>87</v>
      </c>
      <c r="D117" t="s">
        <v>34</v>
      </c>
      <c r="E117" t="s">
        <v>26</v>
      </c>
      <c r="F117" t="s">
        <v>18</v>
      </c>
      <c r="G117" s="1">
        <v>43553</v>
      </c>
      <c r="H117" s="1">
        <v>43578</v>
      </c>
      <c r="I117" t="s">
        <v>506</v>
      </c>
      <c r="J117" t="s">
        <v>507</v>
      </c>
      <c r="K117" t="s">
        <v>37</v>
      </c>
      <c r="L117" t="s">
        <v>91</v>
      </c>
      <c r="M117" t="s">
        <v>22</v>
      </c>
      <c r="N117" t="str">
        <f t="shared" si="4"/>
        <v>Clean</v>
      </c>
      <c r="O117" t="str">
        <f t="shared" si="7"/>
        <v/>
      </c>
      <c r="P117" t="str">
        <f t="shared" si="5"/>
        <v>Clean</v>
      </c>
      <c r="Q117" t="str">
        <f t="shared" si="6"/>
        <v>Valid</v>
      </c>
    </row>
    <row r="118" spans="1:17" x14ac:dyDescent="0.3">
      <c r="A118" t="s">
        <v>508</v>
      </c>
      <c r="B118" t="s">
        <v>509</v>
      </c>
      <c r="C118" t="s">
        <v>40</v>
      </c>
      <c r="D118" t="s">
        <v>34</v>
      </c>
      <c r="E118" t="s">
        <v>26</v>
      </c>
      <c r="F118" t="s">
        <v>18</v>
      </c>
      <c r="G118" s="1">
        <v>44933</v>
      </c>
      <c r="H118" s="1">
        <v>44965</v>
      </c>
      <c r="I118" t="s">
        <v>510</v>
      </c>
      <c r="J118" t="s">
        <v>511</v>
      </c>
      <c r="K118" t="s">
        <v>37</v>
      </c>
      <c r="L118" t="s">
        <v>30</v>
      </c>
      <c r="M118" t="s">
        <v>22</v>
      </c>
      <c r="N118" t="str">
        <f t="shared" si="4"/>
        <v>Clean</v>
      </c>
      <c r="O118" t="str">
        <f t="shared" si="7"/>
        <v/>
      </c>
      <c r="P118" t="str">
        <f t="shared" si="5"/>
        <v>Clean</v>
      </c>
      <c r="Q118" t="str">
        <f t="shared" si="6"/>
        <v>Valid</v>
      </c>
    </row>
    <row r="119" spans="1:17" x14ac:dyDescent="0.3">
      <c r="A119" t="s">
        <v>512</v>
      </c>
      <c r="B119" t="s">
        <v>513</v>
      </c>
      <c r="C119" t="s">
        <v>33</v>
      </c>
      <c r="D119" t="s">
        <v>34</v>
      </c>
      <c r="E119" t="s">
        <v>26</v>
      </c>
      <c r="F119" t="s">
        <v>18</v>
      </c>
      <c r="G119" s="1">
        <v>45409</v>
      </c>
      <c r="H119" s="1">
        <v>45427</v>
      </c>
      <c r="I119" t="s">
        <v>514</v>
      </c>
      <c r="J119" t="s">
        <v>515</v>
      </c>
      <c r="K119" t="s">
        <v>37</v>
      </c>
      <c r="M119" t="s">
        <v>3735</v>
      </c>
      <c r="N119" t="str">
        <f t="shared" si="4"/>
        <v>Flagged</v>
      </c>
      <c r="O119" t="str">
        <f t="shared" si="7"/>
        <v>Missing Verified_By</v>
      </c>
      <c r="P119" t="str">
        <f t="shared" si="5"/>
        <v>Flagged for Review</v>
      </c>
      <c r="Q119" t="str">
        <f t="shared" si="6"/>
        <v>Valid</v>
      </c>
    </row>
    <row r="120" spans="1:17" x14ac:dyDescent="0.3">
      <c r="A120" t="s">
        <v>516</v>
      </c>
      <c r="B120" t="s">
        <v>517</v>
      </c>
      <c r="C120" t="s">
        <v>46</v>
      </c>
      <c r="D120" t="s">
        <v>34</v>
      </c>
      <c r="E120" t="s">
        <v>26</v>
      </c>
      <c r="F120" t="s">
        <v>18</v>
      </c>
      <c r="G120" s="1">
        <v>45295</v>
      </c>
      <c r="H120" s="1">
        <v>45484</v>
      </c>
      <c r="I120" t="s">
        <v>518</v>
      </c>
      <c r="J120" t="s">
        <v>519</v>
      </c>
      <c r="K120" t="s">
        <v>37</v>
      </c>
      <c r="L120" t="s">
        <v>30</v>
      </c>
      <c r="M120" t="s">
        <v>22</v>
      </c>
      <c r="N120" t="str">
        <f t="shared" si="4"/>
        <v>Clean</v>
      </c>
      <c r="O120" t="str">
        <f t="shared" si="7"/>
        <v/>
      </c>
      <c r="P120" t="str">
        <f t="shared" si="5"/>
        <v>Clean</v>
      </c>
      <c r="Q120" t="str">
        <f t="shared" si="6"/>
        <v>Valid</v>
      </c>
    </row>
    <row r="121" spans="1:17" x14ac:dyDescent="0.3">
      <c r="A121" t="s">
        <v>520</v>
      </c>
      <c r="B121" t="s">
        <v>521</v>
      </c>
      <c r="C121" t="s">
        <v>15</v>
      </c>
      <c r="D121" t="s">
        <v>67</v>
      </c>
      <c r="E121" t="s">
        <v>26</v>
      </c>
      <c r="F121" t="s">
        <v>151</v>
      </c>
      <c r="G121" s="1">
        <v>45090</v>
      </c>
      <c r="H121" s="1">
        <v>45257</v>
      </c>
      <c r="I121" t="s">
        <v>522</v>
      </c>
      <c r="J121" t="s">
        <v>523</v>
      </c>
      <c r="K121" t="s">
        <v>21</v>
      </c>
      <c r="L121" t="s">
        <v>30</v>
      </c>
      <c r="M121" t="s">
        <v>22</v>
      </c>
      <c r="N121" t="str">
        <f t="shared" si="4"/>
        <v>Clean</v>
      </c>
      <c r="O121" t="str">
        <f t="shared" si="7"/>
        <v/>
      </c>
      <c r="P121" t="str">
        <f t="shared" si="5"/>
        <v>Clean</v>
      </c>
      <c r="Q121" t="str">
        <f t="shared" si="6"/>
        <v>Valid</v>
      </c>
    </row>
    <row r="122" spans="1:17" x14ac:dyDescent="0.3">
      <c r="A122" t="s">
        <v>524</v>
      </c>
      <c r="B122" t="s">
        <v>525</v>
      </c>
      <c r="C122" t="s">
        <v>87</v>
      </c>
      <c r="D122" t="s">
        <v>77</v>
      </c>
      <c r="E122" t="s">
        <v>52</v>
      </c>
      <c r="F122" t="s">
        <v>18</v>
      </c>
      <c r="G122" s="1">
        <v>44397</v>
      </c>
      <c r="H122" s="1">
        <v>44610</v>
      </c>
      <c r="I122" t="s">
        <v>526</v>
      </c>
      <c r="J122" t="s">
        <v>527</v>
      </c>
      <c r="K122" t="s">
        <v>21</v>
      </c>
      <c r="L122" t="s">
        <v>116</v>
      </c>
      <c r="M122" t="s">
        <v>22</v>
      </c>
      <c r="N122" t="str">
        <f t="shared" si="4"/>
        <v>Clean</v>
      </c>
      <c r="O122" t="str">
        <f t="shared" si="7"/>
        <v/>
      </c>
      <c r="P122" t="str">
        <f t="shared" si="5"/>
        <v>Clean</v>
      </c>
      <c r="Q122" t="str">
        <f t="shared" si="6"/>
        <v>Valid</v>
      </c>
    </row>
    <row r="123" spans="1:17" x14ac:dyDescent="0.3">
      <c r="A123" t="s">
        <v>528</v>
      </c>
      <c r="B123" t="s">
        <v>529</v>
      </c>
      <c r="C123" t="s">
        <v>15</v>
      </c>
      <c r="D123" t="s">
        <v>16</v>
      </c>
      <c r="E123" t="s">
        <v>17</v>
      </c>
      <c r="F123" t="s">
        <v>160</v>
      </c>
      <c r="G123" s="1">
        <v>44874</v>
      </c>
      <c r="H123" s="1">
        <v>45020</v>
      </c>
      <c r="I123" t="s">
        <v>530</v>
      </c>
      <c r="J123" t="s">
        <v>531</v>
      </c>
      <c r="K123" t="s">
        <v>90</v>
      </c>
      <c r="M123" t="s">
        <v>3735</v>
      </c>
      <c r="N123" t="str">
        <f t="shared" si="4"/>
        <v>Flagged</v>
      </c>
      <c r="O123" t="str">
        <f t="shared" si="7"/>
        <v>Missing Verified_By</v>
      </c>
      <c r="P123" t="str">
        <f t="shared" si="5"/>
        <v>Flagged for Review</v>
      </c>
      <c r="Q123" t="str">
        <f t="shared" si="6"/>
        <v>Valid</v>
      </c>
    </row>
    <row r="124" spans="1:17" x14ac:dyDescent="0.3">
      <c r="A124" t="s">
        <v>532</v>
      </c>
      <c r="B124" t="s">
        <v>533</v>
      </c>
      <c r="C124" t="s">
        <v>181</v>
      </c>
      <c r="D124" t="s">
        <v>77</v>
      </c>
      <c r="E124" t="s">
        <v>52</v>
      </c>
      <c r="F124" t="s">
        <v>18</v>
      </c>
      <c r="G124" s="1">
        <v>45017</v>
      </c>
      <c r="H124" s="1">
        <v>45196</v>
      </c>
      <c r="I124" t="s">
        <v>534</v>
      </c>
      <c r="J124" t="s">
        <v>535</v>
      </c>
      <c r="K124" t="s">
        <v>90</v>
      </c>
      <c r="L124" t="s">
        <v>30</v>
      </c>
      <c r="M124" t="s">
        <v>22</v>
      </c>
      <c r="N124" t="str">
        <f t="shared" si="4"/>
        <v>Clean</v>
      </c>
      <c r="O124" t="str">
        <f t="shared" si="7"/>
        <v/>
      </c>
      <c r="P124" t="str">
        <f t="shared" si="5"/>
        <v>Clean</v>
      </c>
      <c r="Q124" t="str">
        <f t="shared" si="6"/>
        <v>Valid</v>
      </c>
    </row>
    <row r="125" spans="1:17" x14ac:dyDescent="0.3">
      <c r="A125" t="s">
        <v>536</v>
      </c>
      <c r="B125" t="s">
        <v>537</v>
      </c>
      <c r="C125" t="s">
        <v>46</v>
      </c>
      <c r="D125" t="s">
        <v>51</v>
      </c>
      <c r="E125" t="s">
        <v>52</v>
      </c>
      <c r="F125" t="s">
        <v>18</v>
      </c>
      <c r="G125" s="1">
        <v>43563</v>
      </c>
      <c r="H125" s="1">
        <v>43880</v>
      </c>
      <c r="I125" t="s">
        <v>539</v>
      </c>
      <c r="J125" t="s">
        <v>540</v>
      </c>
      <c r="K125" t="s">
        <v>37</v>
      </c>
      <c r="L125" t="s">
        <v>91</v>
      </c>
      <c r="M125" t="s">
        <v>22</v>
      </c>
      <c r="N125" t="str">
        <f t="shared" si="4"/>
        <v>Clean</v>
      </c>
      <c r="O125" t="str">
        <f t="shared" si="7"/>
        <v/>
      </c>
      <c r="P125" t="str">
        <f t="shared" si="5"/>
        <v>Clean</v>
      </c>
      <c r="Q125" t="str">
        <f t="shared" si="6"/>
        <v>Valid</v>
      </c>
    </row>
    <row r="126" spans="1:17" x14ac:dyDescent="0.3">
      <c r="A126" t="s">
        <v>541</v>
      </c>
      <c r="B126" t="s">
        <v>542</v>
      </c>
      <c r="C126" t="s">
        <v>46</v>
      </c>
      <c r="D126" t="s">
        <v>34</v>
      </c>
      <c r="E126" t="s">
        <v>26</v>
      </c>
      <c r="F126" t="s">
        <v>151</v>
      </c>
      <c r="G126" s="1">
        <v>45023</v>
      </c>
      <c r="H126" s="1">
        <v>45098</v>
      </c>
      <c r="I126" t="s">
        <v>543</v>
      </c>
      <c r="J126" t="s">
        <v>544</v>
      </c>
      <c r="K126" t="s">
        <v>90</v>
      </c>
      <c r="L126" t="s">
        <v>55</v>
      </c>
      <c r="M126" t="s">
        <v>22</v>
      </c>
      <c r="N126" t="str">
        <f t="shared" si="4"/>
        <v>Clean</v>
      </c>
      <c r="O126" t="str">
        <f t="shared" si="7"/>
        <v/>
      </c>
      <c r="P126" t="str">
        <f t="shared" si="5"/>
        <v>Clean</v>
      </c>
      <c r="Q126" t="str">
        <f t="shared" si="6"/>
        <v>Valid</v>
      </c>
    </row>
    <row r="127" spans="1:17" x14ac:dyDescent="0.3">
      <c r="A127" t="s">
        <v>545</v>
      </c>
      <c r="B127" t="s">
        <v>3721</v>
      </c>
      <c r="C127" t="s">
        <v>87</v>
      </c>
      <c r="D127" t="s">
        <v>16</v>
      </c>
      <c r="E127" t="s">
        <v>17</v>
      </c>
      <c r="F127" t="s">
        <v>18</v>
      </c>
      <c r="G127" s="1">
        <v>43505</v>
      </c>
      <c r="H127" s="1">
        <v>43676</v>
      </c>
      <c r="I127" t="s">
        <v>546</v>
      </c>
      <c r="J127" t="s">
        <v>547</v>
      </c>
      <c r="K127" t="s">
        <v>29</v>
      </c>
      <c r="L127" t="s">
        <v>60</v>
      </c>
      <c r="M127" t="s">
        <v>3735</v>
      </c>
      <c r="N127" t="str">
        <f t="shared" si="4"/>
        <v>Flagged</v>
      </c>
      <c r="O127" t="str">
        <f t="shared" si="7"/>
        <v>Missing Vendor_Name</v>
      </c>
      <c r="P127" t="str">
        <f t="shared" si="5"/>
        <v>Flagged for Review</v>
      </c>
      <c r="Q127" t="str">
        <f t="shared" si="6"/>
        <v>Valid</v>
      </c>
    </row>
    <row r="128" spans="1:17" x14ac:dyDescent="0.3">
      <c r="A128" t="s">
        <v>548</v>
      </c>
      <c r="B128" t="s">
        <v>549</v>
      </c>
      <c r="C128" t="s">
        <v>87</v>
      </c>
      <c r="D128" t="s">
        <v>34</v>
      </c>
      <c r="E128" t="s">
        <v>26</v>
      </c>
      <c r="F128" t="s">
        <v>18</v>
      </c>
      <c r="G128" s="1">
        <v>44712</v>
      </c>
      <c r="H128" s="1">
        <v>44872</v>
      </c>
      <c r="I128" t="s">
        <v>550</v>
      </c>
      <c r="J128" t="s">
        <v>551</v>
      </c>
      <c r="K128" t="s">
        <v>29</v>
      </c>
      <c r="L128" t="s">
        <v>91</v>
      </c>
      <c r="M128" t="s">
        <v>22</v>
      </c>
      <c r="N128" t="str">
        <f t="shared" si="4"/>
        <v>Clean</v>
      </c>
      <c r="O128" t="str">
        <f t="shared" si="7"/>
        <v/>
      </c>
      <c r="P128" t="str">
        <f t="shared" si="5"/>
        <v>Clean</v>
      </c>
      <c r="Q128" t="str">
        <f t="shared" si="6"/>
        <v>Valid</v>
      </c>
    </row>
    <row r="129" spans="1:17" x14ac:dyDescent="0.3">
      <c r="A129" t="s">
        <v>552</v>
      </c>
      <c r="B129" t="s">
        <v>553</v>
      </c>
      <c r="C129" t="s">
        <v>46</v>
      </c>
      <c r="D129" t="s">
        <v>67</v>
      </c>
      <c r="E129" t="s">
        <v>26</v>
      </c>
      <c r="F129" t="s">
        <v>160</v>
      </c>
      <c r="G129" s="1">
        <v>45099</v>
      </c>
      <c r="H129" s="1">
        <v>45229</v>
      </c>
      <c r="I129" t="s">
        <v>555</v>
      </c>
      <c r="J129" t="s">
        <v>556</v>
      </c>
      <c r="K129" t="s">
        <v>21</v>
      </c>
      <c r="L129" t="s">
        <v>60</v>
      </c>
      <c r="M129" t="s">
        <v>22</v>
      </c>
      <c r="N129" t="str">
        <f t="shared" si="4"/>
        <v>Clean</v>
      </c>
      <c r="O129" t="str">
        <f t="shared" si="7"/>
        <v/>
      </c>
      <c r="P129" t="str">
        <f t="shared" si="5"/>
        <v>Clean</v>
      </c>
      <c r="Q129" t="str">
        <f t="shared" si="6"/>
        <v>Valid</v>
      </c>
    </row>
    <row r="130" spans="1:17" x14ac:dyDescent="0.3">
      <c r="A130" t="s">
        <v>557</v>
      </c>
      <c r="B130" t="s">
        <v>558</v>
      </c>
      <c r="C130" t="s">
        <v>15</v>
      </c>
      <c r="D130" t="s">
        <v>34</v>
      </c>
      <c r="E130" t="s">
        <v>26</v>
      </c>
      <c r="F130" t="s">
        <v>151</v>
      </c>
      <c r="G130" s="1">
        <v>44890</v>
      </c>
      <c r="H130" s="1">
        <v>45070</v>
      </c>
      <c r="I130" t="s">
        <v>559</v>
      </c>
      <c r="J130" t="s">
        <v>560</v>
      </c>
      <c r="K130" t="s">
        <v>37</v>
      </c>
      <c r="L130" t="s">
        <v>91</v>
      </c>
      <c r="M130" t="s">
        <v>22</v>
      </c>
      <c r="N130" t="str">
        <f t="shared" ref="N130:N193" si="8">IF(OR(B130="",H130="",I130="",J130="",L130="",Q130="Invalid"),"Flagged","Clean")</f>
        <v>Clean</v>
      </c>
      <c r="O130" t="str">
        <f t="shared" si="7"/>
        <v/>
      </c>
      <c r="P130" t="str">
        <f t="shared" ref="P130:P193" si="9">IF(N130="Clean","Clean","Flagged for Review")</f>
        <v>Clean</v>
      </c>
      <c r="Q130" t="str">
        <f t="shared" ref="Q130:Q193" si="10">IF(I130="","Blank",IF(ISERROR(FIND("@",I130&amp;"")),"Invalid",IF(FIND("@",I130&amp;"")&lt;2,"Invalid",IF(LEN(I130&amp;"")-FIND("@",I130&amp;"")&lt;4,"Invalid","Valid"))))</f>
        <v>Valid</v>
      </c>
    </row>
    <row r="131" spans="1:17" x14ac:dyDescent="0.3">
      <c r="A131" t="s">
        <v>561</v>
      </c>
      <c r="B131" t="s">
        <v>562</v>
      </c>
      <c r="C131" t="s">
        <v>40</v>
      </c>
      <c r="D131" t="s">
        <v>16</v>
      </c>
      <c r="E131" t="s">
        <v>17</v>
      </c>
      <c r="F131" t="s">
        <v>18</v>
      </c>
      <c r="G131" s="1">
        <v>44482</v>
      </c>
      <c r="H131" s="1">
        <v>44563</v>
      </c>
      <c r="I131" t="s">
        <v>563</v>
      </c>
      <c r="J131" t="s">
        <v>564</v>
      </c>
      <c r="K131" t="s">
        <v>37</v>
      </c>
      <c r="L131" t="s">
        <v>55</v>
      </c>
      <c r="M131" t="s">
        <v>22</v>
      </c>
      <c r="N131" t="str">
        <f t="shared" si="8"/>
        <v>Clean</v>
      </c>
      <c r="O131" t="str">
        <f t="shared" ref="O131:O194" si="11">TRIM(IF(B131="","Missing Vendor_Name ","")&amp;IF(I131="","Missing Contact_Email ","")&amp;IF(J131="","Missing Account_Code ","")&amp;IF(L131="","Missing Verified_By ","")&amp;IF(Q131="Invalid","Invalid Email Format ","")&amp;IF(H131="","Missing Last_Updated ",""))</f>
        <v/>
      </c>
      <c r="P131" t="str">
        <f t="shared" si="9"/>
        <v>Clean</v>
      </c>
      <c r="Q131" t="str">
        <f t="shared" si="10"/>
        <v>Valid</v>
      </c>
    </row>
    <row r="132" spans="1:17" x14ac:dyDescent="0.3">
      <c r="A132" t="s">
        <v>565</v>
      </c>
      <c r="B132" t="s">
        <v>566</v>
      </c>
      <c r="C132" t="s">
        <v>15</v>
      </c>
      <c r="D132" t="s">
        <v>25</v>
      </c>
      <c r="E132" t="s">
        <v>26</v>
      </c>
      <c r="F132" t="s">
        <v>160</v>
      </c>
      <c r="G132" s="1">
        <v>45397</v>
      </c>
      <c r="H132" s="1">
        <v>45704</v>
      </c>
      <c r="I132" t="s">
        <v>567</v>
      </c>
      <c r="J132" t="s">
        <v>568</v>
      </c>
      <c r="K132" t="s">
        <v>90</v>
      </c>
      <c r="L132" t="s">
        <v>116</v>
      </c>
      <c r="M132" t="s">
        <v>22</v>
      </c>
      <c r="N132" t="str">
        <f t="shared" si="8"/>
        <v>Clean</v>
      </c>
      <c r="O132" t="str">
        <f t="shared" si="11"/>
        <v/>
      </c>
      <c r="P132" t="str">
        <f t="shared" si="9"/>
        <v>Clean</v>
      </c>
      <c r="Q132" t="str">
        <f t="shared" si="10"/>
        <v>Valid</v>
      </c>
    </row>
    <row r="133" spans="1:17" x14ac:dyDescent="0.3">
      <c r="A133" t="s">
        <v>569</v>
      </c>
      <c r="B133" t="s">
        <v>570</v>
      </c>
      <c r="C133" t="s">
        <v>46</v>
      </c>
      <c r="D133" t="s">
        <v>51</v>
      </c>
      <c r="E133" t="s">
        <v>52</v>
      </c>
      <c r="F133" t="s">
        <v>18</v>
      </c>
      <c r="G133" s="1">
        <v>43634</v>
      </c>
      <c r="H133" s="1">
        <v>43872</v>
      </c>
      <c r="I133" t="s">
        <v>571</v>
      </c>
      <c r="J133" t="s">
        <v>572</v>
      </c>
      <c r="K133" t="s">
        <v>21</v>
      </c>
      <c r="L133" t="s">
        <v>30</v>
      </c>
      <c r="M133" t="s">
        <v>22</v>
      </c>
      <c r="N133" t="str">
        <f t="shared" si="8"/>
        <v>Clean</v>
      </c>
      <c r="O133" t="str">
        <f t="shared" si="11"/>
        <v/>
      </c>
      <c r="P133" t="str">
        <f t="shared" si="9"/>
        <v>Clean</v>
      </c>
      <c r="Q133" t="str">
        <f t="shared" si="10"/>
        <v>Valid</v>
      </c>
    </row>
    <row r="134" spans="1:17" x14ac:dyDescent="0.3">
      <c r="A134" t="s">
        <v>573</v>
      </c>
      <c r="B134" t="s">
        <v>574</v>
      </c>
      <c r="C134" t="s">
        <v>33</v>
      </c>
      <c r="D134" t="s">
        <v>25</v>
      </c>
      <c r="E134" t="s">
        <v>26</v>
      </c>
      <c r="F134" t="s">
        <v>18</v>
      </c>
      <c r="G134" s="1">
        <v>43950</v>
      </c>
      <c r="H134" s="1">
        <v>44223</v>
      </c>
      <c r="I134" t="s">
        <v>575</v>
      </c>
      <c r="J134" t="s">
        <v>576</v>
      </c>
      <c r="K134" t="s">
        <v>90</v>
      </c>
      <c r="M134" t="s">
        <v>3735</v>
      </c>
      <c r="N134" t="str">
        <f t="shared" si="8"/>
        <v>Flagged</v>
      </c>
      <c r="O134" t="str">
        <f t="shared" si="11"/>
        <v>Missing Verified_By</v>
      </c>
      <c r="P134" t="str">
        <f t="shared" si="9"/>
        <v>Flagged for Review</v>
      </c>
      <c r="Q134" t="str">
        <f t="shared" si="10"/>
        <v>Valid</v>
      </c>
    </row>
    <row r="135" spans="1:17" x14ac:dyDescent="0.3">
      <c r="A135" t="s">
        <v>577</v>
      </c>
      <c r="B135" t="s">
        <v>578</v>
      </c>
      <c r="C135" t="s">
        <v>33</v>
      </c>
      <c r="D135" t="s">
        <v>41</v>
      </c>
      <c r="E135" t="s">
        <v>17</v>
      </c>
      <c r="F135" t="s">
        <v>18</v>
      </c>
      <c r="G135" s="1">
        <v>45590</v>
      </c>
      <c r="H135" s="1">
        <v>45875</v>
      </c>
      <c r="I135" t="s">
        <v>579</v>
      </c>
      <c r="J135" t="s">
        <v>580</v>
      </c>
      <c r="K135" t="s">
        <v>21</v>
      </c>
      <c r="L135" t="s">
        <v>116</v>
      </c>
      <c r="M135" t="s">
        <v>22</v>
      </c>
      <c r="N135" t="str">
        <f t="shared" si="8"/>
        <v>Clean</v>
      </c>
      <c r="O135" t="str">
        <f t="shared" si="11"/>
        <v/>
      </c>
      <c r="P135" t="str">
        <f t="shared" si="9"/>
        <v>Clean</v>
      </c>
      <c r="Q135" t="str">
        <f t="shared" si="10"/>
        <v>Valid</v>
      </c>
    </row>
    <row r="136" spans="1:17" x14ac:dyDescent="0.3">
      <c r="A136" t="s">
        <v>581</v>
      </c>
      <c r="B136" t="s">
        <v>582</v>
      </c>
      <c r="C136" t="s">
        <v>181</v>
      </c>
      <c r="D136" t="s">
        <v>77</v>
      </c>
      <c r="E136" t="s">
        <v>52</v>
      </c>
      <c r="F136" t="s">
        <v>18</v>
      </c>
      <c r="G136" s="1">
        <v>45018</v>
      </c>
      <c r="H136" s="1">
        <v>45160</v>
      </c>
      <c r="I136" t="s">
        <v>583</v>
      </c>
      <c r="J136" t="s">
        <v>584</v>
      </c>
      <c r="K136" t="s">
        <v>90</v>
      </c>
      <c r="L136" t="s">
        <v>30</v>
      </c>
      <c r="M136" t="s">
        <v>22</v>
      </c>
      <c r="N136" t="str">
        <f t="shared" si="8"/>
        <v>Clean</v>
      </c>
      <c r="O136" t="str">
        <f t="shared" si="11"/>
        <v/>
      </c>
      <c r="P136" t="str">
        <f t="shared" si="9"/>
        <v>Clean</v>
      </c>
      <c r="Q136" t="str">
        <f t="shared" si="10"/>
        <v>Valid</v>
      </c>
    </row>
    <row r="137" spans="1:17" x14ac:dyDescent="0.3">
      <c r="A137" t="s">
        <v>585</v>
      </c>
      <c r="B137" t="s">
        <v>586</v>
      </c>
      <c r="C137" t="s">
        <v>46</v>
      </c>
      <c r="D137" t="s">
        <v>67</v>
      </c>
      <c r="E137" t="s">
        <v>26</v>
      </c>
      <c r="F137" t="s">
        <v>18</v>
      </c>
      <c r="G137" s="1">
        <v>44897</v>
      </c>
      <c r="H137" s="1">
        <v>45010</v>
      </c>
      <c r="I137" t="s">
        <v>587</v>
      </c>
      <c r="J137" t="s">
        <v>588</v>
      </c>
      <c r="K137" t="s">
        <v>29</v>
      </c>
      <c r="L137" t="s">
        <v>116</v>
      </c>
      <c r="M137" t="s">
        <v>22</v>
      </c>
      <c r="N137" t="str">
        <f t="shared" si="8"/>
        <v>Clean</v>
      </c>
      <c r="O137" t="str">
        <f t="shared" si="11"/>
        <v/>
      </c>
      <c r="P137" t="str">
        <f t="shared" si="9"/>
        <v>Clean</v>
      </c>
      <c r="Q137" t="str">
        <f t="shared" si="10"/>
        <v>Valid</v>
      </c>
    </row>
    <row r="138" spans="1:17" x14ac:dyDescent="0.3">
      <c r="A138" t="s">
        <v>589</v>
      </c>
      <c r="B138" t="s">
        <v>590</v>
      </c>
      <c r="C138" t="s">
        <v>46</v>
      </c>
      <c r="D138" t="s">
        <v>67</v>
      </c>
      <c r="E138" t="s">
        <v>26</v>
      </c>
      <c r="F138" t="s">
        <v>18</v>
      </c>
      <c r="G138" s="1">
        <v>43856</v>
      </c>
      <c r="H138" s="1">
        <v>44077</v>
      </c>
      <c r="I138" t="s">
        <v>591</v>
      </c>
      <c r="J138" t="s">
        <v>592</v>
      </c>
      <c r="K138" t="s">
        <v>29</v>
      </c>
      <c r="M138" t="s">
        <v>3735</v>
      </c>
      <c r="N138" t="str">
        <f t="shared" si="8"/>
        <v>Flagged</v>
      </c>
      <c r="O138" t="str">
        <f t="shared" si="11"/>
        <v>Missing Verified_By</v>
      </c>
      <c r="P138" t="str">
        <f t="shared" si="9"/>
        <v>Flagged for Review</v>
      </c>
      <c r="Q138" t="str">
        <f t="shared" si="10"/>
        <v>Valid</v>
      </c>
    </row>
    <row r="139" spans="1:17" x14ac:dyDescent="0.3">
      <c r="A139" t="s">
        <v>593</v>
      </c>
      <c r="B139" t="s">
        <v>594</v>
      </c>
      <c r="C139" t="s">
        <v>181</v>
      </c>
      <c r="D139" t="s">
        <v>67</v>
      </c>
      <c r="E139" t="s">
        <v>26</v>
      </c>
      <c r="F139" t="s">
        <v>18</v>
      </c>
      <c r="G139" s="1">
        <v>45111</v>
      </c>
      <c r="H139" s="1">
        <v>45130</v>
      </c>
      <c r="I139" t="s">
        <v>595</v>
      </c>
      <c r="J139" t="s">
        <v>596</v>
      </c>
      <c r="K139" t="s">
        <v>37</v>
      </c>
      <c r="L139" t="s">
        <v>60</v>
      </c>
      <c r="M139" t="s">
        <v>22</v>
      </c>
      <c r="N139" t="str">
        <f t="shared" si="8"/>
        <v>Clean</v>
      </c>
      <c r="O139" t="str">
        <f t="shared" si="11"/>
        <v/>
      </c>
      <c r="P139" t="str">
        <f t="shared" si="9"/>
        <v>Clean</v>
      </c>
      <c r="Q139" t="str">
        <f t="shared" si="10"/>
        <v>Valid</v>
      </c>
    </row>
    <row r="140" spans="1:17" x14ac:dyDescent="0.3">
      <c r="A140" t="s">
        <v>597</v>
      </c>
      <c r="B140" t="s">
        <v>598</v>
      </c>
      <c r="C140" t="s">
        <v>76</v>
      </c>
      <c r="D140" t="s">
        <v>41</v>
      </c>
      <c r="E140" t="s">
        <v>17</v>
      </c>
      <c r="F140" t="s">
        <v>18</v>
      </c>
      <c r="G140" s="1">
        <v>45245</v>
      </c>
      <c r="H140" s="1">
        <v>45304</v>
      </c>
      <c r="J140" t="s">
        <v>599</v>
      </c>
      <c r="K140" t="s">
        <v>29</v>
      </c>
      <c r="M140" t="s">
        <v>3735</v>
      </c>
      <c r="N140" t="str">
        <f t="shared" si="8"/>
        <v>Flagged</v>
      </c>
      <c r="O140" t="str">
        <f t="shared" si="11"/>
        <v>Missing Contact_Email Missing Verified_By</v>
      </c>
      <c r="P140" t="str">
        <f t="shared" si="9"/>
        <v>Flagged for Review</v>
      </c>
      <c r="Q140" t="str">
        <f t="shared" si="10"/>
        <v>Blank</v>
      </c>
    </row>
    <row r="141" spans="1:17" x14ac:dyDescent="0.3">
      <c r="A141" t="s">
        <v>600</v>
      </c>
      <c r="B141" t="s">
        <v>601</v>
      </c>
      <c r="C141" t="s">
        <v>40</v>
      </c>
      <c r="D141" t="s">
        <v>41</v>
      </c>
      <c r="E141" t="s">
        <v>17</v>
      </c>
      <c r="F141" t="s">
        <v>18</v>
      </c>
      <c r="G141" s="1">
        <v>44907</v>
      </c>
      <c r="H141" s="1">
        <v>45088</v>
      </c>
      <c r="I141" t="s">
        <v>603</v>
      </c>
      <c r="J141" t="s">
        <v>604</v>
      </c>
      <c r="K141" t="s">
        <v>29</v>
      </c>
      <c r="L141" t="s">
        <v>60</v>
      </c>
      <c r="M141" t="s">
        <v>22</v>
      </c>
      <c r="N141" t="str">
        <f t="shared" si="8"/>
        <v>Clean</v>
      </c>
      <c r="O141" t="str">
        <f t="shared" si="11"/>
        <v/>
      </c>
      <c r="P141" t="str">
        <f t="shared" si="9"/>
        <v>Clean</v>
      </c>
      <c r="Q141" t="str">
        <f t="shared" si="10"/>
        <v>Valid</v>
      </c>
    </row>
    <row r="142" spans="1:17" x14ac:dyDescent="0.3">
      <c r="A142" t="s">
        <v>605</v>
      </c>
      <c r="B142" t="s">
        <v>606</v>
      </c>
      <c r="C142" t="s">
        <v>181</v>
      </c>
      <c r="D142" t="s">
        <v>41</v>
      </c>
      <c r="E142" t="s">
        <v>17</v>
      </c>
      <c r="F142" t="s">
        <v>18</v>
      </c>
      <c r="G142" s="1">
        <v>45457</v>
      </c>
      <c r="H142" s="1">
        <v>45555</v>
      </c>
      <c r="I142" t="s">
        <v>607</v>
      </c>
      <c r="J142" t="s">
        <v>608</v>
      </c>
      <c r="K142" t="s">
        <v>37</v>
      </c>
      <c r="L142" t="s">
        <v>60</v>
      </c>
      <c r="M142" t="s">
        <v>22</v>
      </c>
      <c r="N142" t="str">
        <f t="shared" si="8"/>
        <v>Clean</v>
      </c>
      <c r="O142" t="str">
        <f t="shared" si="11"/>
        <v/>
      </c>
      <c r="P142" t="str">
        <f t="shared" si="9"/>
        <v>Clean</v>
      </c>
      <c r="Q142" t="str">
        <f t="shared" si="10"/>
        <v>Valid</v>
      </c>
    </row>
    <row r="143" spans="1:17" x14ac:dyDescent="0.3">
      <c r="A143" t="s">
        <v>609</v>
      </c>
      <c r="B143" t="s">
        <v>610</v>
      </c>
      <c r="C143" t="s">
        <v>181</v>
      </c>
      <c r="D143" t="s">
        <v>25</v>
      </c>
      <c r="E143" t="s">
        <v>26</v>
      </c>
      <c r="F143" t="s">
        <v>160</v>
      </c>
      <c r="G143" s="1">
        <v>45538</v>
      </c>
      <c r="H143" s="1">
        <v>45732</v>
      </c>
      <c r="I143" t="s">
        <v>611</v>
      </c>
      <c r="J143" t="s">
        <v>612</v>
      </c>
      <c r="K143" t="s">
        <v>29</v>
      </c>
      <c r="L143" t="s">
        <v>91</v>
      </c>
      <c r="M143" t="s">
        <v>22</v>
      </c>
      <c r="N143" t="str">
        <f t="shared" si="8"/>
        <v>Clean</v>
      </c>
      <c r="O143" t="str">
        <f t="shared" si="11"/>
        <v/>
      </c>
      <c r="P143" t="str">
        <f t="shared" si="9"/>
        <v>Clean</v>
      </c>
      <c r="Q143" t="str">
        <f t="shared" si="10"/>
        <v>Valid</v>
      </c>
    </row>
    <row r="144" spans="1:17" x14ac:dyDescent="0.3">
      <c r="A144" t="s">
        <v>613</v>
      </c>
      <c r="B144" t="s">
        <v>614</v>
      </c>
      <c r="C144" t="s">
        <v>87</v>
      </c>
      <c r="D144" t="s">
        <v>51</v>
      </c>
      <c r="E144" t="s">
        <v>52</v>
      </c>
      <c r="F144" t="s">
        <v>18</v>
      </c>
      <c r="G144" s="1">
        <v>44192</v>
      </c>
      <c r="H144" s="1">
        <v>44425</v>
      </c>
      <c r="I144" t="s">
        <v>616</v>
      </c>
      <c r="J144" t="s">
        <v>617</v>
      </c>
      <c r="K144" t="s">
        <v>90</v>
      </c>
      <c r="L144" t="s">
        <v>60</v>
      </c>
      <c r="M144" t="s">
        <v>22</v>
      </c>
      <c r="N144" t="str">
        <f t="shared" si="8"/>
        <v>Clean</v>
      </c>
      <c r="O144" t="str">
        <f t="shared" si="11"/>
        <v/>
      </c>
      <c r="P144" t="str">
        <f t="shared" si="9"/>
        <v>Clean</v>
      </c>
      <c r="Q144" t="str">
        <f t="shared" si="10"/>
        <v>Valid</v>
      </c>
    </row>
    <row r="145" spans="1:17" x14ac:dyDescent="0.3">
      <c r="A145" t="s">
        <v>618</v>
      </c>
      <c r="B145" t="s">
        <v>619</v>
      </c>
      <c r="C145" t="s">
        <v>76</v>
      </c>
      <c r="D145" t="s">
        <v>51</v>
      </c>
      <c r="E145" t="s">
        <v>52</v>
      </c>
      <c r="F145" t="s">
        <v>18</v>
      </c>
      <c r="G145" s="1">
        <v>43967</v>
      </c>
      <c r="H145" s="1">
        <v>44103</v>
      </c>
      <c r="I145" t="s">
        <v>620</v>
      </c>
      <c r="J145" t="s">
        <v>621</v>
      </c>
      <c r="K145" t="s">
        <v>37</v>
      </c>
      <c r="L145" t="s">
        <v>60</v>
      </c>
      <c r="M145" t="s">
        <v>22</v>
      </c>
      <c r="N145" t="str">
        <f t="shared" si="8"/>
        <v>Clean</v>
      </c>
      <c r="O145" t="str">
        <f t="shared" si="11"/>
        <v/>
      </c>
      <c r="P145" t="str">
        <f t="shared" si="9"/>
        <v>Clean</v>
      </c>
      <c r="Q145" t="str">
        <f t="shared" si="10"/>
        <v>Valid</v>
      </c>
    </row>
    <row r="146" spans="1:17" x14ac:dyDescent="0.3">
      <c r="A146" t="s">
        <v>622</v>
      </c>
      <c r="B146" t="s">
        <v>623</v>
      </c>
      <c r="C146" t="s">
        <v>15</v>
      </c>
      <c r="D146" t="s">
        <v>67</v>
      </c>
      <c r="E146" t="s">
        <v>26</v>
      </c>
      <c r="F146" t="s">
        <v>18</v>
      </c>
      <c r="G146" s="1">
        <v>45105</v>
      </c>
      <c r="H146" s="1">
        <v>45287</v>
      </c>
      <c r="I146" t="s">
        <v>624</v>
      </c>
      <c r="J146" t="s">
        <v>625</v>
      </c>
      <c r="K146" t="s">
        <v>21</v>
      </c>
      <c r="L146" t="s">
        <v>91</v>
      </c>
      <c r="M146" t="s">
        <v>22</v>
      </c>
      <c r="N146" t="str">
        <f t="shared" si="8"/>
        <v>Clean</v>
      </c>
      <c r="O146" t="str">
        <f t="shared" si="11"/>
        <v/>
      </c>
      <c r="P146" t="str">
        <f t="shared" si="9"/>
        <v>Clean</v>
      </c>
      <c r="Q146" t="str">
        <f t="shared" si="10"/>
        <v>Valid</v>
      </c>
    </row>
    <row r="147" spans="1:17" x14ac:dyDescent="0.3">
      <c r="A147" t="s">
        <v>626</v>
      </c>
      <c r="B147" t="s">
        <v>3721</v>
      </c>
      <c r="C147" t="s">
        <v>33</v>
      </c>
      <c r="D147" t="s">
        <v>34</v>
      </c>
      <c r="E147" t="s">
        <v>26</v>
      </c>
      <c r="F147" t="s">
        <v>160</v>
      </c>
      <c r="G147" s="1">
        <v>44026</v>
      </c>
      <c r="I147" t="s">
        <v>627</v>
      </c>
      <c r="J147" t="s">
        <v>628</v>
      </c>
      <c r="K147" t="s">
        <v>29</v>
      </c>
      <c r="L147" t="s">
        <v>30</v>
      </c>
      <c r="M147" t="s">
        <v>3735</v>
      </c>
      <c r="N147" t="str">
        <f t="shared" si="8"/>
        <v>Flagged</v>
      </c>
      <c r="O147" t="str">
        <f t="shared" si="11"/>
        <v>Missing Vendor_Name Missing Last_Updated</v>
      </c>
      <c r="P147" t="str">
        <f t="shared" si="9"/>
        <v>Flagged for Review</v>
      </c>
      <c r="Q147" t="str">
        <f t="shared" si="10"/>
        <v>Valid</v>
      </c>
    </row>
    <row r="148" spans="1:17" x14ac:dyDescent="0.3">
      <c r="A148" t="s">
        <v>629</v>
      </c>
      <c r="B148" t="s">
        <v>630</v>
      </c>
      <c r="C148" t="s">
        <v>76</v>
      </c>
      <c r="D148" t="s">
        <v>51</v>
      </c>
      <c r="E148" t="s">
        <v>52</v>
      </c>
      <c r="F148" t="s">
        <v>151</v>
      </c>
      <c r="G148" s="1">
        <v>45654</v>
      </c>
      <c r="H148" s="1">
        <v>45738</v>
      </c>
      <c r="I148" t="s">
        <v>631</v>
      </c>
      <c r="J148" t="s">
        <v>632</v>
      </c>
      <c r="K148" t="s">
        <v>37</v>
      </c>
      <c r="L148" t="s">
        <v>91</v>
      </c>
      <c r="M148" t="s">
        <v>22</v>
      </c>
      <c r="N148" t="str">
        <f t="shared" si="8"/>
        <v>Clean</v>
      </c>
      <c r="O148" t="str">
        <f t="shared" si="11"/>
        <v/>
      </c>
      <c r="P148" t="str">
        <f t="shared" si="9"/>
        <v>Clean</v>
      </c>
      <c r="Q148" t="str">
        <f t="shared" si="10"/>
        <v>Valid</v>
      </c>
    </row>
    <row r="149" spans="1:17" x14ac:dyDescent="0.3">
      <c r="A149" t="s">
        <v>633</v>
      </c>
      <c r="B149" t="s">
        <v>634</v>
      </c>
      <c r="C149" t="s">
        <v>87</v>
      </c>
      <c r="D149" t="s">
        <v>67</v>
      </c>
      <c r="E149" t="s">
        <v>26</v>
      </c>
      <c r="F149" t="s">
        <v>18</v>
      </c>
      <c r="G149" s="1">
        <v>44461</v>
      </c>
      <c r="H149" s="1">
        <v>44531</v>
      </c>
      <c r="I149" t="s">
        <v>635</v>
      </c>
      <c r="K149" t="s">
        <v>37</v>
      </c>
      <c r="L149" t="s">
        <v>116</v>
      </c>
      <c r="M149" t="s">
        <v>3735</v>
      </c>
      <c r="N149" t="str">
        <f t="shared" si="8"/>
        <v>Flagged</v>
      </c>
      <c r="O149" t="str">
        <f t="shared" si="11"/>
        <v>Missing Account_Code</v>
      </c>
      <c r="P149" t="str">
        <f t="shared" si="9"/>
        <v>Flagged for Review</v>
      </c>
      <c r="Q149" t="str">
        <f t="shared" si="10"/>
        <v>Valid</v>
      </c>
    </row>
    <row r="150" spans="1:17" x14ac:dyDescent="0.3">
      <c r="A150" t="s">
        <v>636</v>
      </c>
      <c r="B150" t="s">
        <v>637</v>
      </c>
      <c r="C150" t="s">
        <v>76</v>
      </c>
      <c r="D150" t="s">
        <v>16</v>
      </c>
      <c r="E150" t="s">
        <v>17</v>
      </c>
      <c r="F150" t="s">
        <v>18</v>
      </c>
      <c r="G150" s="1">
        <v>44931</v>
      </c>
      <c r="H150" s="1">
        <v>45029</v>
      </c>
      <c r="I150" t="s">
        <v>638</v>
      </c>
      <c r="J150" t="s">
        <v>639</v>
      </c>
      <c r="K150" t="s">
        <v>37</v>
      </c>
      <c r="L150" t="s">
        <v>55</v>
      </c>
      <c r="M150" t="s">
        <v>22</v>
      </c>
      <c r="N150" t="str">
        <f t="shared" si="8"/>
        <v>Clean</v>
      </c>
      <c r="O150" t="str">
        <f t="shared" si="11"/>
        <v/>
      </c>
      <c r="P150" t="str">
        <f t="shared" si="9"/>
        <v>Clean</v>
      </c>
      <c r="Q150" t="str">
        <f t="shared" si="10"/>
        <v>Valid</v>
      </c>
    </row>
    <row r="151" spans="1:17" x14ac:dyDescent="0.3">
      <c r="A151" t="s">
        <v>640</v>
      </c>
      <c r="B151" t="s">
        <v>641</v>
      </c>
      <c r="C151" t="s">
        <v>15</v>
      </c>
      <c r="D151" t="s">
        <v>16</v>
      </c>
      <c r="E151" t="s">
        <v>17</v>
      </c>
      <c r="F151" t="s">
        <v>18</v>
      </c>
      <c r="G151" s="1">
        <v>44902</v>
      </c>
      <c r="H151" s="1">
        <v>45265</v>
      </c>
      <c r="I151" t="s">
        <v>642</v>
      </c>
      <c r="J151" t="s">
        <v>643</v>
      </c>
      <c r="K151" t="s">
        <v>37</v>
      </c>
      <c r="L151" t="s">
        <v>91</v>
      </c>
      <c r="M151" t="s">
        <v>22</v>
      </c>
      <c r="N151" t="str">
        <f t="shared" si="8"/>
        <v>Clean</v>
      </c>
      <c r="O151" t="str">
        <f t="shared" si="11"/>
        <v/>
      </c>
      <c r="P151" t="str">
        <f t="shared" si="9"/>
        <v>Clean</v>
      </c>
      <c r="Q151" t="str">
        <f t="shared" si="10"/>
        <v>Valid</v>
      </c>
    </row>
    <row r="152" spans="1:17" x14ac:dyDescent="0.3">
      <c r="A152" t="s">
        <v>644</v>
      </c>
      <c r="B152" t="s">
        <v>645</v>
      </c>
      <c r="C152" t="s">
        <v>76</v>
      </c>
      <c r="D152" t="s">
        <v>67</v>
      </c>
      <c r="E152" t="s">
        <v>26</v>
      </c>
      <c r="F152" t="s">
        <v>18</v>
      </c>
      <c r="G152" s="1">
        <v>44824</v>
      </c>
      <c r="H152" s="1">
        <v>45138</v>
      </c>
      <c r="I152" t="s">
        <v>646</v>
      </c>
      <c r="J152" t="s">
        <v>647</v>
      </c>
      <c r="K152" t="s">
        <v>29</v>
      </c>
      <c r="M152" t="s">
        <v>3735</v>
      </c>
      <c r="N152" t="str">
        <f t="shared" si="8"/>
        <v>Flagged</v>
      </c>
      <c r="O152" t="str">
        <f t="shared" si="11"/>
        <v>Missing Verified_By</v>
      </c>
      <c r="P152" t="str">
        <f t="shared" si="9"/>
        <v>Flagged for Review</v>
      </c>
      <c r="Q152" t="str">
        <f t="shared" si="10"/>
        <v>Valid</v>
      </c>
    </row>
    <row r="153" spans="1:17" x14ac:dyDescent="0.3">
      <c r="A153" t="s">
        <v>648</v>
      </c>
      <c r="B153" t="s">
        <v>649</v>
      </c>
      <c r="C153" t="s">
        <v>87</v>
      </c>
      <c r="D153" t="s">
        <v>77</v>
      </c>
      <c r="E153" t="s">
        <v>52</v>
      </c>
      <c r="F153" t="s">
        <v>18</v>
      </c>
      <c r="G153" s="1">
        <v>44230</v>
      </c>
      <c r="H153" s="1">
        <v>44508</v>
      </c>
      <c r="I153" t="s">
        <v>650</v>
      </c>
      <c r="J153" t="s">
        <v>651</v>
      </c>
      <c r="K153" t="s">
        <v>21</v>
      </c>
      <c r="L153" t="s">
        <v>116</v>
      </c>
      <c r="M153" t="s">
        <v>22</v>
      </c>
      <c r="N153" t="str">
        <f t="shared" si="8"/>
        <v>Clean</v>
      </c>
      <c r="O153" t="str">
        <f t="shared" si="11"/>
        <v/>
      </c>
      <c r="P153" t="str">
        <f t="shared" si="9"/>
        <v>Clean</v>
      </c>
      <c r="Q153" t="str">
        <f t="shared" si="10"/>
        <v>Valid</v>
      </c>
    </row>
    <row r="154" spans="1:17" x14ac:dyDescent="0.3">
      <c r="A154" t="s">
        <v>652</v>
      </c>
      <c r="B154" t="s">
        <v>3722</v>
      </c>
      <c r="C154" t="s">
        <v>87</v>
      </c>
      <c r="D154" t="s">
        <v>77</v>
      </c>
      <c r="E154" t="s">
        <v>52</v>
      </c>
      <c r="F154" t="s">
        <v>160</v>
      </c>
      <c r="G154" s="1">
        <v>44780</v>
      </c>
      <c r="H154" s="1">
        <v>44917</v>
      </c>
      <c r="I154" t="s">
        <v>654</v>
      </c>
      <c r="J154" t="s">
        <v>655</v>
      </c>
      <c r="K154" t="s">
        <v>37</v>
      </c>
      <c r="L154" t="s">
        <v>30</v>
      </c>
      <c r="M154" t="s">
        <v>22</v>
      </c>
      <c r="N154" t="str">
        <f t="shared" si="8"/>
        <v>Clean</v>
      </c>
      <c r="O154" t="str">
        <f t="shared" si="11"/>
        <v/>
      </c>
      <c r="P154" t="str">
        <f t="shared" si="9"/>
        <v>Clean</v>
      </c>
      <c r="Q154" t="str">
        <f t="shared" si="10"/>
        <v>Valid</v>
      </c>
    </row>
    <row r="155" spans="1:17" x14ac:dyDescent="0.3">
      <c r="A155" t="s">
        <v>656</v>
      </c>
      <c r="B155" t="s">
        <v>3721</v>
      </c>
      <c r="C155" t="s">
        <v>76</v>
      </c>
      <c r="D155" t="s">
        <v>51</v>
      </c>
      <c r="E155" t="s">
        <v>52</v>
      </c>
      <c r="F155" t="s">
        <v>160</v>
      </c>
      <c r="G155" s="1">
        <v>45641</v>
      </c>
      <c r="H155" s="1">
        <v>45738</v>
      </c>
      <c r="I155" t="s">
        <v>657</v>
      </c>
      <c r="J155" t="s">
        <v>658</v>
      </c>
      <c r="K155" t="s">
        <v>37</v>
      </c>
      <c r="L155" t="s">
        <v>55</v>
      </c>
      <c r="M155" t="s">
        <v>3735</v>
      </c>
      <c r="N155" t="str">
        <f t="shared" si="8"/>
        <v>Flagged</v>
      </c>
      <c r="O155" t="str">
        <f t="shared" si="11"/>
        <v>Missing Vendor_Name</v>
      </c>
      <c r="P155" t="str">
        <f t="shared" si="9"/>
        <v>Flagged for Review</v>
      </c>
      <c r="Q155" t="str">
        <f t="shared" si="10"/>
        <v>Valid</v>
      </c>
    </row>
    <row r="156" spans="1:17" x14ac:dyDescent="0.3">
      <c r="A156" t="s">
        <v>659</v>
      </c>
      <c r="B156" t="s">
        <v>660</v>
      </c>
      <c r="C156" t="s">
        <v>46</v>
      </c>
      <c r="D156" t="s">
        <v>25</v>
      </c>
      <c r="E156" t="s">
        <v>26</v>
      </c>
      <c r="F156" t="s">
        <v>18</v>
      </c>
      <c r="G156" s="1">
        <v>44619</v>
      </c>
      <c r="H156" s="1">
        <v>44749</v>
      </c>
      <c r="I156" t="s">
        <v>661</v>
      </c>
      <c r="J156" t="s">
        <v>662</v>
      </c>
      <c r="K156" t="s">
        <v>29</v>
      </c>
      <c r="L156" t="s">
        <v>91</v>
      </c>
      <c r="M156" t="s">
        <v>22</v>
      </c>
      <c r="N156" t="str">
        <f t="shared" si="8"/>
        <v>Clean</v>
      </c>
      <c r="O156" t="str">
        <f t="shared" si="11"/>
        <v/>
      </c>
      <c r="P156" t="str">
        <f t="shared" si="9"/>
        <v>Clean</v>
      </c>
      <c r="Q156" t="str">
        <f t="shared" si="10"/>
        <v>Valid</v>
      </c>
    </row>
    <row r="157" spans="1:17" x14ac:dyDescent="0.3">
      <c r="A157" t="s">
        <v>663</v>
      </c>
      <c r="B157" t="s">
        <v>664</v>
      </c>
      <c r="C157" t="s">
        <v>76</v>
      </c>
      <c r="D157" t="s">
        <v>51</v>
      </c>
      <c r="E157" t="s">
        <v>52</v>
      </c>
      <c r="F157" t="s">
        <v>160</v>
      </c>
      <c r="G157" s="1">
        <v>45086</v>
      </c>
      <c r="H157" s="1">
        <v>45386</v>
      </c>
      <c r="I157" t="s">
        <v>665</v>
      </c>
      <c r="J157" t="s">
        <v>666</v>
      </c>
      <c r="K157" t="s">
        <v>29</v>
      </c>
      <c r="L157" t="s">
        <v>116</v>
      </c>
      <c r="M157" t="s">
        <v>22</v>
      </c>
      <c r="N157" t="str">
        <f t="shared" si="8"/>
        <v>Clean</v>
      </c>
      <c r="O157" t="str">
        <f t="shared" si="11"/>
        <v/>
      </c>
      <c r="P157" t="str">
        <f t="shared" si="9"/>
        <v>Clean</v>
      </c>
      <c r="Q157" t="str">
        <f t="shared" si="10"/>
        <v>Valid</v>
      </c>
    </row>
    <row r="158" spans="1:17" x14ac:dyDescent="0.3">
      <c r="A158" t="s">
        <v>667</v>
      </c>
      <c r="B158" t="s">
        <v>668</v>
      </c>
      <c r="C158" t="s">
        <v>87</v>
      </c>
      <c r="D158" t="s">
        <v>41</v>
      </c>
      <c r="E158" t="s">
        <v>17</v>
      </c>
      <c r="F158" t="s">
        <v>18</v>
      </c>
      <c r="G158" s="1">
        <v>45051</v>
      </c>
      <c r="H158" s="1">
        <v>45338</v>
      </c>
      <c r="I158" t="s">
        <v>669</v>
      </c>
      <c r="J158" t="s">
        <v>670</v>
      </c>
      <c r="K158" t="s">
        <v>29</v>
      </c>
      <c r="M158" t="s">
        <v>3735</v>
      </c>
      <c r="N158" t="str">
        <f t="shared" si="8"/>
        <v>Flagged</v>
      </c>
      <c r="O158" t="str">
        <f t="shared" si="11"/>
        <v>Missing Verified_By</v>
      </c>
      <c r="P158" t="str">
        <f t="shared" si="9"/>
        <v>Flagged for Review</v>
      </c>
      <c r="Q158" t="str">
        <f t="shared" si="10"/>
        <v>Valid</v>
      </c>
    </row>
    <row r="159" spans="1:17" x14ac:dyDescent="0.3">
      <c r="A159" t="s">
        <v>671</v>
      </c>
      <c r="B159" t="s">
        <v>672</v>
      </c>
      <c r="C159" t="s">
        <v>87</v>
      </c>
      <c r="D159" t="s">
        <v>51</v>
      </c>
      <c r="E159" t="s">
        <v>52</v>
      </c>
      <c r="F159" t="s">
        <v>160</v>
      </c>
      <c r="G159" s="1">
        <v>43813</v>
      </c>
      <c r="H159" s="1">
        <v>43839</v>
      </c>
      <c r="I159" t="s">
        <v>673</v>
      </c>
      <c r="J159" t="s">
        <v>674</v>
      </c>
      <c r="K159" t="s">
        <v>90</v>
      </c>
      <c r="M159" t="s">
        <v>3735</v>
      </c>
      <c r="N159" t="str">
        <f t="shared" si="8"/>
        <v>Flagged</v>
      </c>
      <c r="O159" t="str">
        <f t="shared" si="11"/>
        <v>Missing Verified_By</v>
      </c>
      <c r="P159" t="str">
        <f t="shared" si="9"/>
        <v>Flagged for Review</v>
      </c>
      <c r="Q159" t="str">
        <f t="shared" si="10"/>
        <v>Valid</v>
      </c>
    </row>
    <row r="160" spans="1:17" x14ac:dyDescent="0.3">
      <c r="A160" t="s">
        <v>675</v>
      </c>
      <c r="B160" t="s">
        <v>676</v>
      </c>
      <c r="C160" t="s">
        <v>76</v>
      </c>
      <c r="D160" t="s">
        <v>67</v>
      </c>
      <c r="E160" t="s">
        <v>26</v>
      </c>
      <c r="F160" t="s">
        <v>160</v>
      </c>
      <c r="G160" s="1">
        <v>45001</v>
      </c>
      <c r="H160" s="1">
        <v>45264</v>
      </c>
      <c r="I160" t="s">
        <v>677</v>
      </c>
      <c r="K160" t="s">
        <v>21</v>
      </c>
      <c r="L160" t="s">
        <v>60</v>
      </c>
      <c r="M160" t="s">
        <v>3735</v>
      </c>
      <c r="N160" t="str">
        <f t="shared" si="8"/>
        <v>Flagged</v>
      </c>
      <c r="O160" t="str">
        <f t="shared" si="11"/>
        <v>Missing Account_Code</v>
      </c>
      <c r="P160" t="str">
        <f t="shared" si="9"/>
        <v>Flagged for Review</v>
      </c>
      <c r="Q160" t="str">
        <f t="shared" si="10"/>
        <v>Valid</v>
      </c>
    </row>
    <row r="161" spans="1:17" x14ac:dyDescent="0.3">
      <c r="A161" t="s">
        <v>678</v>
      </c>
      <c r="B161" t="s">
        <v>679</v>
      </c>
      <c r="C161" t="s">
        <v>181</v>
      </c>
      <c r="D161" t="s">
        <v>25</v>
      </c>
      <c r="E161" t="s">
        <v>26</v>
      </c>
      <c r="F161" t="s">
        <v>18</v>
      </c>
      <c r="G161" s="1">
        <v>45244</v>
      </c>
      <c r="H161" s="1">
        <v>45410</v>
      </c>
      <c r="I161" t="s">
        <v>680</v>
      </c>
      <c r="J161" t="s">
        <v>681</v>
      </c>
      <c r="K161" t="s">
        <v>29</v>
      </c>
      <c r="L161" t="s">
        <v>91</v>
      </c>
      <c r="M161" t="s">
        <v>22</v>
      </c>
      <c r="N161" t="str">
        <f t="shared" si="8"/>
        <v>Clean</v>
      </c>
      <c r="O161" t="str">
        <f t="shared" si="11"/>
        <v/>
      </c>
      <c r="P161" t="str">
        <f t="shared" si="9"/>
        <v>Clean</v>
      </c>
      <c r="Q161" t="str">
        <f t="shared" si="10"/>
        <v>Valid</v>
      </c>
    </row>
    <row r="162" spans="1:17" x14ac:dyDescent="0.3">
      <c r="A162" t="s">
        <v>682</v>
      </c>
      <c r="B162" t="s">
        <v>683</v>
      </c>
      <c r="C162" t="s">
        <v>40</v>
      </c>
      <c r="D162" t="s">
        <v>77</v>
      </c>
      <c r="E162" t="s">
        <v>52</v>
      </c>
      <c r="F162" t="s">
        <v>160</v>
      </c>
      <c r="G162" s="1">
        <v>45533</v>
      </c>
      <c r="H162" s="1">
        <v>45579</v>
      </c>
      <c r="I162" t="s">
        <v>684</v>
      </c>
      <c r="J162" t="s">
        <v>685</v>
      </c>
      <c r="K162" t="s">
        <v>29</v>
      </c>
      <c r="L162" t="s">
        <v>30</v>
      </c>
      <c r="M162" t="s">
        <v>22</v>
      </c>
      <c r="N162" t="str">
        <f t="shared" si="8"/>
        <v>Clean</v>
      </c>
      <c r="O162" t="str">
        <f t="shared" si="11"/>
        <v/>
      </c>
      <c r="P162" t="str">
        <f t="shared" si="9"/>
        <v>Clean</v>
      </c>
      <c r="Q162" t="str">
        <f t="shared" si="10"/>
        <v>Valid</v>
      </c>
    </row>
    <row r="163" spans="1:17" x14ac:dyDescent="0.3">
      <c r="A163" t="s">
        <v>686</v>
      </c>
      <c r="B163" t="s">
        <v>687</v>
      </c>
      <c r="C163" t="s">
        <v>33</v>
      </c>
      <c r="D163" t="s">
        <v>34</v>
      </c>
      <c r="E163" t="s">
        <v>26</v>
      </c>
      <c r="F163" t="s">
        <v>18</v>
      </c>
      <c r="G163" s="1">
        <v>43955</v>
      </c>
      <c r="H163" s="1">
        <v>44146</v>
      </c>
      <c r="I163" t="s">
        <v>688</v>
      </c>
      <c r="J163" t="s">
        <v>689</v>
      </c>
      <c r="K163" t="s">
        <v>29</v>
      </c>
      <c r="L163" t="s">
        <v>55</v>
      </c>
      <c r="M163" t="s">
        <v>22</v>
      </c>
      <c r="N163" t="str">
        <f t="shared" si="8"/>
        <v>Clean</v>
      </c>
      <c r="O163" t="str">
        <f t="shared" si="11"/>
        <v/>
      </c>
      <c r="P163" t="str">
        <f t="shared" si="9"/>
        <v>Clean</v>
      </c>
      <c r="Q163" t="str">
        <f t="shared" si="10"/>
        <v>Valid</v>
      </c>
    </row>
    <row r="164" spans="1:17" x14ac:dyDescent="0.3">
      <c r="A164" t="s">
        <v>690</v>
      </c>
      <c r="B164" t="s">
        <v>691</v>
      </c>
      <c r="C164" t="s">
        <v>76</v>
      </c>
      <c r="D164" t="s">
        <v>16</v>
      </c>
      <c r="E164" t="s">
        <v>17</v>
      </c>
      <c r="F164" t="s">
        <v>18</v>
      </c>
      <c r="G164" s="1">
        <v>45327</v>
      </c>
      <c r="H164" s="1">
        <v>45496</v>
      </c>
      <c r="I164" t="s">
        <v>692</v>
      </c>
      <c r="J164" t="s">
        <v>693</v>
      </c>
      <c r="K164" t="s">
        <v>29</v>
      </c>
      <c r="M164" t="s">
        <v>3735</v>
      </c>
      <c r="N164" t="str">
        <f t="shared" si="8"/>
        <v>Flagged</v>
      </c>
      <c r="O164" t="str">
        <f t="shared" si="11"/>
        <v>Missing Verified_By</v>
      </c>
      <c r="P164" t="str">
        <f t="shared" si="9"/>
        <v>Flagged for Review</v>
      </c>
      <c r="Q164" t="str">
        <f t="shared" si="10"/>
        <v>Valid</v>
      </c>
    </row>
    <row r="165" spans="1:17" x14ac:dyDescent="0.3">
      <c r="A165" t="s">
        <v>694</v>
      </c>
      <c r="B165" t="s">
        <v>695</v>
      </c>
      <c r="C165" t="s">
        <v>46</v>
      </c>
      <c r="D165" t="s">
        <v>16</v>
      </c>
      <c r="E165" t="s">
        <v>17</v>
      </c>
      <c r="F165" t="s">
        <v>18</v>
      </c>
      <c r="G165" s="1">
        <v>45464</v>
      </c>
      <c r="H165" s="1">
        <v>45583</v>
      </c>
      <c r="I165" t="s">
        <v>696</v>
      </c>
      <c r="J165" t="s">
        <v>697</v>
      </c>
      <c r="K165" t="s">
        <v>21</v>
      </c>
      <c r="M165" t="s">
        <v>3735</v>
      </c>
      <c r="N165" t="str">
        <f t="shared" si="8"/>
        <v>Flagged</v>
      </c>
      <c r="O165" t="str">
        <f t="shared" si="11"/>
        <v>Missing Verified_By</v>
      </c>
      <c r="P165" t="str">
        <f t="shared" si="9"/>
        <v>Flagged for Review</v>
      </c>
      <c r="Q165" t="str">
        <f t="shared" si="10"/>
        <v>Valid</v>
      </c>
    </row>
    <row r="166" spans="1:17" x14ac:dyDescent="0.3">
      <c r="A166" t="s">
        <v>698</v>
      </c>
      <c r="B166" t="s">
        <v>699</v>
      </c>
      <c r="C166" t="s">
        <v>46</v>
      </c>
      <c r="D166" t="s">
        <v>67</v>
      </c>
      <c r="E166" t="s">
        <v>26</v>
      </c>
      <c r="F166" t="s">
        <v>18</v>
      </c>
      <c r="G166" s="1">
        <v>45083</v>
      </c>
      <c r="H166" s="1">
        <v>45218</v>
      </c>
      <c r="I166" t="s">
        <v>700</v>
      </c>
      <c r="J166" t="s">
        <v>701</v>
      </c>
      <c r="K166" t="s">
        <v>21</v>
      </c>
      <c r="L166" t="s">
        <v>30</v>
      </c>
      <c r="M166" t="s">
        <v>22</v>
      </c>
      <c r="N166" t="str">
        <f t="shared" si="8"/>
        <v>Clean</v>
      </c>
      <c r="O166" t="str">
        <f t="shared" si="11"/>
        <v/>
      </c>
      <c r="P166" t="str">
        <f t="shared" si="9"/>
        <v>Clean</v>
      </c>
      <c r="Q166" t="str">
        <f t="shared" si="10"/>
        <v>Valid</v>
      </c>
    </row>
    <row r="167" spans="1:17" x14ac:dyDescent="0.3">
      <c r="A167" t="s">
        <v>702</v>
      </c>
      <c r="B167" t="s">
        <v>703</v>
      </c>
      <c r="C167" t="s">
        <v>46</v>
      </c>
      <c r="D167" t="s">
        <v>51</v>
      </c>
      <c r="E167" t="s">
        <v>52</v>
      </c>
      <c r="F167" t="s">
        <v>18</v>
      </c>
      <c r="G167" s="1">
        <v>44202</v>
      </c>
      <c r="H167" s="1">
        <v>44215</v>
      </c>
      <c r="I167" t="s">
        <v>704</v>
      </c>
      <c r="J167" t="s">
        <v>705</v>
      </c>
      <c r="K167" t="s">
        <v>90</v>
      </c>
      <c r="L167" t="s">
        <v>116</v>
      </c>
      <c r="M167" t="s">
        <v>3735</v>
      </c>
      <c r="N167" t="str">
        <f t="shared" si="8"/>
        <v>Flagged</v>
      </c>
      <c r="O167" t="str">
        <f t="shared" si="11"/>
        <v>Invalid Email Format</v>
      </c>
      <c r="P167" t="str">
        <f t="shared" si="9"/>
        <v>Flagged for Review</v>
      </c>
      <c r="Q167" t="str">
        <f t="shared" si="10"/>
        <v>Invalid</v>
      </c>
    </row>
    <row r="168" spans="1:17" x14ac:dyDescent="0.3">
      <c r="A168" t="s">
        <v>706</v>
      </c>
      <c r="B168" t="s">
        <v>707</v>
      </c>
      <c r="C168" t="s">
        <v>40</v>
      </c>
      <c r="D168" t="s">
        <v>34</v>
      </c>
      <c r="E168" t="s">
        <v>26</v>
      </c>
      <c r="F168" t="s">
        <v>18</v>
      </c>
      <c r="G168" s="1">
        <v>45033</v>
      </c>
      <c r="H168" s="1">
        <v>45240</v>
      </c>
      <c r="I168" t="s">
        <v>708</v>
      </c>
      <c r="J168" t="s">
        <v>709</v>
      </c>
      <c r="K168" t="s">
        <v>37</v>
      </c>
      <c r="M168" t="s">
        <v>3735</v>
      </c>
      <c r="N168" t="str">
        <f t="shared" si="8"/>
        <v>Flagged</v>
      </c>
      <c r="O168" t="str">
        <f t="shared" si="11"/>
        <v>Missing Verified_By</v>
      </c>
      <c r="P168" t="str">
        <f t="shared" si="9"/>
        <v>Flagged for Review</v>
      </c>
      <c r="Q168" t="str">
        <f t="shared" si="10"/>
        <v>Valid</v>
      </c>
    </row>
    <row r="169" spans="1:17" x14ac:dyDescent="0.3">
      <c r="A169" t="s">
        <v>710</v>
      </c>
      <c r="B169" t="s">
        <v>711</v>
      </c>
      <c r="C169" t="s">
        <v>76</v>
      </c>
      <c r="D169" t="s">
        <v>51</v>
      </c>
      <c r="E169" t="s">
        <v>52</v>
      </c>
      <c r="F169" t="s">
        <v>18</v>
      </c>
      <c r="G169" s="1">
        <v>43937</v>
      </c>
      <c r="H169" s="1">
        <v>44009</v>
      </c>
      <c r="I169" t="s">
        <v>712</v>
      </c>
      <c r="J169" t="s">
        <v>713</v>
      </c>
      <c r="K169" t="s">
        <v>37</v>
      </c>
      <c r="M169" t="s">
        <v>3735</v>
      </c>
      <c r="N169" t="str">
        <f t="shared" si="8"/>
        <v>Flagged</v>
      </c>
      <c r="O169" t="str">
        <f t="shared" si="11"/>
        <v>Missing Verified_By</v>
      </c>
      <c r="P169" t="str">
        <f t="shared" si="9"/>
        <v>Flagged for Review</v>
      </c>
      <c r="Q169" t="str">
        <f t="shared" si="10"/>
        <v>Valid</v>
      </c>
    </row>
    <row r="170" spans="1:17" x14ac:dyDescent="0.3">
      <c r="A170" t="s">
        <v>714</v>
      </c>
      <c r="B170" t="s">
        <v>715</v>
      </c>
      <c r="C170" t="s">
        <v>76</v>
      </c>
      <c r="D170" t="s">
        <v>41</v>
      </c>
      <c r="E170" t="s">
        <v>17</v>
      </c>
      <c r="F170" t="s">
        <v>18</v>
      </c>
      <c r="G170" s="1">
        <v>45311</v>
      </c>
      <c r="H170" s="1">
        <v>45479</v>
      </c>
      <c r="I170" t="s">
        <v>716</v>
      </c>
      <c r="J170" t="s">
        <v>717</v>
      </c>
      <c r="K170" t="s">
        <v>37</v>
      </c>
      <c r="L170" t="s">
        <v>91</v>
      </c>
      <c r="M170" t="s">
        <v>22</v>
      </c>
      <c r="N170" t="str">
        <f t="shared" si="8"/>
        <v>Clean</v>
      </c>
      <c r="O170" t="str">
        <f t="shared" si="11"/>
        <v/>
      </c>
      <c r="P170" t="str">
        <f t="shared" si="9"/>
        <v>Clean</v>
      </c>
      <c r="Q170" t="str">
        <f t="shared" si="10"/>
        <v>Valid</v>
      </c>
    </row>
    <row r="171" spans="1:17" x14ac:dyDescent="0.3">
      <c r="A171" t="s">
        <v>718</v>
      </c>
      <c r="B171" t="s">
        <v>719</v>
      </c>
      <c r="C171" t="s">
        <v>15</v>
      </c>
      <c r="D171" t="s">
        <v>77</v>
      </c>
      <c r="E171" t="s">
        <v>52</v>
      </c>
      <c r="F171" t="s">
        <v>18</v>
      </c>
      <c r="G171" s="1">
        <v>43733</v>
      </c>
      <c r="H171" s="1">
        <v>43938</v>
      </c>
      <c r="I171" t="s">
        <v>720</v>
      </c>
      <c r="J171" t="s">
        <v>721</v>
      </c>
      <c r="K171" t="s">
        <v>90</v>
      </c>
      <c r="L171" t="s">
        <v>55</v>
      </c>
      <c r="M171" t="s">
        <v>22</v>
      </c>
      <c r="N171" t="str">
        <f t="shared" si="8"/>
        <v>Clean</v>
      </c>
      <c r="O171" t="str">
        <f t="shared" si="11"/>
        <v/>
      </c>
      <c r="P171" t="str">
        <f t="shared" si="9"/>
        <v>Clean</v>
      </c>
      <c r="Q171" t="str">
        <f t="shared" si="10"/>
        <v>Valid</v>
      </c>
    </row>
    <row r="172" spans="1:17" x14ac:dyDescent="0.3">
      <c r="A172" t="s">
        <v>722</v>
      </c>
      <c r="B172" t="s">
        <v>723</v>
      </c>
      <c r="C172" t="s">
        <v>87</v>
      </c>
      <c r="D172" t="s">
        <v>51</v>
      </c>
      <c r="E172" t="s">
        <v>52</v>
      </c>
      <c r="F172" t="s">
        <v>18</v>
      </c>
      <c r="G172" s="1">
        <v>43763</v>
      </c>
      <c r="H172" s="1">
        <v>43767</v>
      </c>
      <c r="I172" t="s">
        <v>724</v>
      </c>
      <c r="J172" t="s">
        <v>725</v>
      </c>
      <c r="K172" t="s">
        <v>90</v>
      </c>
      <c r="L172" t="s">
        <v>91</v>
      </c>
      <c r="M172" t="s">
        <v>22</v>
      </c>
      <c r="N172" t="str">
        <f t="shared" si="8"/>
        <v>Clean</v>
      </c>
      <c r="O172" t="str">
        <f t="shared" si="11"/>
        <v/>
      </c>
      <c r="P172" t="str">
        <f t="shared" si="9"/>
        <v>Clean</v>
      </c>
      <c r="Q172" t="str">
        <f t="shared" si="10"/>
        <v>Valid</v>
      </c>
    </row>
    <row r="173" spans="1:17" x14ac:dyDescent="0.3">
      <c r="A173" t="s">
        <v>726</v>
      </c>
      <c r="B173" t="s">
        <v>727</v>
      </c>
      <c r="C173" t="s">
        <v>46</v>
      </c>
      <c r="D173" t="s">
        <v>16</v>
      </c>
      <c r="E173" t="s">
        <v>17</v>
      </c>
      <c r="F173" t="s">
        <v>18</v>
      </c>
      <c r="G173" s="1">
        <v>43724</v>
      </c>
      <c r="H173" s="1">
        <v>43827</v>
      </c>
      <c r="I173" t="s">
        <v>728</v>
      </c>
      <c r="J173" t="s">
        <v>729</v>
      </c>
      <c r="K173" t="s">
        <v>21</v>
      </c>
      <c r="L173" t="s">
        <v>116</v>
      </c>
      <c r="M173" t="s">
        <v>22</v>
      </c>
      <c r="N173" t="str">
        <f t="shared" si="8"/>
        <v>Clean</v>
      </c>
      <c r="O173" t="str">
        <f t="shared" si="11"/>
        <v/>
      </c>
      <c r="P173" t="str">
        <f t="shared" si="9"/>
        <v>Clean</v>
      </c>
      <c r="Q173" t="str">
        <f t="shared" si="10"/>
        <v>Valid</v>
      </c>
    </row>
    <row r="174" spans="1:17" x14ac:dyDescent="0.3">
      <c r="A174" t="s">
        <v>730</v>
      </c>
      <c r="B174" t="s">
        <v>731</v>
      </c>
      <c r="C174" t="s">
        <v>87</v>
      </c>
      <c r="D174" t="s">
        <v>16</v>
      </c>
      <c r="E174" t="s">
        <v>17</v>
      </c>
      <c r="F174" t="s">
        <v>18</v>
      </c>
      <c r="G174" s="1">
        <v>44890</v>
      </c>
      <c r="H174" s="1">
        <v>44950</v>
      </c>
      <c r="I174" t="s">
        <v>732</v>
      </c>
      <c r="J174" t="s">
        <v>733</v>
      </c>
      <c r="K174" t="s">
        <v>21</v>
      </c>
      <c r="L174" t="s">
        <v>91</v>
      </c>
      <c r="M174" t="s">
        <v>22</v>
      </c>
      <c r="N174" t="str">
        <f t="shared" si="8"/>
        <v>Clean</v>
      </c>
      <c r="O174" t="str">
        <f t="shared" si="11"/>
        <v/>
      </c>
      <c r="P174" t="str">
        <f t="shared" si="9"/>
        <v>Clean</v>
      </c>
      <c r="Q174" t="str">
        <f t="shared" si="10"/>
        <v>Valid</v>
      </c>
    </row>
    <row r="175" spans="1:17" x14ac:dyDescent="0.3">
      <c r="A175" t="s">
        <v>734</v>
      </c>
      <c r="B175" t="s">
        <v>735</v>
      </c>
      <c r="C175" t="s">
        <v>76</v>
      </c>
      <c r="D175" t="s">
        <v>77</v>
      </c>
      <c r="E175" t="s">
        <v>52</v>
      </c>
      <c r="F175" t="s">
        <v>151</v>
      </c>
      <c r="G175" s="1">
        <v>44474</v>
      </c>
      <c r="H175" s="1">
        <v>44729</v>
      </c>
      <c r="I175" t="s">
        <v>736</v>
      </c>
      <c r="J175" t="s">
        <v>737</v>
      </c>
      <c r="K175" t="s">
        <v>90</v>
      </c>
      <c r="L175" t="s">
        <v>116</v>
      </c>
      <c r="M175" t="s">
        <v>3735</v>
      </c>
      <c r="N175" t="str">
        <f t="shared" si="8"/>
        <v>Flagged</v>
      </c>
      <c r="O175" t="str">
        <f t="shared" si="11"/>
        <v>Invalid Email Format</v>
      </c>
      <c r="P175" t="str">
        <f t="shared" si="9"/>
        <v>Flagged for Review</v>
      </c>
      <c r="Q175" t="str">
        <f t="shared" si="10"/>
        <v>Invalid</v>
      </c>
    </row>
    <row r="176" spans="1:17" x14ac:dyDescent="0.3">
      <c r="A176" t="s">
        <v>738</v>
      </c>
      <c r="B176" t="s">
        <v>739</v>
      </c>
      <c r="C176" t="s">
        <v>87</v>
      </c>
      <c r="D176" t="s">
        <v>16</v>
      </c>
      <c r="E176" t="s">
        <v>17</v>
      </c>
      <c r="F176" t="s">
        <v>18</v>
      </c>
      <c r="G176" s="1">
        <v>45092</v>
      </c>
      <c r="H176" s="1">
        <v>45663</v>
      </c>
      <c r="I176" t="s">
        <v>740</v>
      </c>
      <c r="J176" t="s">
        <v>741</v>
      </c>
      <c r="K176" t="s">
        <v>21</v>
      </c>
      <c r="L176" t="s">
        <v>60</v>
      </c>
      <c r="M176" t="s">
        <v>22</v>
      </c>
      <c r="N176" t="str">
        <f t="shared" si="8"/>
        <v>Clean</v>
      </c>
      <c r="O176" t="str">
        <f t="shared" si="11"/>
        <v/>
      </c>
      <c r="P176" t="str">
        <f t="shared" si="9"/>
        <v>Clean</v>
      </c>
      <c r="Q176" t="str">
        <f t="shared" si="10"/>
        <v>Valid</v>
      </c>
    </row>
    <row r="177" spans="1:17" x14ac:dyDescent="0.3">
      <c r="A177" t="s">
        <v>742</v>
      </c>
      <c r="B177" t="s">
        <v>743</v>
      </c>
      <c r="C177" t="s">
        <v>181</v>
      </c>
      <c r="D177" t="s">
        <v>16</v>
      </c>
      <c r="E177" t="s">
        <v>17</v>
      </c>
      <c r="F177" t="s">
        <v>18</v>
      </c>
      <c r="G177" s="1">
        <v>44897</v>
      </c>
      <c r="H177" s="1">
        <v>44910</v>
      </c>
      <c r="I177" t="s">
        <v>744</v>
      </c>
      <c r="J177" t="s">
        <v>745</v>
      </c>
      <c r="K177" t="s">
        <v>21</v>
      </c>
      <c r="L177" t="s">
        <v>91</v>
      </c>
      <c r="M177" t="s">
        <v>22</v>
      </c>
      <c r="N177" t="str">
        <f t="shared" si="8"/>
        <v>Clean</v>
      </c>
      <c r="O177" t="str">
        <f t="shared" si="11"/>
        <v/>
      </c>
      <c r="P177" t="str">
        <f t="shared" si="9"/>
        <v>Clean</v>
      </c>
      <c r="Q177" t="str">
        <f t="shared" si="10"/>
        <v>Valid</v>
      </c>
    </row>
    <row r="178" spans="1:17" x14ac:dyDescent="0.3">
      <c r="A178" t="s">
        <v>746</v>
      </c>
      <c r="B178" t="s">
        <v>747</v>
      </c>
      <c r="C178" t="s">
        <v>40</v>
      </c>
      <c r="D178" t="s">
        <v>34</v>
      </c>
      <c r="E178" t="s">
        <v>26</v>
      </c>
      <c r="F178" t="s">
        <v>18</v>
      </c>
      <c r="G178" s="1">
        <v>43860</v>
      </c>
      <c r="H178" s="1">
        <v>44127</v>
      </c>
      <c r="I178" t="s">
        <v>748</v>
      </c>
      <c r="J178" t="s">
        <v>749</v>
      </c>
      <c r="K178" t="s">
        <v>37</v>
      </c>
      <c r="L178" t="s">
        <v>55</v>
      </c>
      <c r="M178" t="s">
        <v>22</v>
      </c>
      <c r="N178" t="str">
        <f t="shared" si="8"/>
        <v>Clean</v>
      </c>
      <c r="O178" t="str">
        <f t="shared" si="11"/>
        <v/>
      </c>
      <c r="P178" t="str">
        <f t="shared" si="9"/>
        <v>Clean</v>
      </c>
      <c r="Q178" t="str">
        <f t="shared" si="10"/>
        <v>Valid</v>
      </c>
    </row>
    <row r="179" spans="1:17" x14ac:dyDescent="0.3">
      <c r="A179" t="s">
        <v>750</v>
      </c>
      <c r="B179" t="s">
        <v>751</v>
      </c>
      <c r="C179" t="s">
        <v>15</v>
      </c>
      <c r="D179" t="s">
        <v>51</v>
      </c>
      <c r="E179" t="s">
        <v>52</v>
      </c>
      <c r="F179" t="s">
        <v>18</v>
      </c>
      <c r="G179" s="1">
        <v>44530</v>
      </c>
      <c r="H179" s="1">
        <v>44646</v>
      </c>
      <c r="I179" t="s">
        <v>752</v>
      </c>
      <c r="J179" t="s">
        <v>753</v>
      </c>
      <c r="K179" t="s">
        <v>29</v>
      </c>
      <c r="L179" t="s">
        <v>60</v>
      </c>
      <c r="M179" t="s">
        <v>22</v>
      </c>
      <c r="N179" t="str">
        <f t="shared" si="8"/>
        <v>Clean</v>
      </c>
      <c r="O179" t="str">
        <f t="shared" si="11"/>
        <v/>
      </c>
      <c r="P179" t="str">
        <f t="shared" si="9"/>
        <v>Clean</v>
      </c>
      <c r="Q179" t="str">
        <f t="shared" si="10"/>
        <v>Valid</v>
      </c>
    </row>
    <row r="180" spans="1:17" x14ac:dyDescent="0.3">
      <c r="A180" t="s">
        <v>754</v>
      </c>
      <c r="B180" t="s">
        <v>755</v>
      </c>
      <c r="C180" t="s">
        <v>15</v>
      </c>
      <c r="D180" t="s">
        <v>34</v>
      </c>
      <c r="E180" t="s">
        <v>26</v>
      </c>
      <c r="F180" t="s">
        <v>18</v>
      </c>
      <c r="G180" s="1">
        <v>43961</v>
      </c>
      <c r="H180" s="1">
        <v>44250</v>
      </c>
      <c r="I180" t="s">
        <v>756</v>
      </c>
      <c r="J180" t="s">
        <v>757</v>
      </c>
      <c r="K180" t="s">
        <v>21</v>
      </c>
      <c r="M180" t="s">
        <v>3735</v>
      </c>
      <c r="N180" t="str">
        <f t="shared" si="8"/>
        <v>Flagged</v>
      </c>
      <c r="O180" t="str">
        <f t="shared" si="11"/>
        <v>Missing Verified_By</v>
      </c>
      <c r="P180" t="str">
        <f t="shared" si="9"/>
        <v>Flagged for Review</v>
      </c>
      <c r="Q180" t="str">
        <f t="shared" si="10"/>
        <v>Valid</v>
      </c>
    </row>
    <row r="181" spans="1:17" x14ac:dyDescent="0.3">
      <c r="A181" t="s">
        <v>758</v>
      </c>
      <c r="B181" t="s">
        <v>759</v>
      </c>
      <c r="C181" t="s">
        <v>87</v>
      </c>
      <c r="D181" t="s">
        <v>77</v>
      </c>
      <c r="E181" t="s">
        <v>52</v>
      </c>
      <c r="F181" t="s">
        <v>18</v>
      </c>
      <c r="G181" s="1">
        <v>45023</v>
      </c>
      <c r="H181" s="1">
        <v>45295</v>
      </c>
      <c r="I181" t="s">
        <v>760</v>
      </c>
      <c r="J181" t="s">
        <v>761</v>
      </c>
      <c r="K181" t="s">
        <v>29</v>
      </c>
      <c r="L181" t="s">
        <v>60</v>
      </c>
      <c r="M181" t="s">
        <v>22</v>
      </c>
      <c r="N181" t="str">
        <f t="shared" si="8"/>
        <v>Clean</v>
      </c>
      <c r="O181" t="str">
        <f t="shared" si="11"/>
        <v/>
      </c>
      <c r="P181" t="str">
        <f t="shared" si="9"/>
        <v>Clean</v>
      </c>
      <c r="Q181" t="str">
        <f t="shared" si="10"/>
        <v>Valid</v>
      </c>
    </row>
    <row r="182" spans="1:17" x14ac:dyDescent="0.3">
      <c r="A182" t="s">
        <v>762</v>
      </c>
      <c r="B182" t="s">
        <v>763</v>
      </c>
      <c r="C182" t="s">
        <v>181</v>
      </c>
      <c r="D182" t="s">
        <v>51</v>
      </c>
      <c r="E182" t="s">
        <v>52</v>
      </c>
      <c r="F182" t="s">
        <v>160</v>
      </c>
      <c r="G182" s="1">
        <v>44315</v>
      </c>
      <c r="H182" s="1">
        <v>44668</v>
      </c>
      <c r="I182" t="s">
        <v>764</v>
      </c>
      <c r="J182" t="s">
        <v>765</v>
      </c>
      <c r="K182" t="s">
        <v>21</v>
      </c>
      <c r="L182" t="s">
        <v>116</v>
      </c>
      <c r="M182" t="s">
        <v>22</v>
      </c>
      <c r="N182" t="str">
        <f t="shared" si="8"/>
        <v>Clean</v>
      </c>
      <c r="O182" t="str">
        <f t="shared" si="11"/>
        <v/>
      </c>
      <c r="P182" t="str">
        <f t="shared" si="9"/>
        <v>Clean</v>
      </c>
      <c r="Q182" t="str">
        <f t="shared" si="10"/>
        <v>Valid</v>
      </c>
    </row>
    <row r="183" spans="1:17" x14ac:dyDescent="0.3">
      <c r="A183" t="s">
        <v>766</v>
      </c>
      <c r="B183" t="s">
        <v>767</v>
      </c>
      <c r="C183" t="s">
        <v>46</v>
      </c>
      <c r="D183" t="s">
        <v>16</v>
      </c>
      <c r="E183" t="s">
        <v>17</v>
      </c>
      <c r="F183" t="s">
        <v>18</v>
      </c>
      <c r="G183" s="1">
        <v>45342</v>
      </c>
      <c r="H183" s="1">
        <v>45348</v>
      </c>
      <c r="I183" t="s">
        <v>768</v>
      </c>
      <c r="J183" t="s">
        <v>769</v>
      </c>
      <c r="K183" t="s">
        <v>21</v>
      </c>
      <c r="L183" t="s">
        <v>60</v>
      </c>
      <c r="M183" t="s">
        <v>22</v>
      </c>
      <c r="N183" t="str">
        <f t="shared" si="8"/>
        <v>Clean</v>
      </c>
      <c r="O183" t="str">
        <f t="shared" si="11"/>
        <v/>
      </c>
      <c r="P183" t="str">
        <f t="shared" si="9"/>
        <v>Clean</v>
      </c>
      <c r="Q183" t="str">
        <f t="shared" si="10"/>
        <v>Valid</v>
      </c>
    </row>
    <row r="184" spans="1:17" x14ac:dyDescent="0.3">
      <c r="A184" t="s">
        <v>770</v>
      </c>
      <c r="B184" t="s">
        <v>771</v>
      </c>
      <c r="C184" t="s">
        <v>87</v>
      </c>
      <c r="D184" t="s">
        <v>77</v>
      </c>
      <c r="E184" t="s">
        <v>52</v>
      </c>
      <c r="F184" t="s">
        <v>18</v>
      </c>
      <c r="G184" s="1">
        <v>45480</v>
      </c>
      <c r="H184" s="1">
        <v>45692</v>
      </c>
      <c r="I184" t="s">
        <v>772</v>
      </c>
      <c r="J184" t="s">
        <v>773</v>
      </c>
      <c r="K184" t="s">
        <v>37</v>
      </c>
      <c r="L184" t="s">
        <v>60</v>
      </c>
      <c r="M184" t="s">
        <v>22</v>
      </c>
      <c r="N184" t="str">
        <f t="shared" si="8"/>
        <v>Clean</v>
      </c>
      <c r="O184" t="str">
        <f t="shared" si="11"/>
        <v/>
      </c>
      <c r="P184" t="str">
        <f t="shared" si="9"/>
        <v>Clean</v>
      </c>
      <c r="Q184" t="str">
        <f t="shared" si="10"/>
        <v>Valid</v>
      </c>
    </row>
    <row r="185" spans="1:17" x14ac:dyDescent="0.3">
      <c r="A185" t="s">
        <v>774</v>
      </c>
      <c r="B185" t="s">
        <v>775</v>
      </c>
      <c r="C185" t="s">
        <v>76</v>
      </c>
      <c r="D185" t="s">
        <v>77</v>
      </c>
      <c r="E185" t="s">
        <v>52</v>
      </c>
      <c r="F185" t="s">
        <v>18</v>
      </c>
      <c r="G185" s="1">
        <v>45387</v>
      </c>
      <c r="H185" s="1">
        <v>45680</v>
      </c>
      <c r="I185" t="s">
        <v>776</v>
      </c>
      <c r="J185" t="s">
        <v>777</v>
      </c>
      <c r="K185" t="s">
        <v>29</v>
      </c>
      <c r="L185" t="s">
        <v>116</v>
      </c>
      <c r="M185" t="s">
        <v>22</v>
      </c>
      <c r="N185" t="str">
        <f t="shared" si="8"/>
        <v>Clean</v>
      </c>
      <c r="O185" t="str">
        <f t="shared" si="11"/>
        <v/>
      </c>
      <c r="P185" t="str">
        <f t="shared" si="9"/>
        <v>Clean</v>
      </c>
      <c r="Q185" t="str">
        <f t="shared" si="10"/>
        <v>Valid</v>
      </c>
    </row>
    <row r="186" spans="1:17" x14ac:dyDescent="0.3">
      <c r="A186" t="s">
        <v>778</v>
      </c>
      <c r="B186" t="s">
        <v>779</v>
      </c>
      <c r="C186" t="s">
        <v>33</v>
      </c>
      <c r="D186" t="s">
        <v>25</v>
      </c>
      <c r="E186" t="s">
        <v>26</v>
      </c>
      <c r="F186" t="s">
        <v>18</v>
      </c>
      <c r="G186" s="1">
        <v>44162</v>
      </c>
      <c r="H186" s="1">
        <v>44354</v>
      </c>
      <c r="J186" t="s">
        <v>780</v>
      </c>
      <c r="K186" t="s">
        <v>90</v>
      </c>
      <c r="L186" t="s">
        <v>116</v>
      </c>
      <c r="M186" t="s">
        <v>3735</v>
      </c>
      <c r="N186" t="str">
        <f t="shared" si="8"/>
        <v>Flagged</v>
      </c>
      <c r="O186" t="str">
        <f t="shared" si="11"/>
        <v>Missing Contact_Email</v>
      </c>
      <c r="P186" t="str">
        <f t="shared" si="9"/>
        <v>Flagged for Review</v>
      </c>
      <c r="Q186" t="str">
        <f t="shared" si="10"/>
        <v>Blank</v>
      </c>
    </row>
    <row r="187" spans="1:17" x14ac:dyDescent="0.3">
      <c r="A187" t="s">
        <v>781</v>
      </c>
      <c r="B187" t="s">
        <v>782</v>
      </c>
      <c r="C187" t="s">
        <v>87</v>
      </c>
      <c r="D187" t="s">
        <v>34</v>
      </c>
      <c r="E187" t="s">
        <v>26</v>
      </c>
      <c r="F187" t="s">
        <v>160</v>
      </c>
      <c r="G187" s="1">
        <v>44751</v>
      </c>
      <c r="H187" s="1">
        <v>45115</v>
      </c>
      <c r="I187" t="s">
        <v>783</v>
      </c>
      <c r="J187" t="s">
        <v>784</v>
      </c>
      <c r="K187" t="s">
        <v>37</v>
      </c>
      <c r="L187" t="s">
        <v>55</v>
      </c>
      <c r="M187" t="s">
        <v>22</v>
      </c>
      <c r="N187" t="str">
        <f t="shared" si="8"/>
        <v>Clean</v>
      </c>
      <c r="O187" t="str">
        <f t="shared" si="11"/>
        <v/>
      </c>
      <c r="P187" t="str">
        <f t="shared" si="9"/>
        <v>Clean</v>
      </c>
      <c r="Q187" t="str">
        <f t="shared" si="10"/>
        <v>Valid</v>
      </c>
    </row>
    <row r="188" spans="1:17" x14ac:dyDescent="0.3">
      <c r="A188" t="s">
        <v>785</v>
      </c>
      <c r="B188" t="s">
        <v>786</v>
      </c>
      <c r="C188" t="s">
        <v>15</v>
      </c>
      <c r="D188" t="s">
        <v>34</v>
      </c>
      <c r="E188" t="s">
        <v>26</v>
      </c>
      <c r="F188" t="s">
        <v>160</v>
      </c>
      <c r="G188" s="1">
        <v>44247</v>
      </c>
      <c r="H188" s="1">
        <v>44291</v>
      </c>
      <c r="I188" t="s">
        <v>787</v>
      </c>
      <c r="J188" t="s">
        <v>788</v>
      </c>
      <c r="K188" t="s">
        <v>37</v>
      </c>
      <c r="L188" t="s">
        <v>30</v>
      </c>
      <c r="M188" t="s">
        <v>22</v>
      </c>
      <c r="N188" t="str">
        <f t="shared" si="8"/>
        <v>Clean</v>
      </c>
      <c r="O188" t="str">
        <f t="shared" si="11"/>
        <v/>
      </c>
      <c r="P188" t="str">
        <f t="shared" si="9"/>
        <v>Clean</v>
      </c>
      <c r="Q188" t="str">
        <f t="shared" si="10"/>
        <v>Valid</v>
      </c>
    </row>
    <row r="189" spans="1:17" x14ac:dyDescent="0.3">
      <c r="A189" t="s">
        <v>789</v>
      </c>
      <c r="B189" t="s">
        <v>790</v>
      </c>
      <c r="C189" t="s">
        <v>40</v>
      </c>
      <c r="D189" t="s">
        <v>51</v>
      </c>
      <c r="E189" t="s">
        <v>52</v>
      </c>
      <c r="F189" t="s">
        <v>18</v>
      </c>
      <c r="G189" s="1">
        <v>45023</v>
      </c>
      <c r="H189" s="1">
        <v>45202</v>
      </c>
      <c r="I189" t="s">
        <v>791</v>
      </c>
      <c r="J189" t="s">
        <v>792</v>
      </c>
      <c r="K189" t="s">
        <v>29</v>
      </c>
      <c r="L189" t="s">
        <v>60</v>
      </c>
      <c r="M189" t="s">
        <v>22</v>
      </c>
      <c r="N189" t="str">
        <f t="shared" si="8"/>
        <v>Clean</v>
      </c>
      <c r="O189" t="str">
        <f t="shared" si="11"/>
        <v/>
      </c>
      <c r="P189" t="str">
        <f t="shared" si="9"/>
        <v>Clean</v>
      </c>
      <c r="Q189" t="str">
        <f t="shared" si="10"/>
        <v>Valid</v>
      </c>
    </row>
    <row r="190" spans="1:17" x14ac:dyDescent="0.3">
      <c r="A190" t="s">
        <v>793</v>
      </c>
      <c r="B190" t="s">
        <v>794</v>
      </c>
      <c r="C190" t="s">
        <v>40</v>
      </c>
      <c r="D190" t="s">
        <v>41</v>
      </c>
      <c r="E190" t="s">
        <v>17</v>
      </c>
      <c r="F190" t="s">
        <v>160</v>
      </c>
      <c r="G190" s="1">
        <v>44221</v>
      </c>
      <c r="H190" s="1">
        <v>44316</v>
      </c>
      <c r="I190" t="s">
        <v>795</v>
      </c>
      <c r="J190" t="s">
        <v>796</v>
      </c>
      <c r="K190" t="s">
        <v>90</v>
      </c>
      <c r="M190" t="s">
        <v>3735</v>
      </c>
      <c r="N190" t="str">
        <f t="shared" si="8"/>
        <v>Flagged</v>
      </c>
      <c r="O190" t="str">
        <f t="shared" si="11"/>
        <v>Missing Verified_By</v>
      </c>
      <c r="P190" t="str">
        <f t="shared" si="9"/>
        <v>Flagged for Review</v>
      </c>
      <c r="Q190" t="str">
        <f t="shared" si="10"/>
        <v>Valid</v>
      </c>
    </row>
    <row r="191" spans="1:17" x14ac:dyDescent="0.3">
      <c r="A191" t="s">
        <v>797</v>
      </c>
      <c r="B191" t="s">
        <v>798</v>
      </c>
      <c r="C191" t="s">
        <v>15</v>
      </c>
      <c r="D191" t="s">
        <v>16</v>
      </c>
      <c r="E191" t="s">
        <v>17</v>
      </c>
      <c r="F191" t="s">
        <v>18</v>
      </c>
      <c r="G191" s="1">
        <v>45163</v>
      </c>
      <c r="H191" s="1">
        <v>45485</v>
      </c>
      <c r="I191" t="s">
        <v>799</v>
      </c>
      <c r="J191" t="s">
        <v>800</v>
      </c>
      <c r="K191" t="s">
        <v>21</v>
      </c>
      <c r="L191" t="s">
        <v>30</v>
      </c>
      <c r="M191" t="s">
        <v>22</v>
      </c>
      <c r="N191" t="str">
        <f t="shared" si="8"/>
        <v>Clean</v>
      </c>
      <c r="O191" t="str">
        <f t="shared" si="11"/>
        <v/>
      </c>
      <c r="P191" t="str">
        <f t="shared" si="9"/>
        <v>Clean</v>
      </c>
      <c r="Q191" t="str">
        <f t="shared" si="10"/>
        <v>Valid</v>
      </c>
    </row>
    <row r="192" spans="1:17" x14ac:dyDescent="0.3">
      <c r="A192" t="s">
        <v>801</v>
      </c>
      <c r="B192" t="s">
        <v>802</v>
      </c>
      <c r="C192" t="s">
        <v>181</v>
      </c>
      <c r="D192" t="s">
        <v>77</v>
      </c>
      <c r="E192" t="s">
        <v>52</v>
      </c>
      <c r="F192" t="s">
        <v>18</v>
      </c>
      <c r="G192" s="1">
        <v>45284</v>
      </c>
      <c r="H192" s="1">
        <v>45614</v>
      </c>
      <c r="I192" t="s">
        <v>803</v>
      </c>
      <c r="J192" t="s">
        <v>804</v>
      </c>
      <c r="K192" t="s">
        <v>37</v>
      </c>
      <c r="L192" t="s">
        <v>60</v>
      </c>
      <c r="M192" t="s">
        <v>22</v>
      </c>
      <c r="N192" t="str">
        <f t="shared" si="8"/>
        <v>Clean</v>
      </c>
      <c r="O192" t="str">
        <f t="shared" si="11"/>
        <v/>
      </c>
      <c r="P192" t="str">
        <f t="shared" si="9"/>
        <v>Clean</v>
      </c>
      <c r="Q192" t="str">
        <f t="shared" si="10"/>
        <v>Valid</v>
      </c>
    </row>
    <row r="193" spans="1:17" x14ac:dyDescent="0.3">
      <c r="A193" t="s">
        <v>805</v>
      </c>
      <c r="B193" t="s">
        <v>806</v>
      </c>
      <c r="C193" t="s">
        <v>33</v>
      </c>
      <c r="D193" t="s">
        <v>67</v>
      </c>
      <c r="E193" t="s">
        <v>26</v>
      </c>
      <c r="F193" t="s">
        <v>18</v>
      </c>
      <c r="G193" s="1">
        <v>44319</v>
      </c>
      <c r="H193" s="1">
        <v>44614</v>
      </c>
      <c r="I193" t="s">
        <v>807</v>
      </c>
      <c r="J193" t="s">
        <v>808</v>
      </c>
      <c r="K193" t="s">
        <v>90</v>
      </c>
      <c r="L193" t="s">
        <v>55</v>
      </c>
      <c r="M193" t="s">
        <v>22</v>
      </c>
      <c r="N193" t="str">
        <f t="shared" si="8"/>
        <v>Clean</v>
      </c>
      <c r="O193" t="str">
        <f t="shared" si="11"/>
        <v/>
      </c>
      <c r="P193" t="str">
        <f t="shared" si="9"/>
        <v>Clean</v>
      </c>
      <c r="Q193" t="str">
        <f t="shared" si="10"/>
        <v>Valid</v>
      </c>
    </row>
    <row r="194" spans="1:17" x14ac:dyDescent="0.3">
      <c r="A194" t="s">
        <v>809</v>
      </c>
      <c r="B194" t="s">
        <v>810</v>
      </c>
      <c r="C194" t="s">
        <v>15</v>
      </c>
      <c r="D194" t="s">
        <v>67</v>
      </c>
      <c r="E194" t="s">
        <v>26</v>
      </c>
      <c r="F194" t="s">
        <v>18</v>
      </c>
      <c r="G194" s="1">
        <v>43502</v>
      </c>
      <c r="H194" s="1">
        <v>43560</v>
      </c>
      <c r="I194" t="s">
        <v>811</v>
      </c>
      <c r="J194" t="s">
        <v>812</v>
      </c>
      <c r="K194" t="s">
        <v>37</v>
      </c>
      <c r="M194" t="s">
        <v>3735</v>
      </c>
      <c r="N194" t="str">
        <f t="shared" ref="N194:N257" si="12">IF(OR(B194="",H194="",I194="",J194="",L194="",Q194="Invalid"),"Flagged","Clean")</f>
        <v>Flagged</v>
      </c>
      <c r="O194" t="str">
        <f t="shared" si="11"/>
        <v>Missing Verified_By</v>
      </c>
      <c r="P194" t="str">
        <f t="shared" ref="P194:P257" si="13">IF(N194="Clean","Clean","Flagged for Review")</f>
        <v>Flagged for Review</v>
      </c>
      <c r="Q194" t="str">
        <f t="shared" ref="Q194:Q257" si="14">IF(I194="","Blank",IF(ISERROR(FIND("@",I194&amp;"")),"Invalid",IF(FIND("@",I194&amp;"")&lt;2,"Invalid",IF(LEN(I194&amp;"")-FIND("@",I194&amp;"")&lt;4,"Invalid","Valid"))))</f>
        <v>Valid</v>
      </c>
    </row>
    <row r="195" spans="1:17" x14ac:dyDescent="0.3">
      <c r="A195" t="s">
        <v>813</v>
      </c>
      <c r="B195" t="s">
        <v>814</v>
      </c>
      <c r="C195" t="s">
        <v>46</v>
      </c>
      <c r="D195" t="s">
        <v>25</v>
      </c>
      <c r="E195" t="s">
        <v>26</v>
      </c>
      <c r="F195" t="s">
        <v>151</v>
      </c>
      <c r="G195" s="1">
        <v>43748</v>
      </c>
      <c r="H195" s="1">
        <v>43986</v>
      </c>
      <c r="J195" t="s">
        <v>815</v>
      </c>
      <c r="K195" t="s">
        <v>29</v>
      </c>
      <c r="L195" t="s">
        <v>60</v>
      </c>
      <c r="M195" t="s">
        <v>3735</v>
      </c>
      <c r="N195" t="str">
        <f t="shared" si="12"/>
        <v>Flagged</v>
      </c>
      <c r="O195" t="str">
        <f t="shared" ref="O195:O258" si="15">TRIM(IF(B195="","Missing Vendor_Name ","")&amp;IF(I195="","Missing Contact_Email ","")&amp;IF(J195="","Missing Account_Code ","")&amp;IF(L195="","Missing Verified_By ","")&amp;IF(Q195="Invalid","Invalid Email Format ","")&amp;IF(H195="","Missing Last_Updated ",""))</f>
        <v>Missing Contact_Email</v>
      </c>
      <c r="P195" t="str">
        <f t="shared" si="13"/>
        <v>Flagged for Review</v>
      </c>
      <c r="Q195" t="str">
        <f t="shared" si="14"/>
        <v>Blank</v>
      </c>
    </row>
    <row r="196" spans="1:17" x14ac:dyDescent="0.3">
      <c r="A196" t="s">
        <v>816</v>
      </c>
      <c r="B196" t="s">
        <v>817</v>
      </c>
      <c r="C196" t="s">
        <v>87</v>
      </c>
      <c r="D196" t="s">
        <v>41</v>
      </c>
      <c r="E196" t="s">
        <v>17</v>
      </c>
      <c r="F196" t="s">
        <v>18</v>
      </c>
      <c r="G196" s="1">
        <v>45468</v>
      </c>
      <c r="H196" s="1">
        <v>45669</v>
      </c>
      <c r="I196" t="s">
        <v>818</v>
      </c>
      <c r="J196" t="s">
        <v>819</v>
      </c>
      <c r="K196" t="s">
        <v>90</v>
      </c>
      <c r="L196" t="s">
        <v>91</v>
      </c>
      <c r="M196" t="s">
        <v>22</v>
      </c>
      <c r="N196" t="str">
        <f t="shared" si="12"/>
        <v>Clean</v>
      </c>
      <c r="O196" t="str">
        <f t="shared" si="15"/>
        <v/>
      </c>
      <c r="P196" t="str">
        <f t="shared" si="13"/>
        <v>Clean</v>
      </c>
      <c r="Q196" t="str">
        <f t="shared" si="14"/>
        <v>Valid</v>
      </c>
    </row>
    <row r="197" spans="1:17" x14ac:dyDescent="0.3">
      <c r="A197" t="s">
        <v>820</v>
      </c>
      <c r="B197" t="s">
        <v>821</v>
      </c>
      <c r="C197" t="s">
        <v>40</v>
      </c>
      <c r="D197" t="s">
        <v>34</v>
      </c>
      <c r="E197" t="s">
        <v>26</v>
      </c>
      <c r="F197" t="s">
        <v>18</v>
      </c>
      <c r="G197" s="1">
        <v>45623</v>
      </c>
      <c r="H197" s="1">
        <v>45710</v>
      </c>
      <c r="I197" t="s">
        <v>822</v>
      </c>
      <c r="J197" t="s">
        <v>823</v>
      </c>
      <c r="K197" t="s">
        <v>29</v>
      </c>
      <c r="L197" t="s">
        <v>116</v>
      </c>
      <c r="M197" t="s">
        <v>22</v>
      </c>
      <c r="N197" t="str">
        <f t="shared" si="12"/>
        <v>Clean</v>
      </c>
      <c r="O197" t="str">
        <f t="shared" si="15"/>
        <v/>
      </c>
      <c r="P197" t="str">
        <f t="shared" si="13"/>
        <v>Clean</v>
      </c>
      <c r="Q197" t="str">
        <f t="shared" si="14"/>
        <v>Valid</v>
      </c>
    </row>
    <row r="198" spans="1:17" x14ac:dyDescent="0.3">
      <c r="A198" t="s">
        <v>824</v>
      </c>
      <c r="B198" t="s">
        <v>825</v>
      </c>
      <c r="C198" t="s">
        <v>15</v>
      </c>
      <c r="D198" t="s">
        <v>51</v>
      </c>
      <c r="E198" t="s">
        <v>52</v>
      </c>
      <c r="F198" t="s">
        <v>151</v>
      </c>
      <c r="G198" s="1">
        <v>44353</v>
      </c>
      <c r="H198" s="1">
        <v>44582</v>
      </c>
      <c r="I198" t="s">
        <v>826</v>
      </c>
      <c r="J198" t="s">
        <v>827</v>
      </c>
      <c r="K198" t="s">
        <v>21</v>
      </c>
      <c r="L198" t="s">
        <v>55</v>
      </c>
      <c r="M198" t="s">
        <v>22</v>
      </c>
      <c r="N198" t="str">
        <f t="shared" si="12"/>
        <v>Clean</v>
      </c>
      <c r="O198" t="str">
        <f t="shared" si="15"/>
        <v/>
      </c>
      <c r="P198" t="str">
        <f t="shared" si="13"/>
        <v>Clean</v>
      </c>
      <c r="Q198" t="str">
        <f t="shared" si="14"/>
        <v>Valid</v>
      </c>
    </row>
    <row r="199" spans="1:17" x14ac:dyDescent="0.3">
      <c r="A199" t="s">
        <v>828</v>
      </c>
      <c r="B199" t="s">
        <v>829</v>
      </c>
      <c r="C199" t="s">
        <v>87</v>
      </c>
      <c r="D199" t="s">
        <v>77</v>
      </c>
      <c r="E199" t="s">
        <v>52</v>
      </c>
      <c r="F199" t="s">
        <v>160</v>
      </c>
      <c r="G199" s="1">
        <v>45027</v>
      </c>
      <c r="H199" s="1">
        <v>45224</v>
      </c>
      <c r="I199" t="s">
        <v>830</v>
      </c>
      <c r="J199" t="s">
        <v>831</v>
      </c>
      <c r="K199" t="s">
        <v>90</v>
      </c>
      <c r="L199" t="s">
        <v>55</v>
      </c>
      <c r="M199" t="s">
        <v>22</v>
      </c>
      <c r="N199" t="str">
        <f t="shared" si="12"/>
        <v>Clean</v>
      </c>
      <c r="O199" t="str">
        <f t="shared" si="15"/>
        <v/>
      </c>
      <c r="P199" t="str">
        <f t="shared" si="13"/>
        <v>Clean</v>
      </c>
      <c r="Q199" t="str">
        <f t="shared" si="14"/>
        <v>Valid</v>
      </c>
    </row>
    <row r="200" spans="1:17" x14ac:dyDescent="0.3">
      <c r="A200" t="s">
        <v>832</v>
      </c>
      <c r="B200" t="s">
        <v>833</v>
      </c>
      <c r="C200" t="s">
        <v>33</v>
      </c>
      <c r="D200" t="s">
        <v>77</v>
      </c>
      <c r="E200" t="s">
        <v>52</v>
      </c>
      <c r="F200" t="s">
        <v>18</v>
      </c>
      <c r="G200" s="1">
        <v>43776</v>
      </c>
      <c r="H200" s="1">
        <v>44103</v>
      </c>
      <c r="I200" t="s">
        <v>834</v>
      </c>
      <c r="J200" t="s">
        <v>835</v>
      </c>
      <c r="K200" t="s">
        <v>21</v>
      </c>
      <c r="M200" t="s">
        <v>3735</v>
      </c>
      <c r="N200" t="str">
        <f t="shared" si="12"/>
        <v>Flagged</v>
      </c>
      <c r="O200" t="str">
        <f t="shared" si="15"/>
        <v>Missing Verified_By</v>
      </c>
      <c r="P200" t="str">
        <f t="shared" si="13"/>
        <v>Flagged for Review</v>
      </c>
      <c r="Q200" t="str">
        <f t="shared" si="14"/>
        <v>Valid</v>
      </c>
    </row>
    <row r="201" spans="1:17" x14ac:dyDescent="0.3">
      <c r="A201" t="s">
        <v>836</v>
      </c>
      <c r="B201" t="s">
        <v>837</v>
      </c>
      <c r="C201" t="s">
        <v>46</v>
      </c>
      <c r="D201" t="s">
        <v>67</v>
      </c>
      <c r="E201" t="s">
        <v>26</v>
      </c>
      <c r="F201" t="s">
        <v>18</v>
      </c>
      <c r="G201" s="1">
        <v>44411</v>
      </c>
      <c r="H201" s="1">
        <v>44716</v>
      </c>
      <c r="I201" t="s">
        <v>838</v>
      </c>
      <c r="J201" t="s">
        <v>839</v>
      </c>
      <c r="K201" t="s">
        <v>90</v>
      </c>
      <c r="L201" t="s">
        <v>116</v>
      </c>
      <c r="M201" t="s">
        <v>22</v>
      </c>
      <c r="N201" t="str">
        <f t="shared" si="12"/>
        <v>Clean</v>
      </c>
      <c r="O201" t="str">
        <f t="shared" si="15"/>
        <v/>
      </c>
      <c r="P201" t="str">
        <f t="shared" si="13"/>
        <v>Clean</v>
      </c>
      <c r="Q201" t="str">
        <f t="shared" si="14"/>
        <v>Valid</v>
      </c>
    </row>
    <row r="202" spans="1:17" x14ac:dyDescent="0.3">
      <c r="A202" t="s">
        <v>840</v>
      </c>
      <c r="B202" t="s">
        <v>841</v>
      </c>
      <c r="C202" t="s">
        <v>15</v>
      </c>
      <c r="D202" t="s">
        <v>51</v>
      </c>
      <c r="E202" t="s">
        <v>52</v>
      </c>
      <c r="F202" t="s">
        <v>18</v>
      </c>
      <c r="G202" s="1">
        <v>44494</v>
      </c>
      <c r="H202" s="1">
        <v>44520</v>
      </c>
      <c r="I202" t="s">
        <v>842</v>
      </c>
      <c r="J202" t="s">
        <v>843</v>
      </c>
      <c r="K202" t="s">
        <v>29</v>
      </c>
      <c r="L202" t="s">
        <v>60</v>
      </c>
      <c r="M202" t="s">
        <v>22</v>
      </c>
      <c r="N202" t="str">
        <f t="shared" si="12"/>
        <v>Clean</v>
      </c>
      <c r="O202" t="str">
        <f t="shared" si="15"/>
        <v/>
      </c>
      <c r="P202" t="str">
        <f t="shared" si="13"/>
        <v>Clean</v>
      </c>
      <c r="Q202" t="str">
        <f t="shared" si="14"/>
        <v>Valid</v>
      </c>
    </row>
    <row r="203" spans="1:17" x14ac:dyDescent="0.3">
      <c r="A203" t="s">
        <v>844</v>
      </c>
      <c r="B203" t="s">
        <v>845</v>
      </c>
      <c r="C203" t="s">
        <v>87</v>
      </c>
      <c r="D203" t="s">
        <v>51</v>
      </c>
      <c r="E203" t="s">
        <v>52</v>
      </c>
      <c r="F203" t="s">
        <v>18</v>
      </c>
      <c r="G203" s="1">
        <v>45632</v>
      </c>
      <c r="H203" s="1">
        <v>45636</v>
      </c>
      <c r="I203" t="s">
        <v>846</v>
      </c>
      <c r="J203" t="s">
        <v>847</v>
      </c>
      <c r="K203" t="s">
        <v>90</v>
      </c>
      <c r="L203" t="s">
        <v>55</v>
      </c>
      <c r="M203" t="s">
        <v>22</v>
      </c>
      <c r="N203" t="str">
        <f t="shared" si="12"/>
        <v>Clean</v>
      </c>
      <c r="O203" t="str">
        <f t="shared" si="15"/>
        <v/>
      </c>
      <c r="P203" t="str">
        <f t="shared" si="13"/>
        <v>Clean</v>
      </c>
      <c r="Q203" t="str">
        <f t="shared" si="14"/>
        <v>Valid</v>
      </c>
    </row>
    <row r="204" spans="1:17" x14ac:dyDescent="0.3">
      <c r="A204" t="s">
        <v>848</v>
      </c>
      <c r="B204" t="s">
        <v>849</v>
      </c>
      <c r="C204" t="s">
        <v>76</v>
      </c>
      <c r="D204" t="s">
        <v>41</v>
      </c>
      <c r="E204" t="s">
        <v>17</v>
      </c>
      <c r="F204" t="s">
        <v>18</v>
      </c>
      <c r="G204" s="1">
        <v>45401</v>
      </c>
      <c r="H204" s="1">
        <v>45464</v>
      </c>
      <c r="I204" t="s">
        <v>850</v>
      </c>
      <c r="J204" t="s">
        <v>851</v>
      </c>
      <c r="K204" t="s">
        <v>37</v>
      </c>
      <c r="L204" t="s">
        <v>30</v>
      </c>
      <c r="M204" t="s">
        <v>22</v>
      </c>
      <c r="N204" t="str">
        <f t="shared" si="12"/>
        <v>Clean</v>
      </c>
      <c r="O204" t="str">
        <f t="shared" si="15"/>
        <v/>
      </c>
      <c r="P204" t="str">
        <f t="shared" si="13"/>
        <v>Clean</v>
      </c>
      <c r="Q204" t="str">
        <f t="shared" si="14"/>
        <v>Valid</v>
      </c>
    </row>
    <row r="205" spans="1:17" x14ac:dyDescent="0.3">
      <c r="A205" t="s">
        <v>852</v>
      </c>
      <c r="B205" t="s">
        <v>853</v>
      </c>
      <c r="C205" t="s">
        <v>181</v>
      </c>
      <c r="D205" t="s">
        <v>51</v>
      </c>
      <c r="E205" t="s">
        <v>52</v>
      </c>
      <c r="F205" t="s">
        <v>151</v>
      </c>
      <c r="G205" s="1">
        <v>45591</v>
      </c>
      <c r="H205" s="1">
        <v>45736</v>
      </c>
      <c r="I205" t="s">
        <v>854</v>
      </c>
      <c r="J205" t="s">
        <v>855</v>
      </c>
      <c r="K205" t="s">
        <v>37</v>
      </c>
      <c r="M205" t="s">
        <v>3735</v>
      </c>
      <c r="N205" t="str">
        <f t="shared" si="12"/>
        <v>Flagged</v>
      </c>
      <c r="O205" t="str">
        <f t="shared" si="15"/>
        <v>Missing Verified_By</v>
      </c>
      <c r="P205" t="str">
        <f t="shared" si="13"/>
        <v>Flagged for Review</v>
      </c>
      <c r="Q205" t="str">
        <f t="shared" si="14"/>
        <v>Valid</v>
      </c>
    </row>
    <row r="206" spans="1:17" x14ac:dyDescent="0.3">
      <c r="A206" t="s">
        <v>856</v>
      </c>
      <c r="B206" t="s">
        <v>857</v>
      </c>
      <c r="C206" t="s">
        <v>76</v>
      </c>
      <c r="D206" t="s">
        <v>16</v>
      </c>
      <c r="E206" t="s">
        <v>17</v>
      </c>
      <c r="F206" t="s">
        <v>18</v>
      </c>
      <c r="G206" s="1">
        <v>44240</v>
      </c>
      <c r="H206" s="1">
        <v>44514</v>
      </c>
      <c r="I206" t="s">
        <v>858</v>
      </c>
      <c r="J206" t="s">
        <v>859</v>
      </c>
      <c r="K206" t="s">
        <v>29</v>
      </c>
      <c r="L206" t="s">
        <v>55</v>
      </c>
      <c r="M206" t="s">
        <v>22</v>
      </c>
      <c r="N206" t="str">
        <f t="shared" si="12"/>
        <v>Clean</v>
      </c>
      <c r="O206" t="str">
        <f t="shared" si="15"/>
        <v/>
      </c>
      <c r="P206" t="str">
        <f t="shared" si="13"/>
        <v>Clean</v>
      </c>
      <c r="Q206" t="str">
        <f t="shared" si="14"/>
        <v>Valid</v>
      </c>
    </row>
    <row r="207" spans="1:17" x14ac:dyDescent="0.3">
      <c r="A207" t="s">
        <v>860</v>
      </c>
      <c r="B207" t="s">
        <v>861</v>
      </c>
      <c r="C207" t="s">
        <v>33</v>
      </c>
      <c r="D207" t="s">
        <v>41</v>
      </c>
      <c r="E207" t="s">
        <v>17</v>
      </c>
      <c r="F207" t="s">
        <v>18</v>
      </c>
      <c r="G207" s="1">
        <v>44691</v>
      </c>
      <c r="H207" s="1">
        <v>44994</v>
      </c>
      <c r="I207" t="s">
        <v>862</v>
      </c>
      <c r="J207" t="s">
        <v>210</v>
      </c>
      <c r="K207" t="s">
        <v>21</v>
      </c>
      <c r="M207" t="s">
        <v>3735</v>
      </c>
      <c r="N207" t="str">
        <f t="shared" si="12"/>
        <v>Flagged</v>
      </c>
      <c r="O207" t="str">
        <f t="shared" si="15"/>
        <v>Missing Verified_By</v>
      </c>
      <c r="P207" t="str">
        <f t="shared" si="13"/>
        <v>Flagged for Review</v>
      </c>
      <c r="Q207" t="str">
        <f t="shared" si="14"/>
        <v>Valid</v>
      </c>
    </row>
    <row r="208" spans="1:17" x14ac:dyDescent="0.3">
      <c r="A208" t="s">
        <v>863</v>
      </c>
      <c r="B208" t="s">
        <v>864</v>
      </c>
      <c r="C208" t="s">
        <v>181</v>
      </c>
      <c r="D208" t="s">
        <v>41</v>
      </c>
      <c r="E208" t="s">
        <v>17</v>
      </c>
      <c r="F208" t="s">
        <v>18</v>
      </c>
      <c r="G208" s="1">
        <v>44101</v>
      </c>
      <c r="H208" s="1">
        <v>44242</v>
      </c>
      <c r="J208" t="s">
        <v>865</v>
      </c>
      <c r="K208" t="s">
        <v>90</v>
      </c>
      <c r="M208" t="s">
        <v>3735</v>
      </c>
      <c r="N208" t="str">
        <f t="shared" si="12"/>
        <v>Flagged</v>
      </c>
      <c r="O208" t="str">
        <f t="shared" si="15"/>
        <v>Missing Contact_Email Missing Verified_By</v>
      </c>
      <c r="P208" t="str">
        <f t="shared" si="13"/>
        <v>Flagged for Review</v>
      </c>
      <c r="Q208" t="str">
        <f t="shared" si="14"/>
        <v>Blank</v>
      </c>
    </row>
    <row r="209" spans="1:17" x14ac:dyDescent="0.3">
      <c r="A209" t="s">
        <v>866</v>
      </c>
      <c r="B209" t="s">
        <v>867</v>
      </c>
      <c r="C209" t="s">
        <v>40</v>
      </c>
      <c r="D209" t="s">
        <v>51</v>
      </c>
      <c r="E209" t="s">
        <v>52</v>
      </c>
      <c r="F209" t="s">
        <v>18</v>
      </c>
      <c r="G209" s="1">
        <v>44627</v>
      </c>
      <c r="H209" s="1">
        <v>44799</v>
      </c>
      <c r="I209" t="s">
        <v>868</v>
      </c>
      <c r="J209" t="s">
        <v>869</v>
      </c>
      <c r="K209" t="s">
        <v>21</v>
      </c>
      <c r="L209" t="s">
        <v>116</v>
      </c>
      <c r="M209" t="s">
        <v>22</v>
      </c>
      <c r="N209" t="str">
        <f t="shared" si="12"/>
        <v>Clean</v>
      </c>
      <c r="O209" t="str">
        <f t="shared" si="15"/>
        <v/>
      </c>
      <c r="P209" t="str">
        <f t="shared" si="13"/>
        <v>Clean</v>
      </c>
      <c r="Q209" t="str">
        <f t="shared" si="14"/>
        <v>Valid</v>
      </c>
    </row>
    <row r="210" spans="1:17" x14ac:dyDescent="0.3">
      <c r="A210" t="s">
        <v>870</v>
      </c>
      <c r="B210" t="s">
        <v>871</v>
      </c>
      <c r="C210" t="s">
        <v>15</v>
      </c>
      <c r="D210" t="s">
        <v>25</v>
      </c>
      <c r="E210" t="s">
        <v>26</v>
      </c>
      <c r="F210" t="s">
        <v>18</v>
      </c>
      <c r="G210" s="1">
        <v>44236</v>
      </c>
      <c r="H210" s="1">
        <v>44249</v>
      </c>
      <c r="I210" t="s">
        <v>872</v>
      </c>
      <c r="J210" t="s">
        <v>873</v>
      </c>
      <c r="K210" t="s">
        <v>37</v>
      </c>
      <c r="M210" t="s">
        <v>3735</v>
      </c>
      <c r="N210" t="str">
        <f t="shared" si="12"/>
        <v>Flagged</v>
      </c>
      <c r="O210" t="str">
        <f t="shared" si="15"/>
        <v>Missing Verified_By</v>
      </c>
      <c r="P210" t="str">
        <f t="shared" si="13"/>
        <v>Flagged for Review</v>
      </c>
      <c r="Q210" t="str">
        <f t="shared" si="14"/>
        <v>Valid</v>
      </c>
    </row>
    <row r="211" spans="1:17" x14ac:dyDescent="0.3">
      <c r="A211" t="s">
        <v>874</v>
      </c>
      <c r="B211" t="s">
        <v>875</v>
      </c>
      <c r="C211" t="s">
        <v>40</v>
      </c>
      <c r="D211" t="s">
        <v>67</v>
      </c>
      <c r="E211" t="s">
        <v>26</v>
      </c>
      <c r="F211" t="s">
        <v>18</v>
      </c>
      <c r="G211" s="1">
        <v>44684</v>
      </c>
      <c r="H211" s="1">
        <v>44998</v>
      </c>
      <c r="I211" t="s">
        <v>876</v>
      </c>
      <c r="J211" t="s">
        <v>877</v>
      </c>
      <c r="K211" t="s">
        <v>37</v>
      </c>
      <c r="L211" t="s">
        <v>116</v>
      </c>
      <c r="M211" t="s">
        <v>22</v>
      </c>
      <c r="N211" t="str">
        <f t="shared" si="12"/>
        <v>Clean</v>
      </c>
      <c r="O211" t="str">
        <f t="shared" si="15"/>
        <v/>
      </c>
      <c r="P211" t="str">
        <f t="shared" si="13"/>
        <v>Clean</v>
      </c>
      <c r="Q211" t="str">
        <f t="shared" si="14"/>
        <v>Valid</v>
      </c>
    </row>
    <row r="212" spans="1:17" x14ac:dyDescent="0.3">
      <c r="A212" t="s">
        <v>878</v>
      </c>
      <c r="B212" t="s">
        <v>879</v>
      </c>
      <c r="C212" t="s">
        <v>15</v>
      </c>
      <c r="D212" t="s">
        <v>34</v>
      </c>
      <c r="E212" t="s">
        <v>26</v>
      </c>
      <c r="F212" t="s">
        <v>151</v>
      </c>
      <c r="G212" s="1">
        <v>45500</v>
      </c>
      <c r="H212" s="1">
        <v>45646</v>
      </c>
      <c r="I212" t="s">
        <v>880</v>
      </c>
      <c r="J212" t="s">
        <v>881</v>
      </c>
      <c r="K212" t="s">
        <v>37</v>
      </c>
      <c r="M212" t="s">
        <v>3735</v>
      </c>
      <c r="N212" t="str">
        <f t="shared" si="12"/>
        <v>Flagged</v>
      </c>
      <c r="O212" t="str">
        <f t="shared" si="15"/>
        <v>Missing Verified_By</v>
      </c>
      <c r="P212" t="str">
        <f t="shared" si="13"/>
        <v>Flagged for Review</v>
      </c>
      <c r="Q212" t="str">
        <f t="shared" si="14"/>
        <v>Valid</v>
      </c>
    </row>
    <row r="213" spans="1:17" x14ac:dyDescent="0.3">
      <c r="A213" t="s">
        <v>882</v>
      </c>
      <c r="B213" t="s">
        <v>883</v>
      </c>
      <c r="C213" t="s">
        <v>46</v>
      </c>
      <c r="D213" t="s">
        <v>16</v>
      </c>
      <c r="E213" t="s">
        <v>17</v>
      </c>
      <c r="F213" t="s">
        <v>18</v>
      </c>
      <c r="G213" s="1">
        <v>44869</v>
      </c>
      <c r="H213" s="1">
        <v>45194</v>
      </c>
      <c r="I213" t="s">
        <v>884</v>
      </c>
      <c r="K213" t="s">
        <v>29</v>
      </c>
      <c r="L213" t="s">
        <v>55</v>
      </c>
      <c r="M213" t="s">
        <v>3735</v>
      </c>
      <c r="N213" t="str">
        <f t="shared" si="12"/>
        <v>Flagged</v>
      </c>
      <c r="O213" t="str">
        <f t="shared" si="15"/>
        <v>Missing Account_Code</v>
      </c>
      <c r="P213" t="str">
        <f t="shared" si="13"/>
        <v>Flagged for Review</v>
      </c>
      <c r="Q213" t="str">
        <f t="shared" si="14"/>
        <v>Valid</v>
      </c>
    </row>
    <row r="214" spans="1:17" x14ac:dyDescent="0.3">
      <c r="A214" t="s">
        <v>885</v>
      </c>
      <c r="B214" t="s">
        <v>886</v>
      </c>
      <c r="C214" t="s">
        <v>40</v>
      </c>
      <c r="D214" t="s">
        <v>25</v>
      </c>
      <c r="E214" t="s">
        <v>26</v>
      </c>
      <c r="F214" t="s">
        <v>160</v>
      </c>
      <c r="G214" s="1">
        <v>44630</v>
      </c>
      <c r="I214" t="s">
        <v>887</v>
      </c>
      <c r="J214" t="s">
        <v>888</v>
      </c>
      <c r="K214" t="s">
        <v>29</v>
      </c>
      <c r="L214" t="s">
        <v>55</v>
      </c>
      <c r="M214" t="s">
        <v>3735</v>
      </c>
      <c r="N214" t="str">
        <f t="shared" si="12"/>
        <v>Flagged</v>
      </c>
      <c r="O214" t="str">
        <f t="shared" si="15"/>
        <v>Missing Last_Updated</v>
      </c>
      <c r="P214" t="str">
        <f t="shared" si="13"/>
        <v>Flagged for Review</v>
      </c>
      <c r="Q214" t="str">
        <f t="shared" si="14"/>
        <v>Valid</v>
      </c>
    </row>
    <row r="215" spans="1:17" x14ac:dyDescent="0.3">
      <c r="A215" t="s">
        <v>889</v>
      </c>
      <c r="B215" t="s">
        <v>890</v>
      </c>
      <c r="C215" t="s">
        <v>76</v>
      </c>
      <c r="D215" t="s">
        <v>41</v>
      </c>
      <c r="E215" t="s">
        <v>17</v>
      </c>
      <c r="F215" t="s">
        <v>18</v>
      </c>
      <c r="G215" s="1">
        <v>44590</v>
      </c>
      <c r="H215" s="1">
        <v>44815</v>
      </c>
      <c r="I215" t="s">
        <v>891</v>
      </c>
      <c r="J215" t="s">
        <v>892</v>
      </c>
      <c r="K215" t="s">
        <v>90</v>
      </c>
      <c r="L215" t="s">
        <v>30</v>
      </c>
      <c r="M215" t="s">
        <v>22</v>
      </c>
      <c r="N215" t="str">
        <f t="shared" si="12"/>
        <v>Clean</v>
      </c>
      <c r="O215" t="str">
        <f t="shared" si="15"/>
        <v/>
      </c>
      <c r="P215" t="str">
        <f t="shared" si="13"/>
        <v>Clean</v>
      </c>
      <c r="Q215" t="str">
        <f t="shared" si="14"/>
        <v>Valid</v>
      </c>
    </row>
    <row r="216" spans="1:17" x14ac:dyDescent="0.3">
      <c r="A216" t="s">
        <v>893</v>
      </c>
      <c r="B216" t="s">
        <v>894</v>
      </c>
      <c r="C216" t="s">
        <v>46</v>
      </c>
      <c r="D216" t="s">
        <v>77</v>
      </c>
      <c r="E216" t="s">
        <v>52</v>
      </c>
      <c r="F216" t="s">
        <v>18</v>
      </c>
      <c r="G216" s="1">
        <v>45369</v>
      </c>
      <c r="H216" s="1">
        <v>45686</v>
      </c>
      <c r="I216" t="s">
        <v>895</v>
      </c>
      <c r="J216" t="s">
        <v>681</v>
      </c>
      <c r="K216" t="s">
        <v>90</v>
      </c>
      <c r="L216" t="s">
        <v>60</v>
      </c>
      <c r="M216" t="s">
        <v>22</v>
      </c>
      <c r="N216" t="str">
        <f t="shared" si="12"/>
        <v>Clean</v>
      </c>
      <c r="O216" t="str">
        <f t="shared" si="15"/>
        <v/>
      </c>
      <c r="P216" t="str">
        <f t="shared" si="13"/>
        <v>Clean</v>
      </c>
      <c r="Q216" t="str">
        <f t="shared" si="14"/>
        <v>Valid</v>
      </c>
    </row>
    <row r="217" spans="1:17" x14ac:dyDescent="0.3">
      <c r="A217" t="s">
        <v>896</v>
      </c>
      <c r="B217" t="s">
        <v>897</v>
      </c>
      <c r="C217" t="s">
        <v>87</v>
      </c>
      <c r="D217" t="s">
        <v>67</v>
      </c>
      <c r="E217" t="s">
        <v>26</v>
      </c>
      <c r="F217" t="s">
        <v>18</v>
      </c>
      <c r="G217" s="1">
        <v>43599</v>
      </c>
      <c r="H217" s="1">
        <v>43717</v>
      </c>
      <c r="I217" t="s">
        <v>898</v>
      </c>
      <c r="J217" t="s">
        <v>899</v>
      </c>
      <c r="K217" t="s">
        <v>21</v>
      </c>
      <c r="L217" t="s">
        <v>60</v>
      </c>
      <c r="M217" t="s">
        <v>22</v>
      </c>
      <c r="N217" t="str">
        <f t="shared" si="12"/>
        <v>Clean</v>
      </c>
      <c r="O217" t="str">
        <f t="shared" si="15"/>
        <v/>
      </c>
      <c r="P217" t="str">
        <f t="shared" si="13"/>
        <v>Clean</v>
      </c>
      <c r="Q217" t="str">
        <f t="shared" si="14"/>
        <v>Valid</v>
      </c>
    </row>
    <row r="218" spans="1:17" x14ac:dyDescent="0.3">
      <c r="A218" t="s">
        <v>900</v>
      </c>
      <c r="B218" t="s">
        <v>901</v>
      </c>
      <c r="C218" t="s">
        <v>87</v>
      </c>
      <c r="D218" t="s">
        <v>51</v>
      </c>
      <c r="E218" t="s">
        <v>52</v>
      </c>
      <c r="F218" t="s">
        <v>160</v>
      </c>
      <c r="G218" s="1">
        <v>44694</v>
      </c>
      <c r="H218" s="1">
        <v>44822</v>
      </c>
      <c r="I218" t="s">
        <v>902</v>
      </c>
      <c r="J218" t="s">
        <v>367</v>
      </c>
      <c r="K218" t="s">
        <v>21</v>
      </c>
      <c r="L218" t="s">
        <v>60</v>
      </c>
      <c r="M218" t="s">
        <v>22</v>
      </c>
      <c r="N218" t="str">
        <f t="shared" si="12"/>
        <v>Clean</v>
      </c>
      <c r="O218" t="str">
        <f t="shared" si="15"/>
        <v/>
      </c>
      <c r="P218" t="str">
        <f t="shared" si="13"/>
        <v>Clean</v>
      </c>
      <c r="Q218" t="str">
        <f t="shared" si="14"/>
        <v>Valid</v>
      </c>
    </row>
    <row r="219" spans="1:17" x14ac:dyDescent="0.3">
      <c r="A219" t="s">
        <v>903</v>
      </c>
      <c r="B219" t="s">
        <v>904</v>
      </c>
      <c r="C219" t="s">
        <v>76</v>
      </c>
      <c r="D219" t="s">
        <v>41</v>
      </c>
      <c r="E219" t="s">
        <v>17</v>
      </c>
      <c r="F219" t="s">
        <v>160</v>
      </c>
      <c r="G219" s="1">
        <v>43476</v>
      </c>
      <c r="H219" s="1">
        <v>43498</v>
      </c>
      <c r="I219" t="s">
        <v>905</v>
      </c>
      <c r="J219" t="s">
        <v>906</v>
      </c>
      <c r="K219" t="s">
        <v>90</v>
      </c>
      <c r="L219" t="s">
        <v>30</v>
      </c>
      <c r="M219" t="s">
        <v>22</v>
      </c>
      <c r="N219" t="str">
        <f t="shared" si="12"/>
        <v>Clean</v>
      </c>
      <c r="O219" t="str">
        <f t="shared" si="15"/>
        <v/>
      </c>
      <c r="P219" t="str">
        <f t="shared" si="13"/>
        <v>Clean</v>
      </c>
      <c r="Q219" t="str">
        <f t="shared" si="14"/>
        <v>Valid</v>
      </c>
    </row>
    <row r="220" spans="1:17" x14ac:dyDescent="0.3">
      <c r="A220" t="s">
        <v>907</v>
      </c>
      <c r="B220" t="s">
        <v>908</v>
      </c>
      <c r="C220" t="s">
        <v>15</v>
      </c>
      <c r="D220" t="s">
        <v>77</v>
      </c>
      <c r="E220" t="s">
        <v>52</v>
      </c>
      <c r="F220" t="s">
        <v>18</v>
      </c>
      <c r="G220" s="1">
        <v>43810</v>
      </c>
      <c r="H220" s="1">
        <v>44108</v>
      </c>
      <c r="I220" t="s">
        <v>909</v>
      </c>
      <c r="J220" t="s">
        <v>910</v>
      </c>
      <c r="K220" t="s">
        <v>90</v>
      </c>
      <c r="L220" t="s">
        <v>60</v>
      </c>
      <c r="M220" t="s">
        <v>22</v>
      </c>
      <c r="N220" t="str">
        <f t="shared" si="12"/>
        <v>Clean</v>
      </c>
      <c r="O220" t="str">
        <f t="shared" si="15"/>
        <v/>
      </c>
      <c r="P220" t="str">
        <f t="shared" si="13"/>
        <v>Clean</v>
      </c>
      <c r="Q220" t="str">
        <f t="shared" si="14"/>
        <v>Valid</v>
      </c>
    </row>
    <row r="221" spans="1:17" x14ac:dyDescent="0.3">
      <c r="A221" t="s">
        <v>911</v>
      </c>
      <c r="B221" t="s">
        <v>912</v>
      </c>
      <c r="C221" t="s">
        <v>87</v>
      </c>
      <c r="D221" t="s">
        <v>34</v>
      </c>
      <c r="E221" t="s">
        <v>26</v>
      </c>
      <c r="F221" t="s">
        <v>18</v>
      </c>
      <c r="G221" s="1">
        <v>43965</v>
      </c>
      <c r="H221" s="1">
        <v>44238</v>
      </c>
      <c r="I221" t="s">
        <v>913</v>
      </c>
      <c r="J221" t="s">
        <v>914</v>
      </c>
      <c r="K221" t="s">
        <v>21</v>
      </c>
      <c r="L221" t="s">
        <v>60</v>
      </c>
      <c r="M221" t="s">
        <v>22</v>
      </c>
      <c r="N221" t="str">
        <f t="shared" si="12"/>
        <v>Clean</v>
      </c>
      <c r="O221" t="str">
        <f t="shared" si="15"/>
        <v/>
      </c>
      <c r="P221" t="str">
        <f t="shared" si="13"/>
        <v>Clean</v>
      </c>
      <c r="Q221" t="str">
        <f t="shared" si="14"/>
        <v>Valid</v>
      </c>
    </row>
    <row r="222" spans="1:17" x14ac:dyDescent="0.3">
      <c r="A222" t="s">
        <v>915</v>
      </c>
      <c r="B222" t="s">
        <v>188</v>
      </c>
      <c r="C222" t="s">
        <v>46</v>
      </c>
      <c r="D222" t="s">
        <v>34</v>
      </c>
      <c r="E222" t="s">
        <v>26</v>
      </c>
      <c r="F222" t="s">
        <v>160</v>
      </c>
      <c r="G222" s="1">
        <v>44740</v>
      </c>
      <c r="H222" s="1">
        <v>45038</v>
      </c>
      <c r="I222" t="s">
        <v>916</v>
      </c>
      <c r="J222" t="s">
        <v>917</v>
      </c>
      <c r="K222" t="s">
        <v>37</v>
      </c>
      <c r="L222" t="s">
        <v>30</v>
      </c>
      <c r="M222" t="s">
        <v>22</v>
      </c>
      <c r="N222" t="str">
        <f t="shared" si="12"/>
        <v>Clean</v>
      </c>
      <c r="O222" t="str">
        <f t="shared" si="15"/>
        <v/>
      </c>
      <c r="P222" t="str">
        <f t="shared" si="13"/>
        <v>Clean</v>
      </c>
      <c r="Q222" t="str">
        <f t="shared" si="14"/>
        <v>Valid</v>
      </c>
    </row>
    <row r="223" spans="1:17" x14ac:dyDescent="0.3">
      <c r="A223" t="s">
        <v>918</v>
      </c>
      <c r="B223" t="s">
        <v>919</v>
      </c>
      <c r="C223" t="s">
        <v>15</v>
      </c>
      <c r="D223" t="s">
        <v>67</v>
      </c>
      <c r="E223" t="s">
        <v>26</v>
      </c>
      <c r="F223" t="s">
        <v>160</v>
      </c>
      <c r="G223" s="1">
        <v>44343</v>
      </c>
      <c r="H223" s="1">
        <v>44456</v>
      </c>
      <c r="I223" t="s">
        <v>920</v>
      </c>
      <c r="J223" t="s">
        <v>921</v>
      </c>
      <c r="K223" t="s">
        <v>29</v>
      </c>
      <c r="M223" t="s">
        <v>3735</v>
      </c>
      <c r="N223" t="str">
        <f t="shared" si="12"/>
        <v>Flagged</v>
      </c>
      <c r="O223" t="str">
        <f t="shared" si="15"/>
        <v>Missing Verified_By</v>
      </c>
      <c r="P223" t="str">
        <f t="shared" si="13"/>
        <v>Flagged for Review</v>
      </c>
      <c r="Q223" t="str">
        <f t="shared" si="14"/>
        <v>Valid</v>
      </c>
    </row>
    <row r="224" spans="1:17" x14ac:dyDescent="0.3">
      <c r="A224" t="s">
        <v>922</v>
      </c>
      <c r="B224" t="s">
        <v>923</v>
      </c>
      <c r="C224" t="s">
        <v>33</v>
      </c>
      <c r="D224" t="s">
        <v>16</v>
      </c>
      <c r="E224" t="s">
        <v>17</v>
      </c>
      <c r="F224" t="s">
        <v>160</v>
      </c>
      <c r="G224" s="1">
        <v>44119</v>
      </c>
      <c r="H224" s="1">
        <v>44476</v>
      </c>
      <c r="I224" t="s">
        <v>924</v>
      </c>
      <c r="J224" t="s">
        <v>925</v>
      </c>
      <c r="K224" t="s">
        <v>29</v>
      </c>
      <c r="L224" t="s">
        <v>55</v>
      </c>
      <c r="M224" t="s">
        <v>22</v>
      </c>
      <c r="N224" t="str">
        <f t="shared" si="12"/>
        <v>Clean</v>
      </c>
      <c r="O224" t="str">
        <f t="shared" si="15"/>
        <v/>
      </c>
      <c r="P224" t="str">
        <f t="shared" si="13"/>
        <v>Clean</v>
      </c>
      <c r="Q224" t="str">
        <f t="shared" si="14"/>
        <v>Valid</v>
      </c>
    </row>
    <row r="225" spans="1:17" x14ac:dyDescent="0.3">
      <c r="A225" t="s">
        <v>926</v>
      </c>
      <c r="B225" t="s">
        <v>927</v>
      </c>
      <c r="C225" t="s">
        <v>33</v>
      </c>
      <c r="D225" t="s">
        <v>16</v>
      </c>
      <c r="E225" t="s">
        <v>17</v>
      </c>
      <c r="F225" t="s">
        <v>18</v>
      </c>
      <c r="G225" s="1">
        <v>45651</v>
      </c>
      <c r="H225" s="1">
        <v>45845</v>
      </c>
      <c r="I225" t="s">
        <v>928</v>
      </c>
      <c r="J225" t="s">
        <v>929</v>
      </c>
      <c r="K225" t="s">
        <v>90</v>
      </c>
      <c r="L225" t="s">
        <v>91</v>
      </c>
      <c r="M225" t="s">
        <v>22</v>
      </c>
      <c r="N225" t="str">
        <f t="shared" si="12"/>
        <v>Clean</v>
      </c>
      <c r="O225" t="str">
        <f t="shared" si="15"/>
        <v/>
      </c>
      <c r="P225" t="str">
        <f t="shared" si="13"/>
        <v>Clean</v>
      </c>
      <c r="Q225" t="str">
        <f t="shared" si="14"/>
        <v>Valid</v>
      </c>
    </row>
    <row r="226" spans="1:17" x14ac:dyDescent="0.3">
      <c r="A226" t="s">
        <v>930</v>
      </c>
      <c r="B226" t="s">
        <v>931</v>
      </c>
      <c r="C226" t="s">
        <v>76</v>
      </c>
      <c r="D226" t="s">
        <v>16</v>
      </c>
      <c r="E226" t="s">
        <v>17</v>
      </c>
      <c r="F226" t="s">
        <v>18</v>
      </c>
      <c r="G226" s="1">
        <v>45150</v>
      </c>
      <c r="H226" s="1">
        <v>45200</v>
      </c>
      <c r="I226" t="s">
        <v>932</v>
      </c>
      <c r="J226" t="s">
        <v>933</v>
      </c>
      <c r="K226" t="s">
        <v>21</v>
      </c>
      <c r="L226" t="s">
        <v>116</v>
      </c>
      <c r="M226" t="s">
        <v>22</v>
      </c>
      <c r="N226" t="str">
        <f t="shared" si="12"/>
        <v>Clean</v>
      </c>
      <c r="O226" t="str">
        <f t="shared" si="15"/>
        <v/>
      </c>
      <c r="P226" t="str">
        <f t="shared" si="13"/>
        <v>Clean</v>
      </c>
      <c r="Q226" t="str">
        <f t="shared" si="14"/>
        <v>Valid</v>
      </c>
    </row>
    <row r="227" spans="1:17" x14ac:dyDescent="0.3">
      <c r="A227" t="s">
        <v>934</v>
      </c>
      <c r="B227" t="s">
        <v>935</v>
      </c>
      <c r="C227" t="s">
        <v>87</v>
      </c>
      <c r="D227" t="s">
        <v>77</v>
      </c>
      <c r="E227" t="s">
        <v>52</v>
      </c>
      <c r="F227" t="s">
        <v>160</v>
      </c>
      <c r="G227" s="1">
        <v>43842</v>
      </c>
      <c r="H227" s="1">
        <v>44011</v>
      </c>
      <c r="I227" t="s">
        <v>936</v>
      </c>
      <c r="J227" t="s">
        <v>937</v>
      </c>
      <c r="K227" t="s">
        <v>21</v>
      </c>
      <c r="L227" t="s">
        <v>60</v>
      </c>
      <c r="M227" t="s">
        <v>22</v>
      </c>
      <c r="N227" t="str">
        <f t="shared" si="12"/>
        <v>Clean</v>
      </c>
      <c r="O227" t="str">
        <f t="shared" si="15"/>
        <v/>
      </c>
      <c r="P227" t="str">
        <f t="shared" si="13"/>
        <v>Clean</v>
      </c>
      <c r="Q227" t="str">
        <f t="shared" si="14"/>
        <v>Valid</v>
      </c>
    </row>
    <row r="228" spans="1:17" x14ac:dyDescent="0.3">
      <c r="A228" t="s">
        <v>938</v>
      </c>
      <c r="B228" t="s">
        <v>939</v>
      </c>
      <c r="C228" t="s">
        <v>87</v>
      </c>
      <c r="D228" t="s">
        <v>25</v>
      </c>
      <c r="E228" t="s">
        <v>26</v>
      </c>
      <c r="F228" t="s">
        <v>160</v>
      </c>
      <c r="G228" s="1">
        <v>43804</v>
      </c>
      <c r="H228" s="1">
        <v>44059</v>
      </c>
      <c r="I228" t="s">
        <v>940</v>
      </c>
      <c r="J228" t="s">
        <v>941</v>
      </c>
      <c r="K228" t="s">
        <v>90</v>
      </c>
      <c r="L228" t="s">
        <v>91</v>
      </c>
      <c r="M228" t="s">
        <v>22</v>
      </c>
      <c r="N228" t="str">
        <f t="shared" si="12"/>
        <v>Clean</v>
      </c>
      <c r="O228" t="str">
        <f t="shared" si="15"/>
        <v/>
      </c>
      <c r="P228" t="str">
        <f t="shared" si="13"/>
        <v>Clean</v>
      </c>
      <c r="Q228" t="str">
        <f t="shared" si="14"/>
        <v>Valid</v>
      </c>
    </row>
    <row r="229" spans="1:17" x14ac:dyDescent="0.3">
      <c r="A229" t="s">
        <v>942</v>
      </c>
      <c r="B229" t="s">
        <v>943</v>
      </c>
      <c r="C229" t="s">
        <v>87</v>
      </c>
      <c r="D229" t="s">
        <v>25</v>
      </c>
      <c r="E229" t="s">
        <v>26</v>
      </c>
      <c r="F229" t="s">
        <v>18</v>
      </c>
      <c r="G229" s="1">
        <v>44553</v>
      </c>
      <c r="H229" s="1">
        <v>44888</v>
      </c>
      <c r="I229" t="s">
        <v>944</v>
      </c>
      <c r="J229" t="s">
        <v>254</v>
      </c>
      <c r="K229" t="s">
        <v>90</v>
      </c>
      <c r="L229" t="s">
        <v>91</v>
      </c>
      <c r="M229" t="s">
        <v>22</v>
      </c>
      <c r="N229" t="str">
        <f t="shared" si="12"/>
        <v>Clean</v>
      </c>
      <c r="O229" t="str">
        <f t="shared" si="15"/>
        <v/>
      </c>
      <c r="P229" t="str">
        <f t="shared" si="13"/>
        <v>Clean</v>
      </c>
      <c r="Q229" t="str">
        <f t="shared" si="14"/>
        <v>Valid</v>
      </c>
    </row>
    <row r="230" spans="1:17" x14ac:dyDescent="0.3">
      <c r="A230" t="s">
        <v>945</v>
      </c>
      <c r="B230" t="s">
        <v>946</v>
      </c>
      <c r="C230" t="s">
        <v>87</v>
      </c>
      <c r="D230" t="s">
        <v>51</v>
      </c>
      <c r="E230" t="s">
        <v>52</v>
      </c>
      <c r="F230" t="s">
        <v>151</v>
      </c>
      <c r="G230" s="1">
        <v>44294</v>
      </c>
      <c r="H230" s="1">
        <v>44465</v>
      </c>
      <c r="I230" t="s">
        <v>947</v>
      </c>
      <c r="J230" t="s">
        <v>948</v>
      </c>
      <c r="K230" t="s">
        <v>90</v>
      </c>
      <c r="L230" t="s">
        <v>116</v>
      </c>
      <c r="M230" t="s">
        <v>22</v>
      </c>
      <c r="N230" t="str">
        <f t="shared" si="12"/>
        <v>Clean</v>
      </c>
      <c r="O230" t="str">
        <f t="shared" si="15"/>
        <v/>
      </c>
      <c r="P230" t="str">
        <f t="shared" si="13"/>
        <v>Clean</v>
      </c>
      <c r="Q230" t="str">
        <f t="shared" si="14"/>
        <v>Valid</v>
      </c>
    </row>
    <row r="231" spans="1:17" x14ac:dyDescent="0.3">
      <c r="A231" t="s">
        <v>949</v>
      </c>
      <c r="B231" t="s">
        <v>950</v>
      </c>
      <c r="C231" t="s">
        <v>76</v>
      </c>
      <c r="D231" t="s">
        <v>25</v>
      </c>
      <c r="E231" t="s">
        <v>26</v>
      </c>
      <c r="F231" t="s">
        <v>18</v>
      </c>
      <c r="G231" s="1">
        <v>44651</v>
      </c>
      <c r="H231" s="1">
        <v>44691</v>
      </c>
      <c r="I231" t="s">
        <v>951</v>
      </c>
      <c r="J231" t="s">
        <v>952</v>
      </c>
      <c r="K231" t="s">
        <v>21</v>
      </c>
      <c r="L231" t="s">
        <v>116</v>
      </c>
      <c r="M231" t="s">
        <v>22</v>
      </c>
      <c r="N231" t="str">
        <f t="shared" si="12"/>
        <v>Clean</v>
      </c>
      <c r="O231" t="str">
        <f t="shared" si="15"/>
        <v/>
      </c>
      <c r="P231" t="str">
        <f t="shared" si="13"/>
        <v>Clean</v>
      </c>
      <c r="Q231" t="str">
        <f t="shared" si="14"/>
        <v>Valid</v>
      </c>
    </row>
    <row r="232" spans="1:17" x14ac:dyDescent="0.3">
      <c r="A232" t="s">
        <v>953</v>
      </c>
      <c r="B232" t="s">
        <v>954</v>
      </c>
      <c r="C232" t="s">
        <v>181</v>
      </c>
      <c r="D232" t="s">
        <v>51</v>
      </c>
      <c r="E232" t="s">
        <v>52</v>
      </c>
      <c r="F232" t="s">
        <v>18</v>
      </c>
      <c r="G232" s="1">
        <v>43796</v>
      </c>
      <c r="H232" s="1">
        <v>43866</v>
      </c>
      <c r="I232" t="s">
        <v>955</v>
      </c>
      <c r="J232" t="s">
        <v>956</v>
      </c>
      <c r="K232" t="s">
        <v>21</v>
      </c>
      <c r="M232" t="s">
        <v>3735</v>
      </c>
      <c r="N232" t="str">
        <f t="shared" si="12"/>
        <v>Flagged</v>
      </c>
      <c r="O232" t="str">
        <f t="shared" si="15"/>
        <v>Missing Verified_By</v>
      </c>
      <c r="P232" t="str">
        <f t="shared" si="13"/>
        <v>Flagged for Review</v>
      </c>
      <c r="Q232" t="str">
        <f t="shared" si="14"/>
        <v>Valid</v>
      </c>
    </row>
    <row r="233" spans="1:17" x14ac:dyDescent="0.3">
      <c r="A233" t="s">
        <v>957</v>
      </c>
      <c r="B233" t="s">
        <v>958</v>
      </c>
      <c r="C233" t="s">
        <v>87</v>
      </c>
      <c r="D233" t="s">
        <v>67</v>
      </c>
      <c r="E233" t="s">
        <v>26</v>
      </c>
      <c r="F233" t="s">
        <v>18</v>
      </c>
      <c r="G233" s="1">
        <v>45344</v>
      </c>
      <c r="H233" s="1">
        <v>45703</v>
      </c>
      <c r="I233" t="s">
        <v>959</v>
      </c>
      <c r="J233" t="s">
        <v>960</v>
      </c>
      <c r="K233" t="s">
        <v>37</v>
      </c>
      <c r="L233" t="s">
        <v>55</v>
      </c>
      <c r="M233" t="s">
        <v>22</v>
      </c>
      <c r="N233" t="str">
        <f t="shared" si="12"/>
        <v>Clean</v>
      </c>
      <c r="O233" t="str">
        <f t="shared" si="15"/>
        <v/>
      </c>
      <c r="P233" t="str">
        <f t="shared" si="13"/>
        <v>Clean</v>
      </c>
      <c r="Q233" t="str">
        <f t="shared" si="14"/>
        <v>Valid</v>
      </c>
    </row>
    <row r="234" spans="1:17" x14ac:dyDescent="0.3">
      <c r="A234" t="s">
        <v>961</v>
      </c>
      <c r="B234" t="s">
        <v>962</v>
      </c>
      <c r="C234" t="s">
        <v>33</v>
      </c>
      <c r="D234" t="s">
        <v>34</v>
      </c>
      <c r="E234" t="s">
        <v>26</v>
      </c>
      <c r="F234" t="s">
        <v>18</v>
      </c>
      <c r="G234" s="1">
        <v>45535</v>
      </c>
      <c r="H234" s="1">
        <v>45591</v>
      </c>
      <c r="I234" t="s">
        <v>963</v>
      </c>
      <c r="J234" t="s">
        <v>964</v>
      </c>
      <c r="K234" t="s">
        <v>29</v>
      </c>
      <c r="M234" t="s">
        <v>3735</v>
      </c>
      <c r="N234" t="str">
        <f t="shared" si="12"/>
        <v>Flagged</v>
      </c>
      <c r="O234" t="str">
        <f t="shared" si="15"/>
        <v>Missing Verified_By</v>
      </c>
      <c r="P234" t="str">
        <f t="shared" si="13"/>
        <v>Flagged for Review</v>
      </c>
      <c r="Q234" t="str">
        <f t="shared" si="14"/>
        <v>Valid</v>
      </c>
    </row>
    <row r="235" spans="1:17" x14ac:dyDescent="0.3">
      <c r="A235" t="s">
        <v>965</v>
      </c>
      <c r="B235" t="s">
        <v>966</v>
      </c>
      <c r="C235" t="s">
        <v>33</v>
      </c>
      <c r="D235" t="s">
        <v>51</v>
      </c>
      <c r="E235" t="s">
        <v>52</v>
      </c>
      <c r="F235" t="s">
        <v>18</v>
      </c>
      <c r="G235" s="1">
        <v>44707</v>
      </c>
      <c r="H235" s="1">
        <v>44866</v>
      </c>
      <c r="I235" t="s">
        <v>967</v>
      </c>
      <c r="J235" t="s">
        <v>968</v>
      </c>
      <c r="K235" t="s">
        <v>90</v>
      </c>
      <c r="L235" t="s">
        <v>55</v>
      </c>
      <c r="M235" t="s">
        <v>22</v>
      </c>
      <c r="N235" t="str">
        <f t="shared" si="12"/>
        <v>Clean</v>
      </c>
      <c r="O235" t="str">
        <f t="shared" si="15"/>
        <v/>
      </c>
      <c r="P235" t="str">
        <f t="shared" si="13"/>
        <v>Clean</v>
      </c>
      <c r="Q235" t="str">
        <f t="shared" si="14"/>
        <v>Valid</v>
      </c>
    </row>
    <row r="236" spans="1:17" x14ac:dyDescent="0.3">
      <c r="A236" t="s">
        <v>969</v>
      </c>
      <c r="B236" t="s">
        <v>970</v>
      </c>
      <c r="C236" t="s">
        <v>33</v>
      </c>
      <c r="D236" t="s">
        <v>41</v>
      </c>
      <c r="E236" t="s">
        <v>17</v>
      </c>
      <c r="F236" t="s">
        <v>18</v>
      </c>
      <c r="G236" s="1">
        <v>44253</v>
      </c>
      <c r="H236" s="1">
        <v>44493</v>
      </c>
      <c r="I236" t="s">
        <v>972</v>
      </c>
      <c r="J236" t="s">
        <v>973</v>
      </c>
      <c r="K236" t="s">
        <v>37</v>
      </c>
      <c r="L236" t="s">
        <v>91</v>
      </c>
      <c r="M236" t="s">
        <v>22</v>
      </c>
      <c r="N236" t="str">
        <f t="shared" si="12"/>
        <v>Clean</v>
      </c>
      <c r="O236" t="str">
        <f t="shared" si="15"/>
        <v/>
      </c>
      <c r="P236" t="str">
        <f t="shared" si="13"/>
        <v>Clean</v>
      </c>
      <c r="Q236" t="str">
        <f t="shared" si="14"/>
        <v>Valid</v>
      </c>
    </row>
    <row r="237" spans="1:17" x14ac:dyDescent="0.3">
      <c r="A237" t="s">
        <v>974</v>
      </c>
      <c r="B237" t="s">
        <v>975</v>
      </c>
      <c r="C237" t="s">
        <v>15</v>
      </c>
      <c r="D237" t="s">
        <v>67</v>
      </c>
      <c r="E237" t="s">
        <v>26</v>
      </c>
      <c r="F237" t="s">
        <v>18</v>
      </c>
      <c r="G237" s="1">
        <v>44784</v>
      </c>
      <c r="H237" s="1">
        <v>44880</v>
      </c>
      <c r="I237" t="s">
        <v>976</v>
      </c>
      <c r="J237" t="s">
        <v>977</v>
      </c>
      <c r="K237" t="s">
        <v>37</v>
      </c>
      <c r="L237" t="s">
        <v>30</v>
      </c>
      <c r="M237" t="s">
        <v>22</v>
      </c>
      <c r="N237" t="str">
        <f t="shared" si="12"/>
        <v>Clean</v>
      </c>
      <c r="O237" t="str">
        <f t="shared" si="15"/>
        <v/>
      </c>
      <c r="P237" t="str">
        <f t="shared" si="13"/>
        <v>Clean</v>
      </c>
      <c r="Q237" t="str">
        <f t="shared" si="14"/>
        <v>Valid</v>
      </c>
    </row>
    <row r="238" spans="1:17" x14ac:dyDescent="0.3">
      <c r="A238" t="s">
        <v>978</v>
      </c>
      <c r="B238" t="s">
        <v>979</v>
      </c>
      <c r="C238" t="s">
        <v>40</v>
      </c>
      <c r="D238" t="s">
        <v>16</v>
      </c>
      <c r="E238" t="s">
        <v>17</v>
      </c>
      <c r="F238" t="s">
        <v>160</v>
      </c>
      <c r="G238" s="1">
        <v>44472</v>
      </c>
      <c r="H238" s="1">
        <v>44737</v>
      </c>
      <c r="I238" t="s">
        <v>980</v>
      </c>
      <c r="J238" t="s">
        <v>796</v>
      </c>
      <c r="K238" t="s">
        <v>90</v>
      </c>
      <c r="L238" t="s">
        <v>91</v>
      </c>
      <c r="M238" t="s">
        <v>22</v>
      </c>
      <c r="N238" t="str">
        <f t="shared" si="12"/>
        <v>Clean</v>
      </c>
      <c r="O238" t="str">
        <f t="shared" si="15"/>
        <v/>
      </c>
      <c r="P238" t="str">
        <f t="shared" si="13"/>
        <v>Clean</v>
      </c>
      <c r="Q238" t="str">
        <f t="shared" si="14"/>
        <v>Valid</v>
      </c>
    </row>
    <row r="239" spans="1:17" x14ac:dyDescent="0.3">
      <c r="A239" t="s">
        <v>981</v>
      </c>
      <c r="B239" t="s">
        <v>982</v>
      </c>
      <c r="C239" t="s">
        <v>33</v>
      </c>
      <c r="D239" t="s">
        <v>16</v>
      </c>
      <c r="E239" t="s">
        <v>17</v>
      </c>
      <c r="F239" t="s">
        <v>151</v>
      </c>
      <c r="G239" s="1">
        <v>44963</v>
      </c>
      <c r="H239" s="1">
        <v>45036</v>
      </c>
      <c r="I239" t="s">
        <v>983</v>
      </c>
      <c r="J239" t="s">
        <v>984</v>
      </c>
      <c r="K239" t="s">
        <v>21</v>
      </c>
      <c r="L239" t="s">
        <v>91</v>
      </c>
      <c r="M239" t="s">
        <v>22</v>
      </c>
      <c r="N239" t="str">
        <f t="shared" si="12"/>
        <v>Clean</v>
      </c>
      <c r="O239" t="str">
        <f t="shared" si="15"/>
        <v/>
      </c>
      <c r="P239" t="str">
        <f t="shared" si="13"/>
        <v>Clean</v>
      </c>
      <c r="Q239" t="str">
        <f t="shared" si="14"/>
        <v>Valid</v>
      </c>
    </row>
    <row r="240" spans="1:17" x14ac:dyDescent="0.3">
      <c r="A240" t="s">
        <v>985</v>
      </c>
      <c r="B240" t="s">
        <v>986</v>
      </c>
      <c r="C240" t="s">
        <v>87</v>
      </c>
      <c r="D240" t="s">
        <v>41</v>
      </c>
      <c r="E240" t="s">
        <v>17</v>
      </c>
      <c r="F240" t="s">
        <v>18</v>
      </c>
      <c r="G240" s="1">
        <v>44084</v>
      </c>
      <c r="H240" s="1">
        <v>44088</v>
      </c>
      <c r="I240" t="s">
        <v>987</v>
      </c>
      <c r="J240" t="s">
        <v>988</v>
      </c>
      <c r="K240" t="s">
        <v>21</v>
      </c>
      <c r="L240" t="s">
        <v>116</v>
      </c>
      <c r="M240" t="s">
        <v>22</v>
      </c>
      <c r="N240" t="str">
        <f t="shared" si="12"/>
        <v>Clean</v>
      </c>
      <c r="O240" t="str">
        <f t="shared" si="15"/>
        <v/>
      </c>
      <c r="P240" t="str">
        <f t="shared" si="13"/>
        <v>Clean</v>
      </c>
      <c r="Q240" t="str">
        <f t="shared" si="14"/>
        <v>Valid</v>
      </c>
    </row>
    <row r="241" spans="1:17" x14ac:dyDescent="0.3">
      <c r="A241" t="s">
        <v>989</v>
      </c>
      <c r="B241" t="s">
        <v>990</v>
      </c>
      <c r="C241" t="s">
        <v>87</v>
      </c>
      <c r="D241" t="s">
        <v>51</v>
      </c>
      <c r="E241" t="s">
        <v>52</v>
      </c>
      <c r="F241" t="s">
        <v>18</v>
      </c>
      <c r="G241" s="1">
        <v>44744</v>
      </c>
      <c r="H241" s="1">
        <v>45071</v>
      </c>
      <c r="I241" t="s">
        <v>991</v>
      </c>
      <c r="J241" t="s">
        <v>992</v>
      </c>
      <c r="K241" t="s">
        <v>37</v>
      </c>
      <c r="L241" t="s">
        <v>55</v>
      </c>
      <c r="M241" t="s">
        <v>22</v>
      </c>
      <c r="N241" t="str">
        <f t="shared" si="12"/>
        <v>Clean</v>
      </c>
      <c r="O241" t="str">
        <f t="shared" si="15"/>
        <v/>
      </c>
      <c r="P241" t="str">
        <f t="shared" si="13"/>
        <v>Clean</v>
      </c>
      <c r="Q241" t="str">
        <f t="shared" si="14"/>
        <v>Valid</v>
      </c>
    </row>
    <row r="242" spans="1:17" x14ac:dyDescent="0.3">
      <c r="A242" t="s">
        <v>993</v>
      </c>
      <c r="B242" t="s">
        <v>400</v>
      </c>
      <c r="C242" t="s">
        <v>87</v>
      </c>
      <c r="D242" t="s">
        <v>25</v>
      </c>
      <c r="E242" t="s">
        <v>26</v>
      </c>
      <c r="F242" t="s">
        <v>18</v>
      </c>
      <c r="G242" s="1">
        <v>45335</v>
      </c>
      <c r="H242" s="1">
        <v>45512</v>
      </c>
      <c r="I242" t="s">
        <v>994</v>
      </c>
      <c r="J242" t="s">
        <v>995</v>
      </c>
      <c r="K242" t="s">
        <v>37</v>
      </c>
      <c r="L242" t="s">
        <v>30</v>
      </c>
      <c r="M242" t="s">
        <v>22</v>
      </c>
      <c r="N242" t="str">
        <f t="shared" si="12"/>
        <v>Clean</v>
      </c>
      <c r="O242" t="str">
        <f t="shared" si="15"/>
        <v/>
      </c>
      <c r="P242" t="str">
        <f t="shared" si="13"/>
        <v>Clean</v>
      </c>
      <c r="Q242" t="str">
        <f t="shared" si="14"/>
        <v>Valid</v>
      </c>
    </row>
    <row r="243" spans="1:17" x14ac:dyDescent="0.3">
      <c r="A243" t="s">
        <v>996</v>
      </c>
      <c r="B243" t="s">
        <v>997</v>
      </c>
      <c r="C243" t="s">
        <v>87</v>
      </c>
      <c r="D243" t="s">
        <v>25</v>
      </c>
      <c r="E243" t="s">
        <v>26</v>
      </c>
      <c r="F243" t="s">
        <v>18</v>
      </c>
      <c r="G243" s="1">
        <v>44456</v>
      </c>
      <c r="H243" s="1">
        <v>44646</v>
      </c>
      <c r="I243" t="s">
        <v>998</v>
      </c>
      <c r="J243" t="s">
        <v>999</v>
      </c>
      <c r="K243" t="s">
        <v>37</v>
      </c>
      <c r="L243" t="s">
        <v>30</v>
      </c>
      <c r="M243" t="s">
        <v>22</v>
      </c>
      <c r="N243" t="str">
        <f t="shared" si="12"/>
        <v>Clean</v>
      </c>
      <c r="O243" t="str">
        <f t="shared" si="15"/>
        <v/>
      </c>
      <c r="P243" t="str">
        <f t="shared" si="13"/>
        <v>Clean</v>
      </c>
      <c r="Q243" t="str">
        <f t="shared" si="14"/>
        <v>Valid</v>
      </c>
    </row>
    <row r="244" spans="1:17" x14ac:dyDescent="0.3">
      <c r="A244" t="s">
        <v>1000</v>
      </c>
      <c r="B244" t="s">
        <v>1001</v>
      </c>
      <c r="C244" t="s">
        <v>76</v>
      </c>
      <c r="D244" t="s">
        <v>25</v>
      </c>
      <c r="E244" t="s">
        <v>26</v>
      </c>
      <c r="F244" t="s">
        <v>160</v>
      </c>
      <c r="G244" s="1">
        <v>43976</v>
      </c>
      <c r="H244" s="1">
        <v>44205</v>
      </c>
      <c r="I244" t="s">
        <v>1002</v>
      </c>
      <c r="J244" t="s">
        <v>1003</v>
      </c>
      <c r="K244" t="s">
        <v>21</v>
      </c>
      <c r="L244" t="s">
        <v>116</v>
      </c>
      <c r="M244" t="s">
        <v>22</v>
      </c>
      <c r="N244" t="str">
        <f t="shared" si="12"/>
        <v>Clean</v>
      </c>
      <c r="O244" t="str">
        <f t="shared" si="15"/>
        <v/>
      </c>
      <c r="P244" t="str">
        <f t="shared" si="13"/>
        <v>Clean</v>
      </c>
      <c r="Q244" t="str">
        <f t="shared" si="14"/>
        <v>Valid</v>
      </c>
    </row>
    <row r="245" spans="1:17" x14ac:dyDescent="0.3">
      <c r="A245" t="s">
        <v>1004</v>
      </c>
      <c r="B245" t="s">
        <v>1005</v>
      </c>
      <c r="C245" t="s">
        <v>181</v>
      </c>
      <c r="D245" t="s">
        <v>34</v>
      </c>
      <c r="E245" t="s">
        <v>26</v>
      </c>
      <c r="F245" t="s">
        <v>18</v>
      </c>
      <c r="G245" s="1">
        <v>44306</v>
      </c>
      <c r="H245" s="1">
        <v>44584</v>
      </c>
      <c r="I245" t="s">
        <v>1006</v>
      </c>
      <c r="J245" t="s">
        <v>1007</v>
      </c>
      <c r="K245" t="s">
        <v>29</v>
      </c>
      <c r="M245" t="s">
        <v>3735</v>
      </c>
      <c r="N245" t="str">
        <f t="shared" si="12"/>
        <v>Flagged</v>
      </c>
      <c r="O245" t="str">
        <f t="shared" si="15"/>
        <v>Missing Verified_By</v>
      </c>
      <c r="P245" t="str">
        <f t="shared" si="13"/>
        <v>Flagged for Review</v>
      </c>
      <c r="Q245" t="str">
        <f t="shared" si="14"/>
        <v>Valid</v>
      </c>
    </row>
    <row r="246" spans="1:17" x14ac:dyDescent="0.3">
      <c r="A246" t="s">
        <v>1008</v>
      </c>
      <c r="B246" t="s">
        <v>1009</v>
      </c>
      <c r="C246" t="s">
        <v>76</v>
      </c>
      <c r="D246" t="s">
        <v>67</v>
      </c>
      <c r="E246" t="s">
        <v>26</v>
      </c>
      <c r="F246" t="s">
        <v>160</v>
      </c>
      <c r="G246" s="1">
        <v>43715</v>
      </c>
      <c r="H246" s="1">
        <v>43875</v>
      </c>
      <c r="I246" t="s">
        <v>1010</v>
      </c>
      <c r="J246" t="s">
        <v>1011</v>
      </c>
      <c r="K246" t="s">
        <v>21</v>
      </c>
      <c r="L246" t="s">
        <v>91</v>
      </c>
      <c r="M246" t="s">
        <v>22</v>
      </c>
      <c r="N246" t="str">
        <f t="shared" si="12"/>
        <v>Clean</v>
      </c>
      <c r="O246" t="str">
        <f t="shared" si="15"/>
        <v/>
      </c>
      <c r="P246" t="str">
        <f t="shared" si="13"/>
        <v>Clean</v>
      </c>
      <c r="Q246" t="str">
        <f t="shared" si="14"/>
        <v>Valid</v>
      </c>
    </row>
    <row r="247" spans="1:17" x14ac:dyDescent="0.3">
      <c r="A247" t="s">
        <v>1012</v>
      </c>
      <c r="B247" t="s">
        <v>1013</v>
      </c>
      <c r="C247" t="s">
        <v>33</v>
      </c>
      <c r="D247" t="s">
        <v>16</v>
      </c>
      <c r="E247" t="s">
        <v>17</v>
      </c>
      <c r="F247" t="s">
        <v>18</v>
      </c>
      <c r="G247" s="1">
        <v>43710</v>
      </c>
      <c r="H247" s="1">
        <v>43794</v>
      </c>
      <c r="I247" t="s">
        <v>1014</v>
      </c>
      <c r="J247" t="s">
        <v>1015</v>
      </c>
      <c r="K247" t="s">
        <v>21</v>
      </c>
      <c r="L247" t="s">
        <v>60</v>
      </c>
      <c r="M247" t="s">
        <v>22</v>
      </c>
      <c r="N247" t="str">
        <f t="shared" si="12"/>
        <v>Clean</v>
      </c>
      <c r="O247" t="str">
        <f t="shared" si="15"/>
        <v/>
      </c>
      <c r="P247" t="str">
        <f t="shared" si="13"/>
        <v>Clean</v>
      </c>
      <c r="Q247" t="str">
        <f t="shared" si="14"/>
        <v>Valid</v>
      </c>
    </row>
    <row r="248" spans="1:17" x14ac:dyDescent="0.3">
      <c r="A248" t="s">
        <v>1016</v>
      </c>
      <c r="B248" t="s">
        <v>1017</v>
      </c>
      <c r="C248" t="s">
        <v>40</v>
      </c>
      <c r="D248" t="s">
        <v>25</v>
      </c>
      <c r="E248" t="s">
        <v>26</v>
      </c>
      <c r="F248" t="s">
        <v>160</v>
      </c>
      <c r="G248" s="1">
        <v>43915</v>
      </c>
      <c r="H248" s="1">
        <v>43993</v>
      </c>
      <c r="I248" t="s">
        <v>1018</v>
      </c>
      <c r="J248" t="s">
        <v>1019</v>
      </c>
      <c r="K248" t="s">
        <v>90</v>
      </c>
      <c r="L248" t="s">
        <v>30</v>
      </c>
      <c r="M248" t="s">
        <v>22</v>
      </c>
      <c r="N248" t="str">
        <f t="shared" si="12"/>
        <v>Clean</v>
      </c>
      <c r="O248" t="str">
        <f t="shared" si="15"/>
        <v/>
      </c>
      <c r="P248" t="str">
        <f t="shared" si="13"/>
        <v>Clean</v>
      </c>
      <c r="Q248" t="str">
        <f t="shared" si="14"/>
        <v>Valid</v>
      </c>
    </row>
    <row r="249" spans="1:17" x14ac:dyDescent="0.3">
      <c r="A249" t="s">
        <v>1020</v>
      </c>
      <c r="B249" t="s">
        <v>1021</v>
      </c>
      <c r="C249" t="s">
        <v>76</v>
      </c>
      <c r="D249" t="s">
        <v>25</v>
      </c>
      <c r="E249" t="s">
        <v>26</v>
      </c>
      <c r="F249" t="s">
        <v>160</v>
      </c>
      <c r="G249" s="1">
        <v>44937</v>
      </c>
      <c r="H249" s="1">
        <v>44993</v>
      </c>
      <c r="I249" t="s">
        <v>1022</v>
      </c>
      <c r="J249" t="s">
        <v>1023</v>
      </c>
      <c r="K249" t="s">
        <v>37</v>
      </c>
      <c r="L249" t="s">
        <v>30</v>
      </c>
      <c r="M249" t="s">
        <v>22</v>
      </c>
      <c r="N249" t="str">
        <f t="shared" si="12"/>
        <v>Clean</v>
      </c>
      <c r="O249" t="str">
        <f t="shared" si="15"/>
        <v/>
      </c>
      <c r="P249" t="str">
        <f t="shared" si="13"/>
        <v>Clean</v>
      </c>
      <c r="Q249" t="str">
        <f t="shared" si="14"/>
        <v>Valid</v>
      </c>
    </row>
    <row r="250" spans="1:17" x14ac:dyDescent="0.3">
      <c r="A250" t="s">
        <v>1024</v>
      </c>
      <c r="B250" t="s">
        <v>1025</v>
      </c>
      <c r="C250" t="s">
        <v>76</v>
      </c>
      <c r="D250" t="s">
        <v>16</v>
      </c>
      <c r="E250" t="s">
        <v>17</v>
      </c>
      <c r="F250" t="s">
        <v>160</v>
      </c>
      <c r="G250" s="1">
        <v>45618</v>
      </c>
      <c r="H250" s="1">
        <v>45730</v>
      </c>
      <c r="I250" t="s">
        <v>1026</v>
      </c>
      <c r="J250" t="s">
        <v>1027</v>
      </c>
      <c r="K250" t="s">
        <v>90</v>
      </c>
      <c r="L250" t="s">
        <v>91</v>
      </c>
      <c r="M250" t="s">
        <v>22</v>
      </c>
      <c r="N250" t="str">
        <f t="shared" si="12"/>
        <v>Clean</v>
      </c>
      <c r="O250" t="str">
        <f t="shared" si="15"/>
        <v/>
      </c>
      <c r="P250" t="str">
        <f t="shared" si="13"/>
        <v>Clean</v>
      </c>
      <c r="Q250" t="str">
        <f t="shared" si="14"/>
        <v>Valid</v>
      </c>
    </row>
    <row r="251" spans="1:17" x14ac:dyDescent="0.3">
      <c r="A251" t="s">
        <v>1028</v>
      </c>
      <c r="B251" t="s">
        <v>1029</v>
      </c>
      <c r="C251" t="s">
        <v>87</v>
      </c>
      <c r="D251" t="s">
        <v>25</v>
      </c>
      <c r="E251" t="s">
        <v>26</v>
      </c>
      <c r="F251" t="s">
        <v>18</v>
      </c>
      <c r="G251" s="1">
        <v>44158</v>
      </c>
      <c r="H251" s="1">
        <v>44221</v>
      </c>
      <c r="I251" t="s">
        <v>1030</v>
      </c>
      <c r="J251" t="s">
        <v>1031</v>
      </c>
      <c r="K251" t="s">
        <v>21</v>
      </c>
      <c r="M251" t="s">
        <v>3735</v>
      </c>
      <c r="N251" t="str">
        <f t="shared" si="12"/>
        <v>Flagged</v>
      </c>
      <c r="O251" t="str">
        <f t="shared" si="15"/>
        <v>Missing Verified_By</v>
      </c>
      <c r="P251" t="str">
        <f t="shared" si="13"/>
        <v>Flagged for Review</v>
      </c>
      <c r="Q251" t="str">
        <f t="shared" si="14"/>
        <v>Valid</v>
      </c>
    </row>
    <row r="252" spans="1:17" x14ac:dyDescent="0.3">
      <c r="A252" t="s">
        <v>1032</v>
      </c>
      <c r="B252" t="s">
        <v>1033</v>
      </c>
      <c r="C252" t="s">
        <v>76</v>
      </c>
      <c r="D252" t="s">
        <v>41</v>
      </c>
      <c r="E252" t="s">
        <v>17</v>
      </c>
      <c r="F252" t="s">
        <v>18</v>
      </c>
      <c r="G252" s="1">
        <v>44774</v>
      </c>
      <c r="H252" s="1">
        <v>44859</v>
      </c>
      <c r="I252" t="s">
        <v>1034</v>
      </c>
      <c r="J252" t="s">
        <v>1035</v>
      </c>
      <c r="K252" t="s">
        <v>21</v>
      </c>
      <c r="L252" t="s">
        <v>60</v>
      </c>
      <c r="M252" t="s">
        <v>22</v>
      </c>
      <c r="N252" t="str">
        <f t="shared" si="12"/>
        <v>Clean</v>
      </c>
      <c r="O252" t="str">
        <f t="shared" si="15"/>
        <v/>
      </c>
      <c r="P252" t="str">
        <f t="shared" si="13"/>
        <v>Clean</v>
      </c>
      <c r="Q252" t="str">
        <f t="shared" si="14"/>
        <v>Valid</v>
      </c>
    </row>
    <row r="253" spans="1:17" x14ac:dyDescent="0.3">
      <c r="A253" t="s">
        <v>1036</v>
      </c>
      <c r="B253" t="s">
        <v>1037</v>
      </c>
      <c r="C253" t="s">
        <v>33</v>
      </c>
      <c r="D253" t="s">
        <v>77</v>
      </c>
      <c r="E253" t="s">
        <v>52</v>
      </c>
      <c r="F253" t="s">
        <v>18</v>
      </c>
      <c r="G253" s="1">
        <v>44185</v>
      </c>
      <c r="H253" s="1">
        <v>44515</v>
      </c>
      <c r="I253" t="s">
        <v>1038</v>
      </c>
      <c r="J253" t="s">
        <v>1039</v>
      </c>
      <c r="K253" t="s">
        <v>29</v>
      </c>
      <c r="L253" t="s">
        <v>55</v>
      </c>
      <c r="M253" t="s">
        <v>22</v>
      </c>
      <c r="N253" t="str">
        <f t="shared" si="12"/>
        <v>Clean</v>
      </c>
      <c r="O253" t="str">
        <f t="shared" si="15"/>
        <v/>
      </c>
      <c r="P253" t="str">
        <f t="shared" si="13"/>
        <v>Clean</v>
      </c>
      <c r="Q253" t="str">
        <f t="shared" si="14"/>
        <v>Valid</v>
      </c>
    </row>
    <row r="254" spans="1:17" x14ac:dyDescent="0.3">
      <c r="A254" t="s">
        <v>1040</v>
      </c>
      <c r="B254" t="s">
        <v>1041</v>
      </c>
      <c r="C254" t="s">
        <v>181</v>
      </c>
      <c r="D254" t="s">
        <v>41</v>
      </c>
      <c r="E254" t="s">
        <v>17</v>
      </c>
      <c r="F254" t="s">
        <v>18</v>
      </c>
      <c r="G254" s="1">
        <v>45331</v>
      </c>
      <c r="H254" s="1">
        <v>45647</v>
      </c>
      <c r="I254" t="s">
        <v>1042</v>
      </c>
      <c r="J254" t="s">
        <v>1043</v>
      </c>
      <c r="K254" t="s">
        <v>21</v>
      </c>
      <c r="L254" t="s">
        <v>55</v>
      </c>
      <c r="M254" t="s">
        <v>22</v>
      </c>
      <c r="N254" t="str">
        <f t="shared" si="12"/>
        <v>Clean</v>
      </c>
      <c r="O254" t="str">
        <f t="shared" si="15"/>
        <v/>
      </c>
      <c r="P254" t="str">
        <f t="shared" si="13"/>
        <v>Clean</v>
      </c>
      <c r="Q254" t="str">
        <f t="shared" si="14"/>
        <v>Valid</v>
      </c>
    </row>
    <row r="255" spans="1:17" x14ac:dyDescent="0.3">
      <c r="A255" t="s">
        <v>1044</v>
      </c>
      <c r="B255" t="s">
        <v>1045</v>
      </c>
      <c r="C255" t="s">
        <v>15</v>
      </c>
      <c r="D255" t="s">
        <v>67</v>
      </c>
      <c r="E255" t="s">
        <v>26</v>
      </c>
      <c r="F255" t="s">
        <v>18</v>
      </c>
      <c r="G255" s="1">
        <v>43947</v>
      </c>
      <c r="H255" s="1">
        <v>43994</v>
      </c>
      <c r="I255" t="s">
        <v>1046</v>
      </c>
      <c r="J255" t="s">
        <v>1047</v>
      </c>
      <c r="K255" t="s">
        <v>90</v>
      </c>
      <c r="M255" t="s">
        <v>3735</v>
      </c>
      <c r="N255" t="str">
        <f t="shared" si="12"/>
        <v>Flagged</v>
      </c>
      <c r="O255" t="str">
        <f t="shared" si="15"/>
        <v>Missing Verified_By</v>
      </c>
      <c r="P255" t="str">
        <f t="shared" si="13"/>
        <v>Flagged for Review</v>
      </c>
      <c r="Q255" t="str">
        <f t="shared" si="14"/>
        <v>Valid</v>
      </c>
    </row>
    <row r="256" spans="1:17" x14ac:dyDescent="0.3">
      <c r="A256" t="s">
        <v>1048</v>
      </c>
      <c r="B256" t="s">
        <v>1049</v>
      </c>
      <c r="C256" t="s">
        <v>181</v>
      </c>
      <c r="D256" t="s">
        <v>34</v>
      </c>
      <c r="E256" t="s">
        <v>26</v>
      </c>
      <c r="F256" t="s">
        <v>18</v>
      </c>
      <c r="G256" s="1">
        <v>45427</v>
      </c>
      <c r="H256" s="1">
        <v>45551</v>
      </c>
      <c r="I256" t="s">
        <v>1050</v>
      </c>
      <c r="J256" t="s">
        <v>1051</v>
      </c>
      <c r="K256" t="s">
        <v>21</v>
      </c>
      <c r="L256" t="s">
        <v>55</v>
      </c>
      <c r="M256" t="s">
        <v>22</v>
      </c>
      <c r="N256" t="str">
        <f t="shared" si="12"/>
        <v>Clean</v>
      </c>
      <c r="O256" t="str">
        <f t="shared" si="15"/>
        <v/>
      </c>
      <c r="P256" t="str">
        <f t="shared" si="13"/>
        <v>Clean</v>
      </c>
      <c r="Q256" t="str">
        <f t="shared" si="14"/>
        <v>Valid</v>
      </c>
    </row>
    <row r="257" spans="1:17" x14ac:dyDescent="0.3">
      <c r="A257" t="s">
        <v>1052</v>
      </c>
      <c r="B257" t="s">
        <v>1053</v>
      </c>
      <c r="C257" t="s">
        <v>33</v>
      </c>
      <c r="D257" t="s">
        <v>25</v>
      </c>
      <c r="E257" t="s">
        <v>26</v>
      </c>
      <c r="F257" t="s">
        <v>18</v>
      </c>
      <c r="G257" s="1">
        <v>44355</v>
      </c>
      <c r="H257" s="1">
        <v>44582</v>
      </c>
      <c r="I257" t="s">
        <v>1054</v>
      </c>
      <c r="J257" t="s">
        <v>1055</v>
      </c>
      <c r="K257" t="s">
        <v>29</v>
      </c>
      <c r="L257" t="s">
        <v>60</v>
      </c>
      <c r="M257" t="s">
        <v>22</v>
      </c>
      <c r="N257" t="str">
        <f t="shared" si="12"/>
        <v>Clean</v>
      </c>
      <c r="O257" t="str">
        <f t="shared" si="15"/>
        <v/>
      </c>
      <c r="P257" t="str">
        <f t="shared" si="13"/>
        <v>Clean</v>
      </c>
      <c r="Q257" t="str">
        <f t="shared" si="14"/>
        <v>Valid</v>
      </c>
    </row>
    <row r="258" spans="1:17" x14ac:dyDescent="0.3">
      <c r="A258" t="s">
        <v>1056</v>
      </c>
      <c r="B258" t="s">
        <v>1057</v>
      </c>
      <c r="C258" t="s">
        <v>46</v>
      </c>
      <c r="D258" t="s">
        <v>77</v>
      </c>
      <c r="E258" t="s">
        <v>52</v>
      </c>
      <c r="F258" t="s">
        <v>160</v>
      </c>
      <c r="G258" s="1">
        <v>45083</v>
      </c>
      <c r="H258" s="1">
        <v>45337</v>
      </c>
      <c r="I258" t="s">
        <v>1058</v>
      </c>
      <c r="J258" t="s">
        <v>1059</v>
      </c>
      <c r="K258" t="s">
        <v>21</v>
      </c>
      <c r="L258" t="s">
        <v>55</v>
      </c>
      <c r="M258" t="s">
        <v>22</v>
      </c>
      <c r="N258" t="str">
        <f t="shared" ref="N258:N321" si="16">IF(OR(B258="",H258="",I258="",J258="",L258="",Q258="Invalid"),"Flagged","Clean")</f>
        <v>Clean</v>
      </c>
      <c r="O258" t="str">
        <f t="shared" si="15"/>
        <v/>
      </c>
      <c r="P258" t="str">
        <f t="shared" ref="P258:P321" si="17">IF(N258="Clean","Clean","Flagged for Review")</f>
        <v>Clean</v>
      </c>
      <c r="Q258" t="str">
        <f t="shared" ref="Q258:Q321" si="18">IF(I258="","Blank",IF(ISERROR(FIND("@",I258&amp;"")),"Invalid",IF(FIND("@",I258&amp;"")&lt;2,"Invalid",IF(LEN(I258&amp;"")-FIND("@",I258&amp;"")&lt;4,"Invalid","Valid"))))</f>
        <v>Valid</v>
      </c>
    </row>
    <row r="259" spans="1:17" x14ac:dyDescent="0.3">
      <c r="A259" t="s">
        <v>1060</v>
      </c>
      <c r="B259" t="s">
        <v>1061</v>
      </c>
      <c r="C259" t="s">
        <v>15</v>
      </c>
      <c r="D259" t="s">
        <v>41</v>
      </c>
      <c r="E259" t="s">
        <v>17</v>
      </c>
      <c r="F259" t="s">
        <v>160</v>
      </c>
      <c r="G259" s="1">
        <v>43532</v>
      </c>
      <c r="H259" s="1">
        <v>43665</v>
      </c>
      <c r="I259" t="s">
        <v>1062</v>
      </c>
      <c r="J259" t="s">
        <v>140</v>
      </c>
      <c r="K259" t="s">
        <v>29</v>
      </c>
      <c r="L259" t="s">
        <v>55</v>
      </c>
      <c r="M259" t="s">
        <v>22</v>
      </c>
      <c r="N259" t="str">
        <f t="shared" si="16"/>
        <v>Clean</v>
      </c>
      <c r="O259" t="str">
        <f t="shared" ref="O259:O322" si="19">TRIM(IF(B259="","Missing Vendor_Name ","")&amp;IF(I259="","Missing Contact_Email ","")&amp;IF(J259="","Missing Account_Code ","")&amp;IF(L259="","Missing Verified_By ","")&amp;IF(Q259="Invalid","Invalid Email Format ","")&amp;IF(H259="","Missing Last_Updated ",""))</f>
        <v/>
      </c>
      <c r="P259" t="str">
        <f t="shared" si="17"/>
        <v>Clean</v>
      </c>
      <c r="Q259" t="str">
        <f t="shared" si="18"/>
        <v>Valid</v>
      </c>
    </row>
    <row r="260" spans="1:17" x14ac:dyDescent="0.3">
      <c r="A260" t="s">
        <v>1063</v>
      </c>
      <c r="B260" t="s">
        <v>1064</v>
      </c>
      <c r="C260" t="s">
        <v>181</v>
      </c>
      <c r="D260" t="s">
        <v>51</v>
      </c>
      <c r="E260" t="s">
        <v>52</v>
      </c>
      <c r="F260" t="s">
        <v>160</v>
      </c>
      <c r="G260" s="1">
        <v>43779</v>
      </c>
      <c r="H260" s="1">
        <v>43817</v>
      </c>
      <c r="I260" t="s">
        <v>1065</v>
      </c>
      <c r="J260" t="s">
        <v>1066</v>
      </c>
      <c r="K260" t="s">
        <v>90</v>
      </c>
      <c r="L260" t="s">
        <v>91</v>
      </c>
      <c r="M260" t="s">
        <v>22</v>
      </c>
      <c r="N260" t="str">
        <f t="shared" si="16"/>
        <v>Clean</v>
      </c>
      <c r="O260" t="str">
        <f t="shared" si="19"/>
        <v/>
      </c>
      <c r="P260" t="str">
        <f t="shared" si="17"/>
        <v>Clean</v>
      </c>
      <c r="Q260" t="str">
        <f t="shared" si="18"/>
        <v>Valid</v>
      </c>
    </row>
    <row r="261" spans="1:17" x14ac:dyDescent="0.3">
      <c r="A261" t="s">
        <v>1067</v>
      </c>
      <c r="B261" t="s">
        <v>1068</v>
      </c>
      <c r="C261" t="s">
        <v>181</v>
      </c>
      <c r="D261" t="s">
        <v>34</v>
      </c>
      <c r="E261" t="s">
        <v>26</v>
      </c>
      <c r="F261" t="s">
        <v>18</v>
      </c>
      <c r="G261" s="1">
        <v>44553</v>
      </c>
      <c r="H261" s="1">
        <v>44658</v>
      </c>
      <c r="I261" t="s">
        <v>1069</v>
      </c>
      <c r="J261" t="s">
        <v>1070</v>
      </c>
      <c r="K261" t="s">
        <v>37</v>
      </c>
      <c r="L261" t="s">
        <v>91</v>
      </c>
      <c r="M261" t="s">
        <v>22</v>
      </c>
      <c r="N261" t="str">
        <f t="shared" si="16"/>
        <v>Clean</v>
      </c>
      <c r="O261" t="str">
        <f t="shared" si="19"/>
        <v/>
      </c>
      <c r="P261" t="str">
        <f t="shared" si="17"/>
        <v>Clean</v>
      </c>
      <c r="Q261" t="str">
        <f t="shared" si="18"/>
        <v>Valid</v>
      </c>
    </row>
    <row r="262" spans="1:17" x14ac:dyDescent="0.3">
      <c r="A262" t="s">
        <v>1071</v>
      </c>
      <c r="B262" t="s">
        <v>1072</v>
      </c>
      <c r="C262" t="s">
        <v>15</v>
      </c>
      <c r="D262" t="s">
        <v>34</v>
      </c>
      <c r="E262" t="s">
        <v>26</v>
      </c>
      <c r="F262" t="s">
        <v>18</v>
      </c>
      <c r="G262" s="1">
        <v>45323</v>
      </c>
      <c r="H262" s="1">
        <v>45360</v>
      </c>
      <c r="I262" t="s">
        <v>1073</v>
      </c>
      <c r="J262" t="s">
        <v>1074</v>
      </c>
      <c r="K262" t="s">
        <v>21</v>
      </c>
      <c r="L262" t="s">
        <v>30</v>
      </c>
      <c r="M262" t="s">
        <v>22</v>
      </c>
      <c r="N262" t="str">
        <f t="shared" si="16"/>
        <v>Clean</v>
      </c>
      <c r="O262" t="str">
        <f t="shared" si="19"/>
        <v/>
      </c>
      <c r="P262" t="str">
        <f t="shared" si="17"/>
        <v>Clean</v>
      </c>
      <c r="Q262" t="str">
        <f t="shared" si="18"/>
        <v>Valid</v>
      </c>
    </row>
    <row r="263" spans="1:17" x14ac:dyDescent="0.3">
      <c r="A263" t="s">
        <v>1075</v>
      </c>
      <c r="B263" t="s">
        <v>1076</v>
      </c>
      <c r="C263" t="s">
        <v>15</v>
      </c>
      <c r="D263" t="s">
        <v>25</v>
      </c>
      <c r="E263" t="s">
        <v>26</v>
      </c>
      <c r="F263" t="s">
        <v>18</v>
      </c>
      <c r="G263" s="1">
        <v>45024</v>
      </c>
      <c r="H263" s="1">
        <v>45184</v>
      </c>
      <c r="I263" t="s">
        <v>1077</v>
      </c>
      <c r="J263" t="s">
        <v>1078</v>
      </c>
      <c r="K263" t="s">
        <v>90</v>
      </c>
      <c r="L263" t="s">
        <v>91</v>
      </c>
      <c r="M263" t="s">
        <v>22</v>
      </c>
      <c r="N263" t="str">
        <f t="shared" si="16"/>
        <v>Clean</v>
      </c>
      <c r="O263" t="str">
        <f t="shared" si="19"/>
        <v/>
      </c>
      <c r="P263" t="str">
        <f t="shared" si="17"/>
        <v>Clean</v>
      </c>
      <c r="Q263" t="str">
        <f t="shared" si="18"/>
        <v>Valid</v>
      </c>
    </row>
    <row r="264" spans="1:17" x14ac:dyDescent="0.3">
      <c r="A264" t="s">
        <v>1079</v>
      </c>
      <c r="B264" t="s">
        <v>1080</v>
      </c>
      <c r="C264" t="s">
        <v>33</v>
      </c>
      <c r="D264" t="s">
        <v>34</v>
      </c>
      <c r="E264" t="s">
        <v>26</v>
      </c>
      <c r="F264" t="s">
        <v>18</v>
      </c>
      <c r="G264" s="1">
        <v>44448</v>
      </c>
      <c r="H264" s="1">
        <v>44536</v>
      </c>
      <c r="I264" t="s">
        <v>1081</v>
      </c>
      <c r="K264" t="s">
        <v>37</v>
      </c>
      <c r="L264" t="s">
        <v>60</v>
      </c>
      <c r="M264" t="s">
        <v>3735</v>
      </c>
      <c r="N264" t="str">
        <f t="shared" si="16"/>
        <v>Flagged</v>
      </c>
      <c r="O264" t="str">
        <f t="shared" si="19"/>
        <v>Missing Account_Code</v>
      </c>
      <c r="P264" t="str">
        <f t="shared" si="17"/>
        <v>Flagged for Review</v>
      </c>
      <c r="Q264" t="str">
        <f t="shared" si="18"/>
        <v>Valid</v>
      </c>
    </row>
    <row r="265" spans="1:17" x14ac:dyDescent="0.3">
      <c r="A265" t="s">
        <v>1082</v>
      </c>
      <c r="B265" t="s">
        <v>1083</v>
      </c>
      <c r="C265" t="s">
        <v>76</v>
      </c>
      <c r="D265" t="s">
        <v>16</v>
      </c>
      <c r="E265" t="s">
        <v>17</v>
      </c>
      <c r="F265" t="s">
        <v>18</v>
      </c>
      <c r="G265" s="1">
        <v>43474</v>
      </c>
      <c r="H265" s="1">
        <v>43648</v>
      </c>
      <c r="I265" t="s">
        <v>1084</v>
      </c>
      <c r="J265" t="s">
        <v>1085</v>
      </c>
      <c r="K265" t="s">
        <v>29</v>
      </c>
      <c r="M265" t="s">
        <v>3735</v>
      </c>
      <c r="N265" t="str">
        <f t="shared" si="16"/>
        <v>Flagged</v>
      </c>
      <c r="O265" t="str">
        <f t="shared" si="19"/>
        <v>Missing Verified_By</v>
      </c>
      <c r="P265" t="str">
        <f t="shared" si="17"/>
        <v>Flagged for Review</v>
      </c>
      <c r="Q265" t="str">
        <f t="shared" si="18"/>
        <v>Valid</v>
      </c>
    </row>
    <row r="266" spans="1:17" x14ac:dyDescent="0.3">
      <c r="A266" t="s">
        <v>1086</v>
      </c>
      <c r="B266" t="s">
        <v>1087</v>
      </c>
      <c r="C266" t="s">
        <v>87</v>
      </c>
      <c r="D266" t="s">
        <v>34</v>
      </c>
      <c r="E266" t="s">
        <v>26</v>
      </c>
      <c r="F266" t="s">
        <v>160</v>
      </c>
      <c r="G266" s="1">
        <v>45203</v>
      </c>
      <c r="H266" s="1">
        <v>45256</v>
      </c>
      <c r="I266" t="s">
        <v>1088</v>
      </c>
      <c r="J266" t="s">
        <v>1089</v>
      </c>
      <c r="K266" t="s">
        <v>21</v>
      </c>
      <c r="M266" t="s">
        <v>3735</v>
      </c>
      <c r="N266" t="str">
        <f t="shared" si="16"/>
        <v>Flagged</v>
      </c>
      <c r="O266" t="str">
        <f t="shared" si="19"/>
        <v>Missing Verified_By</v>
      </c>
      <c r="P266" t="str">
        <f t="shared" si="17"/>
        <v>Flagged for Review</v>
      </c>
      <c r="Q266" t="str">
        <f t="shared" si="18"/>
        <v>Valid</v>
      </c>
    </row>
    <row r="267" spans="1:17" x14ac:dyDescent="0.3">
      <c r="A267" t="s">
        <v>1090</v>
      </c>
      <c r="B267" t="s">
        <v>1091</v>
      </c>
      <c r="C267" t="s">
        <v>33</v>
      </c>
      <c r="D267" t="s">
        <v>77</v>
      </c>
      <c r="E267" t="s">
        <v>52</v>
      </c>
      <c r="F267" t="s">
        <v>160</v>
      </c>
      <c r="G267" s="1">
        <v>45610</v>
      </c>
      <c r="H267" s="1">
        <v>45768</v>
      </c>
      <c r="I267" t="s">
        <v>1092</v>
      </c>
      <c r="J267" t="s">
        <v>1093</v>
      </c>
      <c r="K267" t="s">
        <v>90</v>
      </c>
      <c r="L267" t="s">
        <v>91</v>
      </c>
      <c r="M267" t="s">
        <v>22</v>
      </c>
      <c r="N267" t="str">
        <f t="shared" si="16"/>
        <v>Clean</v>
      </c>
      <c r="O267" t="str">
        <f t="shared" si="19"/>
        <v/>
      </c>
      <c r="P267" t="str">
        <f t="shared" si="17"/>
        <v>Clean</v>
      </c>
      <c r="Q267" t="str">
        <f t="shared" si="18"/>
        <v>Valid</v>
      </c>
    </row>
    <row r="268" spans="1:17" x14ac:dyDescent="0.3">
      <c r="A268" t="s">
        <v>1094</v>
      </c>
      <c r="B268" t="s">
        <v>224</v>
      </c>
      <c r="C268" t="s">
        <v>15</v>
      </c>
      <c r="D268" t="s">
        <v>25</v>
      </c>
      <c r="E268" t="s">
        <v>26</v>
      </c>
      <c r="F268" t="s">
        <v>18</v>
      </c>
      <c r="G268" s="1">
        <v>43647</v>
      </c>
      <c r="H268" s="1">
        <v>43852</v>
      </c>
      <c r="I268" t="s">
        <v>225</v>
      </c>
      <c r="J268" t="s">
        <v>1095</v>
      </c>
      <c r="K268" t="s">
        <v>37</v>
      </c>
      <c r="L268" t="s">
        <v>60</v>
      </c>
      <c r="M268" t="s">
        <v>22</v>
      </c>
      <c r="N268" t="str">
        <f t="shared" si="16"/>
        <v>Clean</v>
      </c>
      <c r="O268" t="str">
        <f t="shared" si="19"/>
        <v/>
      </c>
      <c r="P268" t="str">
        <f t="shared" si="17"/>
        <v>Clean</v>
      </c>
      <c r="Q268" t="str">
        <f t="shared" si="18"/>
        <v>Valid</v>
      </c>
    </row>
    <row r="269" spans="1:17" x14ac:dyDescent="0.3">
      <c r="A269" t="s">
        <v>1096</v>
      </c>
      <c r="B269" t="s">
        <v>1097</v>
      </c>
      <c r="C269" t="s">
        <v>76</v>
      </c>
      <c r="D269" t="s">
        <v>51</v>
      </c>
      <c r="E269" t="s">
        <v>52</v>
      </c>
      <c r="F269" t="s">
        <v>18</v>
      </c>
      <c r="G269" s="1">
        <v>44710</v>
      </c>
      <c r="H269" s="1">
        <v>45028</v>
      </c>
      <c r="I269" t="s">
        <v>1098</v>
      </c>
      <c r="J269" t="s">
        <v>1099</v>
      </c>
      <c r="K269" t="s">
        <v>29</v>
      </c>
      <c r="L269" t="s">
        <v>91</v>
      </c>
      <c r="M269" t="s">
        <v>22</v>
      </c>
      <c r="N269" t="str">
        <f t="shared" si="16"/>
        <v>Clean</v>
      </c>
      <c r="O269" t="str">
        <f t="shared" si="19"/>
        <v/>
      </c>
      <c r="P269" t="str">
        <f t="shared" si="17"/>
        <v>Clean</v>
      </c>
      <c r="Q269" t="str">
        <f t="shared" si="18"/>
        <v>Valid</v>
      </c>
    </row>
    <row r="270" spans="1:17" x14ac:dyDescent="0.3">
      <c r="A270" t="s">
        <v>1100</v>
      </c>
      <c r="B270" t="s">
        <v>1101</v>
      </c>
      <c r="C270" t="s">
        <v>181</v>
      </c>
      <c r="D270" t="s">
        <v>67</v>
      </c>
      <c r="E270" t="s">
        <v>26</v>
      </c>
      <c r="F270" t="s">
        <v>18</v>
      </c>
      <c r="G270" s="1">
        <v>45425</v>
      </c>
      <c r="H270" s="1">
        <v>45694</v>
      </c>
      <c r="I270" t="s">
        <v>1102</v>
      </c>
      <c r="J270" t="s">
        <v>1103</v>
      </c>
      <c r="K270" t="s">
        <v>37</v>
      </c>
      <c r="L270" t="s">
        <v>30</v>
      </c>
      <c r="M270" t="s">
        <v>22</v>
      </c>
      <c r="N270" t="str">
        <f t="shared" si="16"/>
        <v>Clean</v>
      </c>
      <c r="O270" t="str">
        <f t="shared" si="19"/>
        <v/>
      </c>
      <c r="P270" t="str">
        <f t="shared" si="17"/>
        <v>Clean</v>
      </c>
      <c r="Q270" t="str">
        <f t="shared" si="18"/>
        <v>Valid</v>
      </c>
    </row>
    <row r="271" spans="1:17" x14ac:dyDescent="0.3">
      <c r="A271" t="s">
        <v>1104</v>
      </c>
      <c r="B271" t="s">
        <v>1105</v>
      </c>
      <c r="C271" t="s">
        <v>15</v>
      </c>
      <c r="D271" t="s">
        <v>34</v>
      </c>
      <c r="E271" t="s">
        <v>26</v>
      </c>
      <c r="F271" t="s">
        <v>18</v>
      </c>
      <c r="G271" s="1">
        <v>44983</v>
      </c>
      <c r="H271" s="1">
        <v>45303</v>
      </c>
      <c r="I271" t="s">
        <v>1106</v>
      </c>
      <c r="J271" t="s">
        <v>1107</v>
      </c>
      <c r="K271" t="s">
        <v>90</v>
      </c>
      <c r="L271" t="s">
        <v>30</v>
      </c>
      <c r="M271" t="s">
        <v>22</v>
      </c>
      <c r="N271" t="str">
        <f t="shared" si="16"/>
        <v>Clean</v>
      </c>
      <c r="O271" t="str">
        <f t="shared" si="19"/>
        <v/>
      </c>
      <c r="P271" t="str">
        <f t="shared" si="17"/>
        <v>Clean</v>
      </c>
      <c r="Q271" t="str">
        <f t="shared" si="18"/>
        <v>Valid</v>
      </c>
    </row>
    <row r="272" spans="1:17" x14ac:dyDescent="0.3">
      <c r="A272" t="s">
        <v>1108</v>
      </c>
      <c r="B272" t="s">
        <v>1109</v>
      </c>
      <c r="C272" t="s">
        <v>15</v>
      </c>
      <c r="D272" t="s">
        <v>51</v>
      </c>
      <c r="E272" t="s">
        <v>52</v>
      </c>
      <c r="F272" t="s">
        <v>18</v>
      </c>
      <c r="G272" s="1">
        <v>45106</v>
      </c>
      <c r="H272" s="1">
        <v>45249</v>
      </c>
      <c r="I272" t="s">
        <v>1110</v>
      </c>
      <c r="J272" t="s">
        <v>1111</v>
      </c>
      <c r="K272" t="s">
        <v>37</v>
      </c>
      <c r="L272" t="s">
        <v>91</v>
      </c>
      <c r="M272" t="s">
        <v>22</v>
      </c>
      <c r="N272" t="str">
        <f t="shared" si="16"/>
        <v>Clean</v>
      </c>
      <c r="O272" t="str">
        <f t="shared" si="19"/>
        <v/>
      </c>
      <c r="P272" t="str">
        <f t="shared" si="17"/>
        <v>Clean</v>
      </c>
      <c r="Q272" t="str">
        <f t="shared" si="18"/>
        <v>Valid</v>
      </c>
    </row>
    <row r="273" spans="1:17" x14ac:dyDescent="0.3">
      <c r="A273" t="s">
        <v>1112</v>
      </c>
      <c r="B273" t="s">
        <v>1113</v>
      </c>
      <c r="C273" t="s">
        <v>33</v>
      </c>
      <c r="D273" t="s">
        <v>51</v>
      </c>
      <c r="E273" t="s">
        <v>52</v>
      </c>
      <c r="F273" t="s">
        <v>18</v>
      </c>
      <c r="G273" s="1">
        <v>43499</v>
      </c>
      <c r="H273" s="1">
        <v>43764</v>
      </c>
      <c r="I273" t="s">
        <v>1114</v>
      </c>
      <c r="J273" t="s">
        <v>1115</v>
      </c>
      <c r="K273" t="s">
        <v>90</v>
      </c>
      <c r="L273" t="s">
        <v>55</v>
      </c>
      <c r="M273" t="s">
        <v>22</v>
      </c>
      <c r="N273" t="str">
        <f t="shared" si="16"/>
        <v>Clean</v>
      </c>
      <c r="O273" t="str">
        <f t="shared" si="19"/>
        <v/>
      </c>
      <c r="P273" t="str">
        <f t="shared" si="17"/>
        <v>Clean</v>
      </c>
      <c r="Q273" t="str">
        <f t="shared" si="18"/>
        <v>Valid</v>
      </c>
    </row>
    <row r="274" spans="1:17" x14ac:dyDescent="0.3">
      <c r="A274" t="s">
        <v>1116</v>
      </c>
      <c r="B274" t="s">
        <v>1117</v>
      </c>
      <c r="C274" t="s">
        <v>33</v>
      </c>
      <c r="D274" t="s">
        <v>51</v>
      </c>
      <c r="E274" t="s">
        <v>52</v>
      </c>
      <c r="F274" t="s">
        <v>18</v>
      </c>
      <c r="G274" s="1">
        <v>44363</v>
      </c>
      <c r="H274" s="1">
        <v>44431</v>
      </c>
      <c r="I274" t="s">
        <v>1118</v>
      </c>
      <c r="J274" t="s">
        <v>1119</v>
      </c>
      <c r="K274" t="s">
        <v>21</v>
      </c>
      <c r="M274" t="s">
        <v>3735</v>
      </c>
      <c r="N274" t="str">
        <f t="shared" si="16"/>
        <v>Flagged</v>
      </c>
      <c r="O274" t="str">
        <f t="shared" si="19"/>
        <v>Missing Verified_By</v>
      </c>
      <c r="P274" t="str">
        <f t="shared" si="17"/>
        <v>Flagged for Review</v>
      </c>
      <c r="Q274" t="str">
        <f t="shared" si="18"/>
        <v>Valid</v>
      </c>
    </row>
    <row r="275" spans="1:17" x14ac:dyDescent="0.3">
      <c r="A275" t="s">
        <v>1120</v>
      </c>
      <c r="B275" t="s">
        <v>1121</v>
      </c>
      <c r="C275" t="s">
        <v>46</v>
      </c>
      <c r="D275" t="s">
        <v>41</v>
      </c>
      <c r="E275" t="s">
        <v>17</v>
      </c>
      <c r="F275" t="s">
        <v>160</v>
      </c>
      <c r="G275" s="1">
        <v>44945</v>
      </c>
      <c r="I275" t="s">
        <v>1122</v>
      </c>
      <c r="J275" t="s">
        <v>1123</v>
      </c>
      <c r="K275" t="s">
        <v>21</v>
      </c>
      <c r="L275" t="s">
        <v>30</v>
      </c>
      <c r="M275" t="s">
        <v>3735</v>
      </c>
      <c r="N275" t="str">
        <f t="shared" si="16"/>
        <v>Flagged</v>
      </c>
      <c r="O275" t="str">
        <f t="shared" si="19"/>
        <v>Missing Last_Updated</v>
      </c>
      <c r="P275" t="str">
        <f t="shared" si="17"/>
        <v>Flagged for Review</v>
      </c>
      <c r="Q275" t="str">
        <f t="shared" si="18"/>
        <v>Valid</v>
      </c>
    </row>
    <row r="276" spans="1:17" x14ac:dyDescent="0.3">
      <c r="A276" t="s">
        <v>1124</v>
      </c>
      <c r="B276" t="s">
        <v>1125</v>
      </c>
      <c r="C276" t="s">
        <v>87</v>
      </c>
      <c r="D276" t="s">
        <v>67</v>
      </c>
      <c r="E276" t="s">
        <v>26</v>
      </c>
      <c r="F276" t="s">
        <v>18</v>
      </c>
      <c r="G276" s="1">
        <v>44091</v>
      </c>
      <c r="H276" s="1">
        <v>44233</v>
      </c>
      <c r="I276" t="s">
        <v>1126</v>
      </c>
      <c r="J276" t="s">
        <v>1127</v>
      </c>
      <c r="K276" t="s">
        <v>90</v>
      </c>
      <c r="L276" t="s">
        <v>91</v>
      </c>
      <c r="M276" t="s">
        <v>22</v>
      </c>
      <c r="N276" t="str">
        <f t="shared" si="16"/>
        <v>Clean</v>
      </c>
      <c r="O276" t="str">
        <f t="shared" si="19"/>
        <v/>
      </c>
      <c r="P276" t="str">
        <f t="shared" si="17"/>
        <v>Clean</v>
      </c>
      <c r="Q276" t="str">
        <f t="shared" si="18"/>
        <v>Valid</v>
      </c>
    </row>
    <row r="277" spans="1:17" x14ac:dyDescent="0.3">
      <c r="A277" t="s">
        <v>1128</v>
      </c>
      <c r="B277" t="s">
        <v>1129</v>
      </c>
      <c r="C277" t="s">
        <v>181</v>
      </c>
      <c r="D277" t="s">
        <v>25</v>
      </c>
      <c r="E277" t="s">
        <v>26</v>
      </c>
      <c r="F277" t="s">
        <v>18</v>
      </c>
      <c r="G277" s="1">
        <v>45515</v>
      </c>
      <c r="H277" s="1">
        <v>45576</v>
      </c>
      <c r="I277" t="s">
        <v>1130</v>
      </c>
      <c r="J277" t="s">
        <v>1131</v>
      </c>
      <c r="K277" t="s">
        <v>29</v>
      </c>
      <c r="L277" t="s">
        <v>30</v>
      </c>
      <c r="M277" t="s">
        <v>22</v>
      </c>
      <c r="N277" t="str">
        <f t="shared" si="16"/>
        <v>Clean</v>
      </c>
      <c r="O277" t="str">
        <f t="shared" si="19"/>
        <v/>
      </c>
      <c r="P277" t="str">
        <f t="shared" si="17"/>
        <v>Clean</v>
      </c>
      <c r="Q277" t="str">
        <f t="shared" si="18"/>
        <v>Valid</v>
      </c>
    </row>
    <row r="278" spans="1:17" x14ac:dyDescent="0.3">
      <c r="A278" t="s">
        <v>1132</v>
      </c>
      <c r="B278" t="s">
        <v>1133</v>
      </c>
      <c r="C278" t="s">
        <v>76</v>
      </c>
      <c r="D278" t="s">
        <v>34</v>
      </c>
      <c r="E278" t="s">
        <v>26</v>
      </c>
      <c r="F278" t="s">
        <v>18</v>
      </c>
      <c r="G278" s="1">
        <v>44818</v>
      </c>
      <c r="H278" s="1">
        <v>44876</v>
      </c>
      <c r="I278" t="s">
        <v>1134</v>
      </c>
      <c r="J278" t="s">
        <v>1135</v>
      </c>
      <c r="K278" t="s">
        <v>21</v>
      </c>
      <c r="L278" t="s">
        <v>55</v>
      </c>
      <c r="M278" t="s">
        <v>22</v>
      </c>
      <c r="N278" t="str">
        <f t="shared" si="16"/>
        <v>Clean</v>
      </c>
      <c r="O278" t="str">
        <f t="shared" si="19"/>
        <v/>
      </c>
      <c r="P278" t="str">
        <f t="shared" si="17"/>
        <v>Clean</v>
      </c>
      <c r="Q278" t="str">
        <f t="shared" si="18"/>
        <v>Valid</v>
      </c>
    </row>
    <row r="279" spans="1:17" x14ac:dyDescent="0.3">
      <c r="A279" t="s">
        <v>1136</v>
      </c>
      <c r="B279" t="s">
        <v>1137</v>
      </c>
      <c r="C279" t="s">
        <v>40</v>
      </c>
      <c r="D279" t="s">
        <v>16</v>
      </c>
      <c r="E279" t="s">
        <v>17</v>
      </c>
      <c r="F279" t="s">
        <v>18</v>
      </c>
      <c r="G279" s="1">
        <v>45094</v>
      </c>
      <c r="H279" s="1">
        <v>45335</v>
      </c>
      <c r="I279" t="s">
        <v>1138</v>
      </c>
      <c r="J279" t="s">
        <v>1139</v>
      </c>
      <c r="K279" t="s">
        <v>90</v>
      </c>
      <c r="M279" t="s">
        <v>3735</v>
      </c>
      <c r="N279" t="str">
        <f t="shared" si="16"/>
        <v>Flagged</v>
      </c>
      <c r="O279" t="str">
        <f t="shared" si="19"/>
        <v>Missing Verified_By</v>
      </c>
      <c r="P279" t="str">
        <f t="shared" si="17"/>
        <v>Flagged for Review</v>
      </c>
      <c r="Q279" t="str">
        <f t="shared" si="18"/>
        <v>Valid</v>
      </c>
    </row>
    <row r="280" spans="1:17" x14ac:dyDescent="0.3">
      <c r="A280" t="s">
        <v>1140</v>
      </c>
      <c r="B280" t="s">
        <v>1141</v>
      </c>
      <c r="C280" t="s">
        <v>33</v>
      </c>
      <c r="D280" t="s">
        <v>77</v>
      </c>
      <c r="E280" t="s">
        <v>52</v>
      </c>
      <c r="F280" t="s">
        <v>18</v>
      </c>
      <c r="G280" s="1">
        <v>44690</v>
      </c>
      <c r="H280" s="1">
        <v>44823</v>
      </c>
      <c r="I280" t="s">
        <v>1142</v>
      </c>
      <c r="J280" t="s">
        <v>1143</v>
      </c>
      <c r="K280" t="s">
        <v>21</v>
      </c>
      <c r="L280" t="s">
        <v>30</v>
      </c>
      <c r="M280" t="s">
        <v>22</v>
      </c>
      <c r="N280" t="str">
        <f t="shared" si="16"/>
        <v>Clean</v>
      </c>
      <c r="O280" t="str">
        <f t="shared" si="19"/>
        <v/>
      </c>
      <c r="P280" t="str">
        <f t="shared" si="17"/>
        <v>Clean</v>
      </c>
      <c r="Q280" t="str">
        <f t="shared" si="18"/>
        <v>Valid</v>
      </c>
    </row>
    <row r="281" spans="1:17" x14ac:dyDescent="0.3">
      <c r="A281" t="s">
        <v>1144</v>
      </c>
      <c r="B281" t="s">
        <v>1145</v>
      </c>
      <c r="C281" t="s">
        <v>15</v>
      </c>
      <c r="D281" t="s">
        <v>25</v>
      </c>
      <c r="E281" t="s">
        <v>26</v>
      </c>
      <c r="F281" t="s">
        <v>18</v>
      </c>
      <c r="G281" s="1">
        <v>44964</v>
      </c>
      <c r="H281" s="1">
        <v>45175</v>
      </c>
      <c r="I281" t="s">
        <v>1146</v>
      </c>
      <c r="J281" t="s">
        <v>1147</v>
      </c>
      <c r="K281" t="s">
        <v>29</v>
      </c>
      <c r="L281" t="s">
        <v>60</v>
      </c>
      <c r="M281" t="s">
        <v>22</v>
      </c>
      <c r="N281" t="str">
        <f t="shared" si="16"/>
        <v>Clean</v>
      </c>
      <c r="O281" t="str">
        <f t="shared" si="19"/>
        <v/>
      </c>
      <c r="P281" t="str">
        <f t="shared" si="17"/>
        <v>Clean</v>
      </c>
      <c r="Q281" t="str">
        <f t="shared" si="18"/>
        <v>Valid</v>
      </c>
    </row>
    <row r="282" spans="1:17" x14ac:dyDescent="0.3">
      <c r="A282" t="s">
        <v>1148</v>
      </c>
      <c r="B282" t="s">
        <v>1149</v>
      </c>
      <c r="C282" t="s">
        <v>87</v>
      </c>
      <c r="D282" t="s">
        <v>16</v>
      </c>
      <c r="E282" t="s">
        <v>17</v>
      </c>
      <c r="F282" t="s">
        <v>18</v>
      </c>
      <c r="G282" s="1">
        <v>43598</v>
      </c>
      <c r="H282" s="1">
        <v>43828</v>
      </c>
      <c r="I282" t="s">
        <v>1150</v>
      </c>
      <c r="J282" t="s">
        <v>1151</v>
      </c>
      <c r="K282" t="s">
        <v>90</v>
      </c>
      <c r="L282" t="s">
        <v>30</v>
      </c>
      <c r="M282" t="s">
        <v>22</v>
      </c>
      <c r="N282" t="str">
        <f t="shared" si="16"/>
        <v>Clean</v>
      </c>
      <c r="O282" t="str">
        <f t="shared" si="19"/>
        <v/>
      </c>
      <c r="P282" t="str">
        <f t="shared" si="17"/>
        <v>Clean</v>
      </c>
      <c r="Q282" t="str">
        <f t="shared" si="18"/>
        <v>Valid</v>
      </c>
    </row>
    <row r="283" spans="1:17" x14ac:dyDescent="0.3">
      <c r="A283" t="s">
        <v>1152</v>
      </c>
      <c r="B283" t="s">
        <v>1153</v>
      </c>
      <c r="C283" t="s">
        <v>15</v>
      </c>
      <c r="D283" t="s">
        <v>51</v>
      </c>
      <c r="E283" t="s">
        <v>52</v>
      </c>
      <c r="F283" t="s">
        <v>18</v>
      </c>
      <c r="G283" s="1">
        <v>45504</v>
      </c>
      <c r="H283" s="1">
        <v>45759</v>
      </c>
      <c r="I283" t="s">
        <v>1154</v>
      </c>
      <c r="J283" t="s">
        <v>1155</v>
      </c>
      <c r="K283" t="s">
        <v>21</v>
      </c>
      <c r="L283" t="s">
        <v>55</v>
      </c>
      <c r="M283" t="s">
        <v>22</v>
      </c>
      <c r="N283" t="str">
        <f t="shared" si="16"/>
        <v>Clean</v>
      </c>
      <c r="O283" t="str">
        <f t="shared" si="19"/>
        <v/>
      </c>
      <c r="P283" t="str">
        <f t="shared" si="17"/>
        <v>Clean</v>
      </c>
      <c r="Q283" t="str">
        <f t="shared" si="18"/>
        <v>Valid</v>
      </c>
    </row>
    <row r="284" spans="1:17" x14ac:dyDescent="0.3">
      <c r="A284" t="s">
        <v>1156</v>
      </c>
      <c r="B284" t="s">
        <v>1157</v>
      </c>
      <c r="C284" t="s">
        <v>181</v>
      </c>
      <c r="D284" t="s">
        <v>77</v>
      </c>
      <c r="E284" t="s">
        <v>52</v>
      </c>
      <c r="F284" t="s">
        <v>18</v>
      </c>
      <c r="G284" s="1">
        <v>44365</v>
      </c>
      <c r="H284" s="1">
        <v>44715</v>
      </c>
      <c r="I284" t="s">
        <v>1158</v>
      </c>
      <c r="J284" t="s">
        <v>1159</v>
      </c>
      <c r="K284" t="s">
        <v>37</v>
      </c>
      <c r="L284" t="s">
        <v>60</v>
      </c>
      <c r="M284" t="s">
        <v>22</v>
      </c>
      <c r="N284" t="str">
        <f t="shared" si="16"/>
        <v>Clean</v>
      </c>
      <c r="O284" t="str">
        <f t="shared" si="19"/>
        <v/>
      </c>
      <c r="P284" t="str">
        <f t="shared" si="17"/>
        <v>Clean</v>
      </c>
      <c r="Q284" t="str">
        <f t="shared" si="18"/>
        <v>Valid</v>
      </c>
    </row>
    <row r="285" spans="1:17" x14ac:dyDescent="0.3">
      <c r="A285" t="s">
        <v>1160</v>
      </c>
      <c r="B285" t="s">
        <v>1161</v>
      </c>
      <c r="C285" t="s">
        <v>15</v>
      </c>
      <c r="D285" t="s">
        <v>34</v>
      </c>
      <c r="E285" t="s">
        <v>26</v>
      </c>
      <c r="F285" t="s">
        <v>151</v>
      </c>
      <c r="G285" s="1">
        <v>44081</v>
      </c>
      <c r="H285" s="1">
        <v>44251</v>
      </c>
      <c r="I285" t="s">
        <v>1162</v>
      </c>
      <c r="J285" t="s">
        <v>1163</v>
      </c>
      <c r="K285" t="s">
        <v>29</v>
      </c>
      <c r="L285" t="s">
        <v>116</v>
      </c>
      <c r="M285" t="s">
        <v>22</v>
      </c>
      <c r="N285" t="str">
        <f t="shared" si="16"/>
        <v>Clean</v>
      </c>
      <c r="O285" t="str">
        <f t="shared" si="19"/>
        <v/>
      </c>
      <c r="P285" t="str">
        <f t="shared" si="17"/>
        <v>Clean</v>
      </c>
      <c r="Q285" t="str">
        <f t="shared" si="18"/>
        <v>Valid</v>
      </c>
    </row>
    <row r="286" spans="1:17" x14ac:dyDescent="0.3">
      <c r="A286" t="s">
        <v>1164</v>
      </c>
      <c r="B286" t="s">
        <v>1165</v>
      </c>
      <c r="C286" t="s">
        <v>15</v>
      </c>
      <c r="D286" t="s">
        <v>77</v>
      </c>
      <c r="E286" t="s">
        <v>52</v>
      </c>
      <c r="F286" t="s">
        <v>18</v>
      </c>
      <c r="G286" s="1">
        <v>45229</v>
      </c>
      <c r="H286" s="1">
        <v>45378</v>
      </c>
      <c r="I286" t="s">
        <v>1166</v>
      </c>
      <c r="J286" t="s">
        <v>956</v>
      </c>
      <c r="K286" t="s">
        <v>90</v>
      </c>
      <c r="L286" t="s">
        <v>91</v>
      </c>
      <c r="M286" t="s">
        <v>22</v>
      </c>
      <c r="N286" t="str">
        <f t="shared" si="16"/>
        <v>Clean</v>
      </c>
      <c r="O286" t="str">
        <f t="shared" si="19"/>
        <v/>
      </c>
      <c r="P286" t="str">
        <f t="shared" si="17"/>
        <v>Clean</v>
      </c>
      <c r="Q286" t="str">
        <f t="shared" si="18"/>
        <v>Valid</v>
      </c>
    </row>
    <row r="287" spans="1:17" x14ac:dyDescent="0.3">
      <c r="A287" t="s">
        <v>1167</v>
      </c>
      <c r="B287" t="s">
        <v>1168</v>
      </c>
      <c r="C287" t="s">
        <v>15</v>
      </c>
      <c r="D287" t="s">
        <v>77</v>
      </c>
      <c r="E287" t="s">
        <v>52</v>
      </c>
      <c r="F287" t="s">
        <v>18</v>
      </c>
      <c r="G287" s="1">
        <v>45534</v>
      </c>
      <c r="H287" s="1">
        <v>45621</v>
      </c>
      <c r="I287" t="s">
        <v>1169</v>
      </c>
      <c r="J287" t="s">
        <v>1170</v>
      </c>
      <c r="K287" t="s">
        <v>29</v>
      </c>
      <c r="M287" t="s">
        <v>3735</v>
      </c>
      <c r="N287" t="str">
        <f t="shared" si="16"/>
        <v>Flagged</v>
      </c>
      <c r="O287" t="str">
        <f t="shared" si="19"/>
        <v>Missing Verified_By</v>
      </c>
      <c r="P287" t="str">
        <f t="shared" si="17"/>
        <v>Flagged for Review</v>
      </c>
      <c r="Q287" t="str">
        <f t="shared" si="18"/>
        <v>Valid</v>
      </c>
    </row>
    <row r="288" spans="1:17" x14ac:dyDescent="0.3">
      <c r="A288" t="s">
        <v>1171</v>
      </c>
      <c r="B288" t="s">
        <v>1172</v>
      </c>
      <c r="C288" t="s">
        <v>15</v>
      </c>
      <c r="D288" t="s">
        <v>25</v>
      </c>
      <c r="E288" t="s">
        <v>26</v>
      </c>
      <c r="F288" t="s">
        <v>18</v>
      </c>
      <c r="G288" s="1">
        <v>43756</v>
      </c>
      <c r="H288" s="1">
        <v>43910</v>
      </c>
      <c r="I288" t="s">
        <v>1173</v>
      </c>
      <c r="J288" t="s">
        <v>1174</v>
      </c>
      <c r="K288" t="s">
        <v>21</v>
      </c>
      <c r="L288" t="s">
        <v>91</v>
      </c>
      <c r="M288" t="s">
        <v>22</v>
      </c>
      <c r="N288" t="str">
        <f t="shared" si="16"/>
        <v>Clean</v>
      </c>
      <c r="O288" t="str">
        <f t="shared" si="19"/>
        <v/>
      </c>
      <c r="P288" t="str">
        <f t="shared" si="17"/>
        <v>Clean</v>
      </c>
      <c r="Q288" t="str">
        <f t="shared" si="18"/>
        <v>Valid</v>
      </c>
    </row>
    <row r="289" spans="1:17" x14ac:dyDescent="0.3">
      <c r="A289" t="s">
        <v>1175</v>
      </c>
      <c r="B289" t="s">
        <v>1176</v>
      </c>
      <c r="C289" t="s">
        <v>87</v>
      </c>
      <c r="D289" t="s">
        <v>25</v>
      </c>
      <c r="E289" t="s">
        <v>26</v>
      </c>
      <c r="F289" t="s">
        <v>18</v>
      </c>
      <c r="G289" s="1">
        <v>43803</v>
      </c>
      <c r="H289" s="1">
        <v>43953</v>
      </c>
      <c r="I289" t="s">
        <v>1177</v>
      </c>
      <c r="J289" t="s">
        <v>1178</v>
      </c>
      <c r="K289" t="s">
        <v>90</v>
      </c>
      <c r="L289" t="s">
        <v>116</v>
      </c>
      <c r="M289" t="s">
        <v>22</v>
      </c>
      <c r="N289" t="str">
        <f t="shared" si="16"/>
        <v>Clean</v>
      </c>
      <c r="O289" t="str">
        <f t="shared" si="19"/>
        <v/>
      </c>
      <c r="P289" t="str">
        <f t="shared" si="17"/>
        <v>Clean</v>
      </c>
      <c r="Q289" t="str">
        <f t="shared" si="18"/>
        <v>Valid</v>
      </c>
    </row>
    <row r="290" spans="1:17" x14ac:dyDescent="0.3">
      <c r="A290" t="s">
        <v>1179</v>
      </c>
      <c r="B290" t="s">
        <v>1180</v>
      </c>
      <c r="C290" t="s">
        <v>40</v>
      </c>
      <c r="D290" t="s">
        <v>51</v>
      </c>
      <c r="E290" t="s">
        <v>52</v>
      </c>
      <c r="F290" t="s">
        <v>160</v>
      </c>
      <c r="G290" s="1">
        <v>45412</v>
      </c>
      <c r="H290" s="1">
        <v>45722</v>
      </c>
      <c r="I290" t="s">
        <v>1181</v>
      </c>
      <c r="J290" t="s">
        <v>1182</v>
      </c>
      <c r="K290" t="s">
        <v>21</v>
      </c>
      <c r="L290" t="s">
        <v>30</v>
      </c>
      <c r="M290" t="s">
        <v>22</v>
      </c>
      <c r="N290" t="str">
        <f t="shared" si="16"/>
        <v>Clean</v>
      </c>
      <c r="O290" t="str">
        <f t="shared" si="19"/>
        <v/>
      </c>
      <c r="P290" t="str">
        <f t="shared" si="17"/>
        <v>Clean</v>
      </c>
      <c r="Q290" t="str">
        <f t="shared" si="18"/>
        <v>Valid</v>
      </c>
    </row>
    <row r="291" spans="1:17" x14ac:dyDescent="0.3">
      <c r="A291" t="s">
        <v>1183</v>
      </c>
      <c r="B291" t="s">
        <v>1184</v>
      </c>
      <c r="C291" t="s">
        <v>87</v>
      </c>
      <c r="D291" t="s">
        <v>25</v>
      </c>
      <c r="E291" t="s">
        <v>26</v>
      </c>
      <c r="F291" t="s">
        <v>18</v>
      </c>
      <c r="G291" s="1">
        <v>45201</v>
      </c>
      <c r="H291" s="1">
        <v>45444</v>
      </c>
      <c r="I291" t="s">
        <v>1185</v>
      </c>
      <c r="J291" t="s">
        <v>1186</v>
      </c>
      <c r="K291" t="s">
        <v>37</v>
      </c>
      <c r="L291" t="s">
        <v>116</v>
      </c>
      <c r="M291" t="s">
        <v>22</v>
      </c>
      <c r="N291" t="str">
        <f t="shared" si="16"/>
        <v>Clean</v>
      </c>
      <c r="O291" t="str">
        <f t="shared" si="19"/>
        <v/>
      </c>
      <c r="P291" t="str">
        <f t="shared" si="17"/>
        <v>Clean</v>
      </c>
      <c r="Q291" t="str">
        <f t="shared" si="18"/>
        <v>Valid</v>
      </c>
    </row>
    <row r="292" spans="1:17" x14ac:dyDescent="0.3">
      <c r="A292" t="s">
        <v>1187</v>
      </c>
      <c r="B292" t="s">
        <v>1188</v>
      </c>
      <c r="C292" t="s">
        <v>15</v>
      </c>
      <c r="D292" t="s">
        <v>77</v>
      </c>
      <c r="E292" t="s">
        <v>52</v>
      </c>
      <c r="F292" t="s">
        <v>18</v>
      </c>
      <c r="G292" s="1">
        <v>44492</v>
      </c>
      <c r="H292" s="1">
        <v>44742</v>
      </c>
      <c r="I292" t="s">
        <v>1189</v>
      </c>
      <c r="J292" t="s">
        <v>1190</v>
      </c>
      <c r="K292" t="s">
        <v>37</v>
      </c>
      <c r="L292" t="s">
        <v>60</v>
      </c>
      <c r="M292" t="s">
        <v>22</v>
      </c>
      <c r="N292" t="str">
        <f t="shared" si="16"/>
        <v>Clean</v>
      </c>
      <c r="O292" t="str">
        <f t="shared" si="19"/>
        <v/>
      </c>
      <c r="P292" t="str">
        <f t="shared" si="17"/>
        <v>Clean</v>
      </c>
      <c r="Q292" t="str">
        <f t="shared" si="18"/>
        <v>Valid</v>
      </c>
    </row>
    <row r="293" spans="1:17" x14ac:dyDescent="0.3">
      <c r="A293" t="s">
        <v>1191</v>
      </c>
      <c r="B293" t="s">
        <v>1192</v>
      </c>
      <c r="C293" t="s">
        <v>76</v>
      </c>
      <c r="D293" t="s">
        <v>51</v>
      </c>
      <c r="E293" t="s">
        <v>52</v>
      </c>
      <c r="F293" t="s">
        <v>18</v>
      </c>
      <c r="G293" s="1">
        <v>43991</v>
      </c>
      <c r="H293" s="1">
        <v>44147</v>
      </c>
      <c r="I293" t="s">
        <v>1193</v>
      </c>
      <c r="J293" t="s">
        <v>1194</v>
      </c>
      <c r="K293" t="s">
        <v>29</v>
      </c>
      <c r="L293" t="s">
        <v>116</v>
      </c>
      <c r="M293" t="s">
        <v>22</v>
      </c>
      <c r="N293" t="str">
        <f t="shared" si="16"/>
        <v>Clean</v>
      </c>
      <c r="O293" t="str">
        <f t="shared" si="19"/>
        <v/>
      </c>
      <c r="P293" t="str">
        <f t="shared" si="17"/>
        <v>Clean</v>
      </c>
      <c r="Q293" t="str">
        <f t="shared" si="18"/>
        <v>Valid</v>
      </c>
    </row>
    <row r="294" spans="1:17" x14ac:dyDescent="0.3">
      <c r="A294" t="s">
        <v>1195</v>
      </c>
      <c r="B294" t="s">
        <v>1196</v>
      </c>
      <c r="C294" t="s">
        <v>181</v>
      </c>
      <c r="D294" t="s">
        <v>16</v>
      </c>
      <c r="E294" t="s">
        <v>17</v>
      </c>
      <c r="F294" t="s">
        <v>18</v>
      </c>
      <c r="G294" s="1">
        <v>45647</v>
      </c>
      <c r="H294" s="1">
        <v>45840</v>
      </c>
      <c r="I294" t="s">
        <v>1197</v>
      </c>
      <c r="J294" t="s">
        <v>1198</v>
      </c>
      <c r="K294" t="s">
        <v>21</v>
      </c>
      <c r="M294" t="s">
        <v>3735</v>
      </c>
      <c r="N294" t="str">
        <f t="shared" si="16"/>
        <v>Flagged</v>
      </c>
      <c r="O294" t="str">
        <f t="shared" si="19"/>
        <v>Missing Verified_By</v>
      </c>
      <c r="P294" t="str">
        <f t="shared" si="17"/>
        <v>Flagged for Review</v>
      </c>
      <c r="Q294" t="str">
        <f t="shared" si="18"/>
        <v>Valid</v>
      </c>
    </row>
    <row r="295" spans="1:17" x14ac:dyDescent="0.3">
      <c r="A295" t="s">
        <v>1199</v>
      </c>
      <c r="B295" t="s">
        <v>1200</v>
      </c>
      <c r="C295" t="s">
        <v>15</v>
      </c>
      <c r="D295" t="s">
        <v>16</v>
      </c>
      <c r="E295" t="s">
        <v>17</v>
      </c>
      <c r="F295" t="s">
        <v>18</v>
      </c>
      <c r="G295" s="1">
        <v>44775</v>
      </c>
      <c r="H295" s="1">
        <v>45123</v>
      </c>
      <c r="I295" t="s">
        <v>1201</v>
      </c>
      <c r="J295" t="s">
        <v>1202</v>
      </c>
      <c r="K295" t="s">
        <v>21</v>
      </c>
      <c r="L295" t="s">
        <v>116</v>
      </c>
      <c r="M295" t="s">
        <v>22</v>
      </c>
      <c r="N295" t="str">
        <f t="shared" si="16"/>
        <v>Clean</v>
      </c>
      <c r="O295" t="str">
        <f t="shared" si="19"/>
        <v/>
      </c>
      <c r="P295" t="str">
        <f t="shared" si="17"/>
        <v>Clean</v>
      </c>
      <c r="Q295" t="str">
        <f t="shared" si="18"/>
        <v>Valid</v>
      </c>
    </row>
    <row r="296" spans="1:17" x14ac:dyDescent="0.3">
      <c r="A296" t="s">
        <v>1203</v>
      </c>
      <c r="B296" t="s">
        <v>1072</v>
      </c>
      <c r="C296" t="s">
        <v>87</v>
      </c>
      <c r="D296" t="s">
        <v>67</v>
      </c>
      <c r="E296" t="s">
        <v>26</v>
      </c>
      <c r="F296" t="s">
        <v>18</v>
      </c>
      <c r="G296" s="1">
        <v>45650</v>
      </c>
      <c r="H296" s="1">
        <v>45954</v>
      </c>
      <c r="I296" t="s">
        <v>1204</v>
      </c>
      <c r="J296" t="s">
        <v>1205</v>
      </c>
      <c r="K296" t="s">
        <v>29</v>
      </c>
      <c r="L296" t="s">
        <v>116</v>
      </c>
      <c r="M296" t="s">
        <v>22</v>
      </c>
      <c r="N296" t="str">
        <f t="shared" si="16"/>
        <v>Clean</v>
      </c>
      <c r="O296" t="str">
        <f t="shared" si="19"/>
        <v/>
      </c>
      <c r="P296" t="str">
        <f t="shared" si="17"/>
        <v>Clean</v>
      </c>
      <c r="Q296" t="str">
        <f t="shared" si="18"/>
        <v>Valid</v>
      </c>
    </row>
    <row r="297" spans="1:17" x14ac:dyDescent="0.3">
      <c r="A297" t="s">
        <v>1206</v>
      </c>
      <c r="B297" t="s">
        <v>1207</v>
      </c>
      <c r="C297" t="s">
        <v>87</v>
      </c>
      <c r="D297" t="s">
        <v>51</v>
      </c>
      <c r="E297" t="s">
        <v>52</v>
      </c>
      <c r="F297" t="s">
        <v>18</v>
      </c>
      <c r="G297" s="1">
        <v>45306</v>
      </c>
      <c r="H297" s="1">
        <v>45314</v>
      </c>
      <c r="I297" t="s">
        <v>1208</v>
      </c>
      <c r="J297" t="s">
        <v>1209</v>
      </c>
      <c r="K297" t="s">
        <v>90</v>
      </c>
      <c r="L297" t="s">
        <v>116</v>
      </c>
      <c r="M297" t="s">
        <v>22</v>
      </c>
      <c r="N297" t="str">
        <f t="shared" si="16"/>
        <v>Clean</v>
      </c>
      <c r="O297" t="str">
        <f t="shared" si="19"/>
        <v/>
      </c>
      <c r="P297" t="str">
        <f t="shared" si="17"/>
        <v>Clean</v>
      </c>
      <c r="Q297" t="str">
        <f t="shared" si="18"/>
        <v>Valid</v>
      </c>
    </row>
    <row r="298" spans="1:17" x14ac:dyDescent="0.3">
      <c r="A298" t="s">
        <v>1210</v>
      </c>
      <c r="B298" t="s">
        <v>1211</v>
      </c>
      <c r="C298" t="s">
        <v>46</v>
      </c>
      <c r="D298" t="s">
        <v>67</v>
      </c>
      <c r="E298" t="s">
        <v>26</v>
      </c>
      <c r="F298" t="s">
        <v>18</v>
      </c>
      <c r="G298" s="1">
        <v>44414</v>
      </c>
      <c r="H298" s="1">
        <v>44728</v>
      </c>
      <c r="I298" t="s">
        <v>1212</v>
      </c>
      <c r="J298" t="s">
        <v>1213</v>
      </c>
      <c r="K298" t="s">
        <v>29</v>
      </c>
      <c r="L298" t="s">
        <v>55</v>
      </c>
      <c r="M298" t="s">
        <v>22</v>
      </c>
      <c r="N298" t="str">
        <f t="shared" si="16"/>
        <v>Clean</v>
      </c>
      <c r="O298" t="str">
        <f t="shared" si="19"/>
        <v/>
      </c>
      <c r="P298" t="str">
        <f t="shared" si="17"/>
        <v>Clean</v>
      </c>
      <c r="Q298" t="str">
        <f t="shared" si="18"/>
        <v>Valid</v>
      </c>
    </row>
    <row r="299" spans="1:17" x14ac:dyDescent="0.3">
      <c r="A299" t="s">
        <v>1214</v>
      </c>
      <c r="B299" t="s">
        <v>1215</v>
      </c>
      <c r="C299" t="s">
        <v>46</v>
      </c>
      <c r="D299" t="s">
        <v>25</v>
      </c>
      <c r="E299" t="s">
        <v>26</v>
      </c>
      <c r="F299" t="s">
        <v>18</v>
      </c>
      <c r="G299" s="1">
        <v>45619</v>
      </c>
      <c r="H299" s="1">
        <v>45841</v>
      </c>
      <c r="I299" t="s">
        <v>1216</v>
      </c>
      <c r="J299" t="s">
        <v>1217</v>
      </c>
      <c r="K299" t="s">
        <v>90</v>
      </c>
      <c r="L299" t="s">
        <v>55</v>
      </c>
      <c r="M299" t="s">
        <v>22</v>
      </c>
      <c r="N299" t="str">
        <f t="shared" si="16"/>
        <v>Clean</v>
      </c>
      <c r="O299" t="str">
        <f t="shared" si="19"/>
        <v/>
      </c>
      <c r="P299" t="str">
        <f t="shared" si="17"/>
        <v>Clean</v>
      </c>
      <c r="Q299" t="str">
        <f t="shared" si="18"/>
        <v>Valid</v>
      </c>
    </row>
    <row r="300" spans="1:17" x14ac:dyDescent="0.3">
      <c r="A300" t="s">
        <v>1218</v>
      </c>
      <c r="B300" t="s">
        <v>1219</v>
      </c>
      <c r="C300" t="s">
        <v>15</v>
      </c>
      <c r="D300" t="s">
        <v>25</v>
      </c>
      <c r="E300" t="s">
        <v>26</v>
      </c>
      <c r="F300" t="s">
        <v>160</v>
      </c>
      <c r="G300" s="1">
        <v>44431</v>
      </c>
      <c r="H300" s="1">
        <v>44715</v>
      </c>
      <c r="I300" t="s">
        <v>1220</v>
      </c>
      <c r="J300" t="s">
        <v>1221</v>
      </c>
      <c r="K300" t="s">
        <v>37</v>
      </c>
      <c r="L300" t="s">
        <v>55</v>
      </c>
      <c r="M300" t="s">
        <v>22</v>
      </c>
      <c r="N300" t="str">
        <f t="shared" si="16"/>
        <v>Clean</v>
      </c>
      <c r="O300" t="str">
        <f t="shared" si="19"/>
        <v/>
      </c>
      <c r="P300" t="str">
        <f t="shared" si="17"/>
        <v>Clean</v>
      </c>
      <c r="Q300" t="str">
        <f t="shared" si="18"/>
        <v>Valid</v>
      </c>
    </row>
    <row r="301" spans="1:17" x14ac:dyDescent="0.3">
      <c r="A301" t="s">
        <v>1222</v>
      </c>
      <c r="B301" t="s">
        <v>1223</v>
      </c>
      <c r="C301" t="s">
        <v>40</v>
      </c>
      <c r="D301" t="s">
        <v>34</v>
      </c>
      <c r="E301" t="s">
        <v>26</v>
      </c>
      <c r="F301" t="s">
        <v>18</v>
      </c>
      <c r="G301" s="1">
        <v>45394</v>
      </c>
      <c r="H301" s="1">
        <v>45669</v>
      </c>
      <c r="I301" t="s">
        <v>1224</v>
      </c>
      <c r="J301" t="s">
        <v>1225</v>
      </c>
      <c r="K301" t="s">
        <v>90</v>
      </c>
      <c r="L301" t="s">
        <v>91</v>
      </c>
      <c r="M301" t="s">
        <v>22</v>
      </c>
      <c r="N301" t="str">
        <f t="shared" si="16"/>
        <v>Clean</v>
      </c>
      <c r="O301" t="str">
        <f t="shared" si="19"/>
        <v/>
      </c>
      <c r="P301" t="str">
        <f t="shared" si="17"/>
        <v>Clean</v>
      </c>
      <c r="Q301" t="str">
        <f t="shared" si="18"/>
        <v>Valid</v>
      </c>
    </row>
    <row r="302" spans="1:17" x14ac:dyDescent="0.3">
      <c r="A302" t="s">
        <v>1226</v>
      </c>
      <c r="B302" t="s">
        <v>1227</v>
      </c>
      <c r="C302" t="s">
        <v>15</v>
      </c>
      <c r="D302" t="s">
        <v>41</v>
      </c>
      <c r="E302" t="s">
        <v>17</v>
      </c>
      <c r="F302" t="s">
        <v>160</v>
      </c>
      <c r="G302" s="1">
        <v>44470</v>
      </c>
      <c r="H302" s="1">
        <v>44547</v>
      </c>
      <c r="I302" t="s">
        <v>1228</v>
      </c>
      <c r="J302" t="s">
        <v>1229</v>
      </c>
      <c r="K302" t="s">
        <v>90</v>
      </c>
      <c r="L302" t="s">
        <v>55</v>
      </c>
      <c r="M302" t="s">
        <v>22</v>
      </c>
      <c r="N302" t="str">
        <f t="shared" si="16"/>
        <v>Clean</v>
      </c>
      <c r="O302" t="str">
        <f t="shared" si="19"/>
        <v/>
      </c>
      <c r="P302" t="str">
        <f t="shared" si="17"/>
        <v>Clean</v>
      </c>
      <c r="Q302" t="str">
        <f t="shared" si="18"/>
        <v>Valid</v>
      </c>
    </row>
    <row r="303" spans="1:17" x14ac:dyDescent="0.3">
      <c r="A303" t="s">
        <v>1230</v>
      </c>
      <c r="B303" t="s">
        <v>1231</v>
      </c>
      <c r="C303" t="s">
        <v>33</v>
      </c>
      <c r="D303" t="s">
        <v>77</v>
      </c>
      <c r="E303" t="s">
        <v>52</v>
      </c>
      <c r="F303" t="s">
        <v>18</v>
      </c>
      <c r="G303" s="1">
        <v>45637</v>
      </c>
      <c r="H303" s="1">
        <v>45917</v>
      </c>
      <c r="I303" t="s">
        <v>1232</v>
      </c>
      <c r="J303" t="s">
        <v>1233</v>
      </c>
      <c r="K303" t="s">
        <v>29</v>
      </c>
      <c r="L303" t="s">
        <v>91</v>
      </c>
      <c r="M303" t="s">
        <v>22</v>
      </c>
      <c r="N303" t="str">
        <f t="shared" si="16"/>
        <v>Clean</v>
      </c>
      <c r="O303" t="str">
        <f t="shared" si="19"/>
        <v/>
      </c>
      <c r="P303" t="str">
        <f t="shared" si="17"/>
        <v>Clean</v>
      </c>
      <c r="Q303" t="str">
        <f t="shared" si="18"/>
        <v>Valid</v>
      </c>
    </row>
    <row r="304" spans="1:17" x14ac:dyDescent="0.3">
      <c r="A304" t="s">
        <v>1234</v>
      </c>
      <c r="B304" t="s">
        <v>3721</v>
      </c>
      <c r="C304" t="s">
        <v>33</v>
      </c>
      <c r="D304" t="s">
        <v>67</v>
      </c>
      <c r="E304" t="s">
        <v>26</v>
      </c>
      <c r="F304" t="s">
        <v>18</v>
      </c>
      <c r="G304" s="1">
        <v>44548</v>
      </c>
      <c r="H304" s="1">
        <v>44860</v>
      </c>
      <c r="I304" t="s">
        <v>1235</v>
      </c>
      <c r="J304" t="s">
        <v>1236</v>
      </c>
      <c r="K304" t="s">
        <v>37</v>
      </c>
      <c r="L304" t="s">
        <v>116</v>
      </c>
      <c r="M304" t="s">
        <v>3735</v>
      </c>
      <c r="N304" t="str">
        <f t="shared" si="16"/>
        <v>Flagged</v>
      </c>
      <c r="O304" t="str">
        <f t="shared" si="19"/>
        <v>Missing Vendor_Name</v>
      </c>
      <c r="P304" t="str">
        <f t="shared" si="17"/>
        <v>Flagged for Review</v>
      </c>
      <c r="Q304" t="str">
        <f t="shared" si="18"/>
        <v>Valid</v>
      </c>
    </row>
    <row r="305" spans="1:17" x14ac:dyDescent="0.3">
      <c r="A305" t="s">
        <v>1237</v>
      </c>
      <c r="B305" t="s">
        <v>1238</v>
      </c>
      <c r="C305" t="s">
        <v>46</v>
      </c>
      <c r="D305" t="s">
        <v>51</v>
      </c>
      <c r="E305" t="s">
        <v>52</v>
      </c>
      <c r="F305" t="s">
        <v>18</v>
      </c>
      <c r="G305" s="1">
        <v>44482</v>
      </c>
      <c r="H305" s="1">
        <v>44542</v>
      </c>
      <c r="I305" t="s">
        <v>1239</v>
      </c>
      <c r="J305" t="s">
        <v>1240</v>
      </c>
      <c r="K305" t="s">
        <v>37</v>
      </c>
      <c r="L305" t="s">
        <v>91</v>
      </c>
      <c r="M305" t="s">
        <v>22</v>
      </c>
      <c r="N305" t="str">
        <f t="shared" si="16"/>
        <v>Clean</v>
      </c>
      <c r="O305" t="str">
        <f t="shared" si="19"/>
        <v/>
      </c>
      <c r="P305" t="str">
        <f t="shared" si="17"/>
        <v>Clean</v>
      </c>
      <c r="Q305" t="str">
        <f t="shared" si="18"/>
        <v>Valid</v>
      </c>
    </row>
    <row r="306" spans="1:17" x14ac:dyDescent="0.3">
      <c r="A306" t="s">
        <v>1241</v>
      </c>
      <c r="B306" t="s">
        <v>1242</v>
      </c>
      <c r="C306" t="s">
        <v>46</v>
      </c>
      <c r="D306" t="s">
        <v>34</v>
      </c>
      <c r="E306" t="s">
        <v>26</v>
      </c>
      <c r="F306" t="s">
        <v>18</v>
      </c>
      <c r="G306" s="1">
        <v>44789</v>
      </c>
      <c r="H306" s="1">
        <v>45110</v>
      </c>
      <c r="I306" t="s">
        <v>1243</v>
      </c>
      <c r="J306" t="s">
        <v>1244</v>
      </c>
      <c r="K306" t="s">
        <v>21</v>
      </c>
      <c r="L306" t="s">
        <v>60</v>
      </c>
      <c r="M306" t="s">
        <v>22</v>
      </c>
      <c r="N306" t="str">
        <f t="shared" si="16"/>
        <v>Clean</v>
      </c>
      <c r="O306" t="str">
        <f t="shared" si="19"/>
        <v/>
      </c>
      <c r="P306" t="str">
        <f t="shared" si="17"/>
        <v>Clean</v>
      </c>
      <c r="Q306" t="str">
        <f t="shared" si="18"/>
        <v>Valid</v>
      </c>
    </row>
    <row r="307" spans="1:17" x14ac:dyDescent="0.3">
      <c r="A307" t="s">
        <v>1245</v>
      </c>
      <c r="B307" t="s">
        <v>1246</v>
      </c>
      <c r="C307" t="s">
        <v>87</v>
      </c>
      <c r="D307" t="s">
        <v>41</v>
      </c>
      <c r="E307" t="s">
        <v>17</v>
      </c>
      <c r="F307" t="s">
        <v>160</v>
      </c>
      <c r="G307" s="1">
        <v>44009</v>
      </c>
      <c r="H307" s="1">
        <v>44136</v>
      </c>
      <c r="I307" t="s">
        <v>1247</v>
      </c>
      <c r="J307" t="s">
        <v>1248</v>
      </c>
      <c r="K307" t="s">
        <v>37</v>
      </c>
      <c r="M307" t="s">
        <v>3735</v>
      </c>
      <c r="N307" t="str">
        <f t="shared" si="16"/>
        <v>Flagged</v>
      </c>
      <c r="O307" t="str">
        <f t="shared" si="19"/>
        <v>Missing Verified_By</v>
      </c>
      <c r="P307" t="str">
        <f t="shared" si="17"/>
        <v>Flagged for Review</v>
      </c>
      <c r="Q307" t="str">
        <f t="shared" si="18"/>
        <v>Valid</v>
      </c>
    </row>
    <row r="308" spans="1:17" x14ac:dyDescent="0.3">
      <c r="A308" t="s">
        <v>1249</v>
      </c>
      <c r="B308" t="s">
        <v>1250</v>
      </c>
      <c r="C308" t="s">
        <v>40</v>
      </c>
      <c r="D308" t="s">
        <v>67</v>
      </c>
      <c r="E308" t="s">
        <v>26</v>
      </c>
      <c r="F308" t="s">
        <v>18</v>
      </c>
      <c r="G308" s="1">
        <v>44407</v>
      </c>
      <c r="H308" s="1">
        <v>44600</v>
      </c>
      <c r="I308" t="s">
        <v>1251</v>
      </c>
      <c r="J308" t="s">
        <v>1252</v>
      </c>
      <c r="K308" t="s">
        <v>90</v>
      </c>
      <c r="L308" t="s">
        <v>60</v>
      </c>
      <c r="M308" t="s">
        <v>22</v>
      </c>
      <c r="N308" t="str">
        <f t="shared" si="16"/>
        <v>Clean</v>
      </c>
      <c r="O308" t="str">
        <f t="shared" si="19"/>
        <v/>
      </c>
      <c r="P308" t="str">
        <f t="shared" si="17"/>
        <v>Clean</v>
      </c>
      <c r="Q308" t="str">
        <f t="shared" si="18"/>
        <v>Valid</v>
      </c>
    </row>
    <row r="309" spans="1:17" x14ac:dyDescent="0.3">
      <c r="A309" t="s">
        <v>1253</v>
      </c>
      <c r="B309" t="s">
        <v>1254</v>
      </c>
      <c r="C309" t="s">
        <v>181</v>
      </c>
      <c r="D309" t="s">
        <v>67</v>
      </c>
      <c r="E309" t="s">
        <v>26</v>
      </c>
      <c r="F309" t="s">
        <v>18</v>
      </c>
      <c r="G309" s="1">
        <v>44852</v>
      </c>
      <c r="H309" s="1">
        <v>45133</v>
      </c>
      <c r="I309" t="s">
        <v>1255</v>
      </c>
      <c r="J309" t="s">
        <v>1256</v>
      </c>
      <c r="K309" t="s">
        <v>37</v>
      </c>
      <c r="L309" t="s">
        <v>30</v>
      </c>
      <c r="M309" t="s">
        <v>22</v>
      </c>
      <c r="N309" t="str">
        <f t="shared" si="16"/>
        <v>Clean</v>
      </c>
      <c r="O309" t="str">
        <f t="shared" si="19"/>
        <v/>
      </c>
      <c r="P309" t="str">
        <f t="shared" si="17"/>
        <v>Clean</v>
      </c>
      <c r="Q309" t="str">
        <f t="shared" si="18"/>
        <v>Valid</v>
      </c>
    </row>
    <row r="310" spans="1:17" x14ac:dyDescent="0.3">
      <c r="A310" t="s">
        <v>1257</v>
      </c>
      <c r="B310" t="s">
        <v>723</v>
      </c>
      <c r="C310" t="s">
        <v>15</v>
      </c>
      <c r="D310" t="s">
        <v>67</v>
      </c>
      <c r="E310" t="s">
        <v>26</v>
      </c>
      <c r="F310" t="s">
        <v>160</v>
      </c>
      <c r="G310" s="1">
        <v>45355</v>
      </c>
      <c r="H310" s="1">
        <v>45685</v>
      </c>
      <c r="I310" t="s">
        <v>1258</v>
      </c>
      <c r="J310" t="s">
        <v>1259</v>
      </c>
      <c r="K310" t="s">
        <v>29</v>
      </c>
      <c r="M310" t="s">
        <v>3735</v>
      </c>
      <c r="N310" t="str">
        <f t="shared" si="16"/>
        <v>Flagged</v>
      </c>
      <c r="O310" t="str">
        <f t="shared" si="19"/>
        <v>Missing Verified_By</v>
      </c>
      <c r="P310" t="str">
        <f t="shared" si="17"/>
        <v>Flagged for Review</v>
      </c>
      <c r="Q310" t="str">
        <f t="shared" si="18"/>
        <v>Valid</v>
      </c>
    </row>
    <row r="311" spans="1:17" x14ac:dyDescent="0.3">
      <c r="A311" t="s">
        <v>1260</v>
      </c>
      <c r="B311" t="s">
        <v>1261</v>
      </c>
      <c r="C311" t="s">
        <v>46</v>
      </c>
      <c r="D311" t="s">
        <v>34</v>
      </c>
      <c r="E311" t="s">
        <v>26</v>
      </c>
      <c r="F311" t="s">
        <v>18</v>
      </c>
      <c r="G311" s="1">
        <v>45395</v>
      </c>
      <c r="H311" s="1">
        <v>45432</v>
      </c>
      <c r="I311" t="s">
        <v>1262</v>
      </c>
      <c r="J311" t="s">
        <v>1263</v>
      </c>
      <c r="K311" t="s">
        <v>90</v>
      </c>
      <c r="L311" t="s">
        <v>116</v>
      </c>
      <c r="M311" t="s">
        <v>22</v>
      </c>
      <c r="N311" t="str">
        <f t="shared" si="16"/>
        <v>Clean</v>
      </c>
      <c r="O311" t="str">
        <f t="shared" si="19"/>
        <v/>
      </c>
      <c r="P311" t="str">
        <f t="shared" si="17"/>
        <v>Clean</v>
      </c>
      <c r="Q311" t="str">
        <f t="shared" si="18"/>
        <v>Valid</v>
      </c>
    </row>
    <row r="312" spans="1:17" x14ac:dyDescent="0.3">
      <c r="A312" t="s">
        <v>1264</v>
      </c>
      <c r="B312" t="s">
        <v>1265</v>
      </c>
      <c r="C312" t="s">
        <v>181</v>
      </c>
      <c r="D312" t="s">
        <v>41</v>
      </c>
      <c r="E312" t="s">
        <v>17</v>
      </c>
      <c r="F312" t="s">
        <v>18</v>
      </c>
      <c r="G312" s="1">
        <v>44384</v>
      </c>
      <c r="H312" s="1">
        <v>44439</v>
      </c>
      <c r="I312" t="s">
        <v>1266</v>
      </c>
      <c r="J312" t="s">
        <v>1267</v>
      </c>
      <c r="K312" t="s">
        <v>90</v>
      </c>
      <c r="L312" t="s">
        <v>116</v>
      </c>
      <c r="M312" t="s">
        <v>22</v>
      </c>
      <c r="N312" t="str">
        <f t="shared" si="16"/>
        <v>Clean</v>
      </c>
      <c r="O312" t="str">
        <f t="shared" si="19"/>
        <v/>
      </c>
      <c r="P312" t="str">
        <f t="shared" si="17"/>
        <v>Clean</v>
      </c>
      <c r="Q312" t="str">
        <f t="shared" si="18"/>
        <v>Valid</v>
      </c>
    </row>
    <row r="313" spans="1:17" x14ac:dyDescent="0.3">
      <c r="A313" t="s">
        <v>1268</v>
      </c>
      <c r="B313" t="s">
        <v>1269</v>
      </c>
      <c r="C313" t="s">
        <v>181</v>
      </c>
      <c r="D313" t="s">
        <v>51</v>
      </c>
      <c r="E313" t="s">
        <v>52</v>
      </c>
      <c r="F313" t="s">
        <v>18</v>
      </c>
      <c r="G313" s="1">
        <v>44807</v>
      </c>
      <c r="H313" s="1">
        <v>44951</v>
      </c>
      <c r="I313" t="s">
        <v>1270</v>
      </c>
      <c r="J313" t="s">
        <v>1271</v>
      </c>
      <c r="K313" t="s">
        <v>21</v>
      </c>
      <c r="L313" t="s">
        <v>116</v>
      </c>
      <c r="M313" t="s">
        <v>22</v>
      </c>
      <c r="N313" t="str">
        <f t="shared" si="16"/>
        <v>Clean</v>
      </c>
      <c r="O313" t="str">
        <f t="shared" si="19"/>
        <v/>
      </c>
      <c r="P313" t="str">
        <f t="shared" si="17"/>
        <v>Clean</v>
      </c>
      <c r="Q313" t="str">
        <f t="shared" si="18"/>
        <v>Valid</v>
      </c>
    </row>
    <row r="314" spans="1:17" x14ac:dyDescent="0.3">
      <c r="A314" t="s">
        <v>1272</v>
      </c>
      <c r="B314" t="s">
        <v>1273</v>
      </c>
      <c r="C314" t="s">
        <v>33</v>
      </c>
      <c r="D314" t="s">
        <v>16</v>
      </c>
      <c r="E314" t="s">
        <v>17</v>
      </c>
      <c r="F314" t="s">
        <v>18</v>
      </c>
      <c r="G314" s="1">
        <v>45195</v>
      </c>
      <c r="H314" s="1">
        <v>45550</v>
      </c>
      <c r="I314" t="s">
        <v>1274</v>
      </c>
      <c r="J314" t="s">
        <v>1275</v>
      </c>
      <c r="K314" t="s">
        <v>90</v>
      </c>
      <c r="L314" t="s">
        <v>55</v>
      </c>
      <c r="M314" t="s">
        <v>22</v>
      </c>
      <c r="N314" t="str">
        <f t="shared" si="16"/>
        <v>Clean</v>
      </c>
      <c r="O314" t="str">
        <f t="shared" si="19"/>
        <v/>
      </c>
      <c r="P314" t="str">
        <f t="shared" si="17"/>
        <v>Clean</v>
      </c>
      <c r="Q314" t="str">
        <f t="shared" si="18"/>
        <v>Valid</v>
      </c>
    </row>
    <row r="315" spans="1:17" x14ac:dyDescent="0.3">
      <c r="A315" t="s">
        <v>1276</v>
      </c>
      <c r="B315" t="s">
        <v>1277</v>
      </c>
      <c r="C315" t="s">
        <v>40</v>
      </c>
      <c r="D315" t="s">
        <v>51</v>
      </c>
      <c r="E315" t="s">
        <v>52</v>
      </c>
      <c r="F315" t="s">
        <v>18</v>
      </c>
      <c r="G315" s="1">
        <v>43689</v>
      </c>
      <c r="H315" s="1">
        <v>44042</v>
      </c>
      <c r="I315" t="s">
        <v>1278</v>
      </c>
      <c r="J315" t="s">
        <v>1279</v>
      </c>
      <c r="K315" t="s">
        <v>21</v>
      </c>
      <c r="M315" t="s">
        <v>3735</v>
      </c>
      <c r="N315" t="str">
        <f t="shared" si="16"/>
        <v>Flagged</v>
      </c>
      <c r="O315" t="str">
        <f t="shared" si="19"/>
        <v>Missing Verified_By</v>
      </c>
      <c r="P315" t="str">
        <f t="shared" si="17"/>
        <v>Flagged for Review</v>
      </c>
      <c r="Q315" t="str">
        <f t="shared" si="18"/>
        <v>Valid</v>
      </c>
    </row>
    <row r="316" spans="1:17" x14ac:dyDescent="0.3">
      <c r="A316" t="s">
        <v>1280</v>
      </c>
      <c r="B316" t="s">
        <v>1281</v>
      </c>
      <c r="C316" t="s">
        <v>181</v>
      </c>
      <c r="D316" t="s">
        <v>77</v>
      </c>
      <c r="E316" t="s">
        <v>52</v>
      </c>
      <c r="F316" t="s">
        <v>18</v>
      </c>
      <c r="G316" s="1">
        <v>45396</v>
      </c>
      <c r="H316" s="1">
        <v>45712</v>
      </c>
      <c r="I316" t="s">
        <v>1282</v>
      </c>
      <c r="J316" t="s">
        <v>1283</v>
      </c>
      <c r="K316" t="s">
        <v>37</v>
      </c>
      <c r="L316" t="s">
        <v>60</v>
      </c>
      <c r="M316" t="s">
        <v>22</v>
      </c>
      <c r="N316" t="str">
        <f t="shared" si="16"/>
        <v>Clean</v>
      </c>
      <c r="O316" t="str">
        <f t="shared" si="19"/>
        <v/>
      </c>
      <c r="P316" t="str">
        <f t="shared" si="17"/>
        <v>Clean</v>
      </c>
      <c r="Q316" t="str">
        <f t="shared" si="18"/>
        <v>Valid</v>
      </c>
    </row>
    <row r="317" spans="1:17" x14ac:dyDescent="0.3">
      <c r="A317" t="s">
        <v>1284</v>
      </c>
      <c r="B317" t="s">
        <v>1285</v>
      </c>
      <c r="C317" t="s">
        <v>76</v>
      </c>
      <c r="D317" t="s">
        <v>34</v>
      </c>
      <c r="E317" t="s">
        <v>26</v>
      </c>
      <c r="F317" t="s">
        <v>18</v>
      </c>
      <c r="G317" s="1">
        <v>44380</v>
      </c>
      <c r="H317" s="1">
        <v>44451</v>
      </c>
      <c r="I317" t="s">
        <v>1286</v>
      </c>
      <c r="J317" t="s">
        <v>1287</v>
      </c>
      <c r="K317" t="s">
        <v>90</v>
      </c>
      <c r="L317" t="s">
        <v>91</v>
      </c>
      <c r="M317" t="s">
        <v>22</v>
      </c>
      <c r="N317" t="str">
        <f t="shared" si="16"/>
        <v>Clean</v>
      </c>
      <c r="O317" t="str">
        <f t="shared" si="19"/>
        <v/>
      </c>
      <c r="P317" t="str">
        <f t="shared" si="17"/>
        <v>Clean</v>
      </c>
      <c r="Q317" t="str">
        <f t="shared" si="18"/>
        <v>Valid</v>
      </c>
    </row>
    <row r="318" spans="1:17" x14ac:dyDescent="0.3">
      <c r="A318" t="s">
        <v>1288</v>
      </c>
      <c r="B318" t="s">
        <v>1289</v>
      </c>
      <c r="C318" t="s">
        <v>46</v>
      </c>
      <c r="D318" t="s">
        <v>34</v>
      </c>
      <c r="E318" t="s">
        <v>26</v>
      </c>
      <c r="F318" t="s">
        <v>18</v>
      </c>
      <c r="G318" s="1">
        <v>43891</v>
      </c>
      <c r="H318" s="1">
        <v>43912</v>
      </c>
      <c r="I318" t="s">
        <v>1290</v>
      </c>
      <c r="J318" t="s">
        <v>1291</v>
      </c>
      <c r="K318" t="s">
        <v>37</v>
      </c>
      <c r="M318" t="s">
        <v>3735</v>
      </c>
      <c r="N318" t="str">
        <f t="shared" si="16"/>
        <v>Flagged</v>
      </c>
      <c r="O318" t="str">
        <f t="shared" si="19"/>
        <v>Missing Verified_By</v>
      </c>
      <c r="P318" t="str">
        <f t="shared" si="17"/>
        <v>Flagged for Review</v>
      </c>
      <c r="Q318" t="str">
        <f t="shared" si="18"/>
        <v>Valid</v>
      </c>
    </row>
    <row r="319" spans="1:17" x14ac:dyDescent="0.3">
      <c r="A319" t="s">
        <v>1292</v>
      </c>
      <c r="B319" t="s">
        <v>1293</v>
      </c>
      <c r="C319" t="s">
        <v>46</v>
      </c>
      <c r="D319" t="s">
        <v>67</v>
      </c>
      <c r="E319" t="s">
        <v>26</v>
      </c>
      <c r="F319" t="s">
        <v>18</v>
      </c>
      <c r="G319" s="1">
        <v>44280</v>
      </c>
      <c r="H319" s="1">
        <v>44626</v>
      </c>
      <c r="I319" t="s">
        <v>1294</v>
      </c>
      <c r="J319" t="s">
        <v>1295</v>
      </c>
      <c r="K319" t="s">
        <v>90</v>
      </c>
      <c r="L319" t="s">
        <v>116</v>
      </c>
      <c r="M319" t="s">
        <v>22</v>
      </c>
      <c r="N319" t="str">
        <f t="shared" si="16"/>
        <v>Clean</v>
      </c>
      <c r="O319" t="str">
        <f t="shared" si="19"/>
        <v/>
      </c>
      <c r="P319" t="str">
        <f t="shared" si="17"/>
        <v>Clean</v>
      </c>
      <c r="Q319" t="str">
        <f t="shared" si="18"/>
        <v>Valid</v>
      </c>
    </row>
    <row r="320" spans="1:17" x14ac:dyDescent="0.3">
      <c r="A320" t="s">
        <v>1296</v>
      </c>
      <c r="B320" t="s">
        <v>1297</v>
      </c>
      <c r="C320" t="s">
        <v>33</v>
      </c>
      <c r="D320" t="s">
        <v>41</v>
      </c>
      <c r="E320" t="s">
        <v>17</v>
      </c>
      <c r="F320" t="s">
        <v>160</v>
      </c>
      <c r="G320" s="1">
        <v>44333</v>
      </c>
      <c r="I320" t="s">
        <v>1298</v>
      </c>
      <c r="J320" t="s">
        <v>1299</v>
      </c>
      <c r="K320" t="s">
        <v>29</v>
      </c>
      <c r="L320" t="s">
        <v>91</v>
      </c>
      <c r="M320" t="s">
        <v>3735</v>
      </c>
      <c r="N320" t="str">
        <f t="shared" si="16"/>
        <v>Flagged</v>
      </c>
      <c r="O320" t="str">
        <f t="shared" si="19"/>
        <v>Missing Last_Updated</v>
      </c>
      <c r="P320" t="str">
        <f t="shared" si="17"/>
        <v>Flagged for Review</v>
      </c>
      <c r="Q320" t="str">
        <f t="shared" si="18"/>
        <v>Valid</v>
      </c>
    </row>
    <row r="321" spans="1:17" x14ac:dyDescent="0.3">
      <c r="A321" t="s">
        <v>1300</v>
      </c>
      <c r="B321" t="s">
        <v>1301</v>
      </c>
      <c r="C321" t="s">
        <v>40</v>
      </c>
      <c r="D321" t="s">
        <v>34</v>
      </c>
      <c r="E321" t="s">
        <v>26</v>
      </c>
      <c r="F321" t="s">
        <v>160</v>
      </c>
      <c r="G321" s="1">
        <v>44693</v>
      </c>
      <c r="H321" s="1">
        <v>44859</v>
      </c>
      <c r="I321" t="s">
        <v>1302</v>
      </c>
      <c r="J321" t="s">
        <v>1303</v>
      </c>
      <c r="K321" t="s">
        <v>90</v>
      </c>
      <c r="L321" t="s">
        <v>55</v>
      </c>
      <c r="M321" t="s">
        <v>22</v>
      </c>
      <c r="N321" t="str">
        <f t="shared" si="16"/>
        <v>Clean</v>
      </c>
      <c r="O321" t="str">
        <f t="shared" si="19"/>
        <v/>
      </c>
      <c r="P321" t="str">
        <f t="shared" si="17"/>
        <v>Clean</v>
      </c>
      <c r="Q321" t="str">
        <f t="shared" si="18"/>
        <v>Valid</v>
      </c>
    </row>
    <row r="322" spans="1:17" x14ac:dyDescent="0.3">
      <c r="A322" t="s">
        <v>1304</v>
      </c>
      <c r="B322" t="s">
        <v>1305</v>
      </c>
      <c r="C322" t="s">
        <v>33</v>
      </c>
      <c r="D322" t="s">
        <v>34</v>
      </c>
      <c r="E322" t="s">
        <v>26</v>
      </c>
      <c r="F322" t="s">
        <v>18</v>
      </c>
      <c r="G322" s="1">
        <v>45085</v>
      </c>
      <c r="H322" s="1">
        <v>45223</v>
      </c>
      <c r="I322" t="s">
        <v>1306</v>
      </c>
      <c r="J322" t="s">
        <v>1307</v>
      </c>
      <c r="K322" t="s">
        <v>21</v>
      </c>
      <c r="L322" t="s">
        <v>30</v>
      </c>
      <c r="M322" t="s">
        <v>22</v>
      </c>
      <c r="N322" t="str">
        <f t="shared" ref="N322:N385" si="20">IF(OR(B322="",H322="",I322="",J322="",L322="",Q322="Invalid"),"Flagged","Clean")</f>
        <v>Clean</v>
      </c>
      <c r="O322" t="str">
        <f t="shared" si="19"/>
        <v/>
      </c>
      <c r="P322" t="str">
        <f t="shared" ref="P322:P385" si="21">IF(N322="Clean","Clean","Flagged for Review")</f>
        <v>Clean</v>
      </c>
      <c r="Q322" t="str">
        <f t="shared" ref="Q322:Q385" si="22">IF(I322="","Blank",IF(ISERROR(FIND("@",I322&amp;"")),"Invalid",IF(FIND("@",I322&amp;"")&lt;2,"Invalid",IF(LEN(I322&amp;"")-FIND("@",I322&amp;"")&lt;4,"Invalid","Valid"))))</f>
        <v>Valid</v>
      </c>
    </row>
    <row r="323" spans="1:17" x14ac:dyDescent="0.3">
      <c r="A323" t="s">
        <v>1308</v>
      </c>
      <c r="B323" t="s">
        <v>1309</v>
      </c>
      <c r="C323" t="s">
        <v>33</v>
      </c>
      <c r="D323" t="s">
        <v>67</v>
      </c>
      <c r="E323" t="s">
        <v>26</v>
      </c>
      <c r="F323" t="s">
        <v>160</v>
      </c>
      <c r="G323" s="1">
        <v>45194</v>
      </c>
      <c r="H323" s="1">
        <v>45370</v>
      </c>
      <c r="I323" t="s">
        <v>1311</v>
      </c>
      <c r="J323" t="s">
        <v>1312</v>
      </c>
      <c r="K323" t="s">
        <v>37</v>
      </c>
      <c r="L323" t="s">
        <v>60</v>
      </c>
      <c r="M323" t="s">
        <v>22</v>
      </c>
      <c r="N323" t="str">
        <f t="shared" si="20"/>
        <v>Clean</v>
      </c>
      <c r="O323" t="str">
        <f t="shared" ref="O323:O386" si="23">TRIM(IF(B323="","Missing Vendor_Name ","")&amp;IF(I323="","Missing Contact_Email ","")&amp;IF(J323="","Missing Account_Code ","")&amp;IF(L323="","Missing Verified_By ","")&amp;IF(Q323="Invalid","Invalid Email Format ","")&amp;IF(H323="","Missing Last_Updated ",""))</f>
        <v/>
      </c>
      <c r="P323" t="str">
        <f t="shared" si="21"/>
        <v>Clean</v>
      </c>
      <c r="Q323" t="str">
        <f t="shared" si="22"/>
        <v>Valid</v>
      </c>
    </row>
    <row r="324" spans="1:17" x14ac:dyDescent="0.3">
      <c r="A324" t="s">
        <v>1313</v>
      </c>
      <c r="B324" t="s">
        <v>1314</v>
      </c>
      <c r="C324" t="s">
        <v>15</v>
      </c>
      <c r="D324" t="s">
        <v>34</v>
      </c>
      <c r="E324" t="s">
        <v>26</v>
      </c>
      <c r="F324" t="s">
        <v>18</v>
      </c>
      <c r="G324" s="1">
        <v>44364</v>
      </c>
      <c r="H324" s="1">
        <v>44658</v>
      </c>
      <c r="I324" t="s">
        <v>1315</v>
      </c>
      <c r="J324" t="s">
        <v>1316</v>
      </c>
      <c r="K324" t="s">
        <v>37</v>
      </c>
      <c r="L324" t="s">
        <v>55</v>
      </c>
      <c r="M324" t="s">
        <v>22</v>
      </c>
      <c r="N324" t="str">
        <f t="shared" si="20"/>
        <v>Clean</v>
      </c>
      <c r="O324" t="str">
        <f t="shared" si="23"/>
        <v/>
      </c>
      <c r="P324" t="str">
        <f t="shared" si="21"/>
        <v>Clean</v>
      </c>
      <c r="Q324" t="str">
        <f t="shared" si="22"/>
        <v>Valid</v>
      </c>
    </row>
    <row r="325" spans="1:17" x14ac:dyDescent="0.3">
      <c r="A325" t="s">
        <v>1317</v>
      </c>
      <c r="B325" t="s">
        <v>252</v>
      </c>
      <c r="C325" t="s">
        <v>76</v>
      </c>
      <c r="D325" t="s">
        <v>34</v>
      </c>
      <c r="E325" t="s">
        <v>26</v>
      </c>
      <c r="F325" t="s">
        <v>18</v>
      </c>
      <c r="G325" s="1">
        <v>44995</v>
      </c>
      <c r="H325" s="1">
        <v>45124</v>
      </c>
      <c r="I325" t="s">
        <v>1318</v>
      </c>
      <c r="J325" t="s">
        <v>1319</v>
      </c>
      <c r="K325" t="s">
        <v>90</v>
      </c>
      <c r="L325" t="s">
        <v>116</v>
      </c>
      <c r="M325" t="s">
        <v>22</v>
      </c>
      <c r="N325" t="str">
        <f t="shared" si="20"/>
        <v>Clean</v>
      </c>
      <c r="O325" t="str">
        <f t="shared" si="23"/>
        <v/>
      </c>
      <c r="P325" t="str">
        <f t="shared" si="21"/>
        <v>Clean</v>
      </c>
      <c r="Q325" t="str">
        <f t="shared" si="22"/>
        <v>Valid</v>
      </c>
    </row>
    <row r="326" spans="1:17" x14ac:dyDescent="0.3">
      <c r="A326" t="s">
        <v>1320</v>
      </c>
      <c r="B326" t="s">
        <v>1321</v>
      </c>
      <c r="C326" t="s">
        <v>46</v>
      </c>
      <c r="D326" t="s">
        <v>25</v>
      </c>
      <c r="E326" t="s">
        <v>26</v>
      </c>
      <c r="F326" t="s">
        <v>160</v>
      </c>
      <c r="G326" s="1">
        <v>45601</v>
      </c>
      <c r="H326" s="1">
        <v>45755</v>
      </c>
      <c r="I326" t="s">
        <v>1322</v>
      </c>
      <c r="J326" t="s">
        <v>1023</v>
      </c>
      <c r="K326" t="s">
        <v>90</v>
      </c>
      <c r="L326" t="s">
        <v>30</v>
      </c>
      <c r="M326" t="s">
        <v>22</v>
      </c>
      <c r="N326" t="str">
        <f t="shared" si="20"/>
        <v>Clean</v>
      </c>
      <c r="O326" t="str">
        <f t="shared" si="23"/>
        <v/>
      </c>
      <c r="P326" t="str">
        <f t="shared" si="21"/>
        <v>Clean</v>
      </c>
      <c r="Q326" t="str">
        <f t="shared" si="22"/>
        <v>Valid</v>
      </c>
    </row>
    <row r="327" spans="1:17" x14ac:dyDescent="0.3">
      <c r="A327" t="s">
        <v>1323</v>
      </c>
      <c r="B327" t="s">
        <v>1324</v>
      </c>
      <c r="C327" t="s">
        <v>33</v>
      </c>
      <c r="D327" t="s">
        <v>77</v>
      </c>
      <c r="E327" t="s">
        <v>52</v>
      </c>
      <c r="F327" t="s">
        <v>18</v>
      </c>
      <c r="G327" s="1">
        <v>44819</v>
      </c>
      <c r="H327" s="1">
        <v>44985</v>
      </c>
      <c r="I327" t="s">
        <v>1325</v>
      </c>
      <c r="J327" t="s">
        <v>1326</v>
      </c>
      <c r="K327" t="s">
        <v>90</v>
      </c>
      <c r="L327" t="s">
        <v>60</v>
      </c>
      <c r="M327" t="s">
        <v>22</v>
      </c>
      <c r="N327" t="str">
        <f t="shared" si="20"/>
        <v>Clean</v>
      </c>
      <c r="O327" t="str">
        <f t="shared" si="23"/>
        <v/>
      </c>
      <c r="P327" t="str">
        <f t="shared" si="21"/>
        <v>Clean</v>
      </c>
      <c r="Q327" t="str">
        <f t="shared" si="22"/>
        <v>Valid</v>
      </c>
    </row>
    <row r="328" spans="1:17" x14ac:dyDescent="0.3">
      <c r="A328" t="s">
        <v>1327</v>
      </c>
      <c r="B328" t="s">
        <v>1328</v>
      </c>
      <c r="C328" t="s">
        <v>33</v>
      </c>
      <c r="D328" t="s">
        <v>41</v>
      </c>
      <c r="E328" t="s">
        <v>17</v>
      </c>
      <c r="F328" t="s">
        <v>160</v>
      </c>
      <c r="G328" s="1">
        <v>44723</v>
      </c>
      <c r="H328" s="1">
        <v>44938</v>
      </c>
      <c r="J328" t="s">
        <v>1329</v>
      </c>
      <c r="K328" t="s">
        <v>29</v>
      </c>
      <c r="L328" t="s">
        <v>91</v>
      </c>
      <c r="M328" t="s">
        <v>3735</v>
      </c>
      <c r="N328" t="str">
        <f t="shared" si="20"/>
        <v>Flagged</v>
      </c>
      <c r="O328" t="str">
        <f t="shared" si="23"/>
        <v>Missing Contact_Email</v>
      </c>
      <c r="P328" t="str">
        <f t="shared" si="21"/>
        <v>Flagged for Review</v>
      </c>
      <c r="Q328" t="str">
        <f t="shared" si="22"/>
        <v>Blank</v>
      </c>
    </row>
    <row r="329" spans="1:17" x14ac:dyDescent="0.3">
      <c r="A329" t="s">
        <v>1330</v>
      </c>
      <c r="B329" t="s">
        <v>1331</v>
      </c>
      <c r="C329" t="s">
        <v>33</v>
      </c>
      <c r="D329" t="s">
        <v>41</v>
      </c>
      <c r="E329" t="s">
        <v>17</v>
      </c>
      <c r="F329" t="s">
        <v>18</v>
      </c>
      <c r="G329" s="1">
        <v>44811</v>
      </c>
      <c r="H329" s="1">
        <v>44819</v>
      </c>
      <c r="I329" t="s">
        <v>1332</v>
      </c>
      <c r="J329" t="s">
        <v>1333</v>
      </c>
      <c r="K329" t="s">
        <v>21</v>
      </c>
      <c r="L329" t="s">
        <v>60</v>
      </c>
      <c r="M329" t="s">
        <v>22</v>
      </c>
      <c r="N329" t="str">
        <f t="shared" si="20"/>
        <v>Clean</v>
      </c>
      <c r="O329" t="str">
        <f t="shared" si="23"/>
        <v/>
      </c>
      <c r="P329" t="str">
        <f t="shared" si="21"/>
        <v>Clean</v>
      </c>
      <c r="Q329" t="str">
        <f t="shared" si="22"/>
        <v>Valid</v>
      </c>
    </row>
    <row r="330" spans="1:17" x14ac:dyDescent="0.3">
      <c r="A330" t="s">
        <v>1334</v>
      </c>
      <c r="B330" t="s">
        <v>1335</v>
      </c>
      <c r="C330" t="s">
        <v>33</v>
      </c>
      <c r="D330" t="s">
        <v>25</v>
      </c>
      <c r="E330" t="s">
        <v>26</v>
      </c>
      <c r="F330" t="s">
        <v>151</v>
      </c>
      <c r="G330" s="1">
        <v>45121</v>
      </c>
      <c r="H330" s="1">
        <v>45384</v>
      </c>
      <c r="I330" t="s">
        <v>1336</v>
      </c>
      <c r="J330" t="s">
        <v>1337</v>
      </c>
      <c r="K330" t="s">
        <v>21</v>
      </c>
      <c r="L330" t="s">
        <v>30</v>
      </c>
      <c r="M330" t="s">
        <v>22</v>
      </c>
      <c r="N330" t="str">
        <f t="shared" si="20"/>
        <v>Clean</v>
      </c>
      <c r="O330" t="str">
        <f t="shared" si="23"/>
        <v/>
      </c>
      <c r="P330" t="str">
        <f t="shared" si="21"/>
        <v>Clean</v>
      </c>
      <c r="Q330" t="str">
        <f t="shared" si="22"/>
        <v>Valid</v>
      </c>
    </row>
    <row r="331" spans="1:17" x14ac:dyDescent="0.3">
      <c r="A331" t="s">
        <v>1338</v>
      </c>
      <c r="B331" t="s">
        <v>1339</v>
      </c>
      <c r="C331" t="s">
        <v>46</v>
      </c>
      <c r="D331" t="s">
        <v>34</v>
      </c>
      <c r="E331" t="s">
        <v>26</v>
      </c>
      <c r="F331" t="s">
        <v>18</v>
      </c>
      <c r="G331" s="1">
        <v>44365</v>
      </c>
      <c r="H331" s="1">
        <v>44468</v>
      </c>
      <c r="I331" t="s">
        <v>1340</v>
      </c>
      <c r="J331" t="s">
        <v>1341</v>
      </c>
      <c r="K331" t="s">
        <v>21</v>
      </c>
      <c r="L331" t="s">
        <v>55</v>
      </c>
      <c r="M331" t="s">
        <v>22</v>
      </c>
      <c r="N331" t="str">
        <f t="shared" si="20"/>
        <v>Clean</v>
      </c>
      <c r="O331" t="str">
        <f t="shared" si="23"/>
        <v/>
      </c>
      <c r="P331" t="str">
        <f t="shared" si="21"/>
        <v>Clean</v>
      </c>
      <c r="Q331" t="str">
        <f t="shared" si="22"/>
        <v>Valid</v>
      </c>
    </row>
    <row r="332" spans="1:17" x14ac:dyDescent="0.3">
      <c r="A332" t="s">
        <v>1342</v>
      </c>
      <c r="B332" t="s">
        <v>1343</v>
      </c>
      <c r="C332" t="s">
        <v>40</v>
      </c>
      <c r="D332" t="s">
        <v>51</v>
      </c>
      <c r="E332" t="s">
        <v>52</v>
      </c>
      <c r="F332" t="s">
        <v>18</v>
      </c>
      <c r="G332" s="1">
        <v>44121</v>
      </c>
      <c r="H332" s="1">
        <v>44136</v>
      </c>
      <c r="I332" t="s">
        <v>1344</v>
      </c>
      <c r="J332" t="s">
        <v>1345</v>
      </c>
      <c r="K332" t="s">
        <v>90</v>
      </c>
      <c r="L332" t="s">
        <v>55</v>
      </c>
      <c r="M332" t="s">
        <v>22</v>
      </c>
      <c r="N332" t="str">
        <f t="shared" si="20"/>
        <v>Clean</v>
      </c>
      <c r="O332" t="str">
        <f t="shared" si="23"/>
        <v/>
      </c>
      <c r="P332" t="str">
        <f t="shared" si="21"/>
        <v>Clean</v>
      </c>
      <c r="Q332" t="str">
        <f t="shared" si="22"/>
        <v>Valid</v>
      </c>
    </row>
    <row r="333" spans="1:17" x14ac:dyDescent="0.3">
      <c r="A333" t="s">
        <v>1346</v>
      </c>
      <c r="B333" t="s">
        <v>1347</v>
      </c>
      <c r="C333" t="s">
        <v>33</v>
      </c>
      <c r="D333" t="s">
        <v>51</v>
      </c>
      <c r="E333" t="s">
        <v>52</v>
      </c>
      <c r="F333" t="s">
        <v>18</v>
      </c>
      <c r="G333" s="1">
        <v>44288</v>
      </c>
      <c r="H333" s="1">
        <v>44533</v>
      </c>
      <c r="I333" t="s">
        <v>1348</v>
      </c>
      <c r="J333" t="s">
        <v>1349</v>
      </c>
      <c r="K333" t="s">
        <v>21</v>
      </c>
      <c r="L333" t="s">
        <v>116</v>
      </c>
      <c r="M333" t="s">
        <v>22</v>
      </c>
      <c r="N333" t="str">
        <f t="shared" si="20"/>
        <v>Clean</v>
      </c>
      <c r="O333" t="str">
        <f t="shared" si="23"/>
        <v/>
      </c>
      <c r="P333" t="str">
        <f t="shared" si="21"/>
        <v>Clean</v>
      </c>
      <c r="Q333" t="str">
        <f t="shared" si="22"/>
        <v>Valid</v>
      </c>
    </row>
    <row r="334" spans="1:17" x14ac:dyDescent="0.3">
      <c r="A334" t="s">
        <v>1350</v>
      </c>
      <c r="B334" t="s">
        <v>1351</v>
      </c>
      <c r="C334" t="s">
        <v>76</v>
      </c>
      <c r="D334" t="s">
        <v>25</v>
      </c>
      <c r="E334" t="s">
        <v>26</v>
      </c>
      <c r="F334" t="s">
        <v>18</v>
      </c>
      <c r="G334" s="1">
        <v>44434</v>
      </c>
      <c r="H334" s="1">
        <v>44686</v>
      </c>
      <c r="I334" t="s">
        <v>1352</v>
      </c>
      <c r="J334" t="s">
        <v>1353</v>
      </c>
      <c r="K334" t="s">
        <v>21</v>
      </c>
      <c r="L334" t="s">
        <v>60</v>
      </c>
      <c r="M334" t="s">
        <v>22</v>
      </c>
      <c r="N334" t="str">
        <f t="shared" si="20"/>
        <v>Clean</v>
      </c>
      <c r="O334" t="str">
        <f t="shared" si="23"/>
        <v/>
      </c>
      <c r="P334" t="str">
        <f t="shared" si="21"/>
        <v>Clean</v>
      </c>
      <c r="Q334" t="str">
        <f t="shared" si="22"/>
        <v>Valid</v>
      </c>
    </row>
    <row r="335" spans="1:17" x14ac:dyDescent="0.3">
      <c r="A335" t="s">
        <v>1354</v>
      </c>
      <c r="B335" t="s">
        <v>1355</v>
      </c>
      <c r="C335" t="s">
        <v>87</v>
      </c>
      <c r="D335" t="s">
        <v>77</v>
      </c>
      <c r="E335" t="s">
        <v>52</v>
      </c>
      <c r="F335" t="s">
        <v>18</v>
      </c>
      <c r="G335" s="1">
        <v>45490</v>
      </c>
      <c r="H335" s="1">
        <v>45656</v>
      </c>
      <c r="I335" t="s">
        <v>1356</v>
      </c>
      <c r="J335" t="s">
        <v>1357</v>
      </c>
      <c r="K335" t="s">
        <v>37</v>
      </c>
      <c r="L335" t="s">
        <v>116</v>
      </c>
      <c r="M335" t="s">
        <v>22</v>
      </c>
      <c r="N335" t="str">
        <f t="shared" si="20"/>
        <v>Clean</v>
      </c>
      <c r="O335" t="str">
        <f t="shared" si="23"/>
        <v/>
      </c>
      <c r="P335" t="str">
        <f t="shared" si="21"/>
        <v>Clean</v>
      </c>
      <c r="Q335" t="str">
        <f t="shared" si="22"/>
        <v>Valid</v>
      </c>
    </row>
    <row r="336" spans="1:17" x14ac:dyDescent="0.3">
      <c r="A336" t="s">
        <v>1358</v>
      </c>
      <c r="B336" t="s">
        <v>1359</v>
      </c>
      <c r="C336" t="s">
        <v>33</v>
      </c>
      <c r="D336" t="s">
        <v>25</v>
      </c>
      <c r="E336" t="s">
        <v>26</v>
      </c>
      <c r="F336" t="s">
        <v>18</v>
      </c>
      <c r="G336" s="1">
        <v>44045</v>
      </c>
      <c r="H336" s="1">
        <v>44306</v>
      </c>
      <c r="I336" t="s">
        <v>1360</v>
      </c>
      <c r="J336" t="s">
        <v>1361</v>
      </c>
      <c r="K336" t="s">
        <v>37</v>
      </c>
      <c r="L336" t="s">
        <v>91</v>
      </c>
      <c r="M336" t="s">
        <v>22</v>
      </c>
      <c r="N336" t="str">
        <f t="shared" si="20"/>
        <v>Clean</v>
      </c>
      <c r="O336" t="str">
        <f t="shared" si="23"/>
        <v/>
      </c>
      <c r="P336" t="str">
        <f t="shared" si="21"/>
        <v>Clean</v>
      </c>
      <c r="Q336" t="str">
        <f t="shared" si="22"/>
        <v>Valid</v>
      </c>
    </row>
    <row r="337" spans="1:17" x14ac:dyDescent="0.3">
      <c r="A337" t="s">
        <v>1362</v>
      </c>
      <c r="B337" t="s">
        <v>1363</v>
      </c>
      <c r="C337" t="s">
        <v>87</v>
      </c>
      <c r="D337" t="s">
        <v>51</v>
      </c>
      <c r="E337" t="s">
        <v>52</v>
      </c>
      <c r="F337" t="s">
        <v>160</v>
      </c>
      <c r="G337" s="1">
        <v>43711</v>
      </c>
      <c r="H337" s="1">
        <v>44011</v>
      </c>
      <c r="I337" t="s">
        <v>1364</v>
      </c>
      <c r="J337" t="s">
        <v>1365</v>
      </c>
      <c r="K337" t="s">
        <v>90</v>
      </c>
      <c r="L337" t="s">
        <v>30</v>
      </c>
      <c r="M337" t="s">
        <v>22</v>
      </c>
      <c r="N337" t="str">
        <f t="shared" si="20"/>
        <v>Clean</v>
      </c>
      <c r="O337" t="str">
        <f t="shared" si="23"/>
        <v/>
      </c>
      <c r="P337" t="str">
        <f t="shared" si="21"/>
        <v>Clean</v>
      </c>
      <c r="Q337" t="str">
        <f t="shared" si="22"/>
        <v>Valid</v>
      </c>
    </row>
    <row r="338" spans="1:17" x14ac:dyDescent="0.3">
      <c r="A338" t="s">
        <v>1366</v>
      </c>
      <c r="B338" t="s">
        <v>1367</v>
      </c>
      <c r="C338" t="s">
        <v>181</v>
      </c>
      <c r="D338" t="s">
        <v>16</v>
      </c>
      <c r="E338" t="s">
        <v>17</v>
      </c>
      <c r="F338" t="s">
        <v>18</v>
      </c>
      <c r="G338" s="1">
        <v>43709</v>
      </c>
      <c r="H338" s="1">
        <v>44000</v>
      </c>
      <c r="I338" t="s">
        <v>1368</v>
      </c>
      <c r="J338" t="s">
        <v>1369</v>
      </c>
      <c r="K338" t="s">
        <v>29</v>
      </c>
      <c r="L338" t="s">
        <v>91</v>
      </c>
      <c r="M338" t="s">
        <v>22</v>
      </c>
      <c r="N338" t="str">
        <f t="shared" si="20"/>
        <v>Clean</v>
      </c>
      <c r="O338" t="str">
        <f t="shared" si="23"/>
        <v/>
      </c>
      <c r="P338" t="str">
        <f t="shared" si="21"/>
        <v>Clean</v>
      </c>
      <c r="Q338" t="str">
        <f t="shared" si="22"/>
        <v>Valid</v>
      </c>
    </row>
    <row r="339" spans="1:17" x14ac:dyDescent="0.3">
      <c r="A339" t="s">
        <v>1370</v>
      </c>
      <c r="B339" t="s">
        <v>1371</v>
      </c>
      <c r="C339" t="s">
        <v>15</v>
      </c>
      <c r="D339" t="s">
        <v>77</v>
      </c>
      <c r="E339" t="s">
        <v>52</v>
      </c>
      <c r="F339" t="s">
        <v>18</v>
      </c>
      <c r="G339" s="1">
        <v>44167</v>
      </c>
      <c r="H339" s="1">
        <v>44342</v>
      </c>
      <c r="I339" t="s">
        <v>1372</v>
      </c>
      <c r="J339" t="s">
        <v>1373</v>
      </c>
      <c r="K339" t="s">
        <v>37</v>
      </c>
      <c r="M339" t="s">
        <v>3735</v>
      </c>
      <c r="N339" t="str">
        <f t="shared" si="20"/>
        <v>Flagged</v>
      </c>
      <c r="O339" t="str">
        <f t="shared" si="23"/>
        <v>Missing Verified_By</v>
      </c>
      <c r="P339" t="str">
        <f t="shared" si="21"/>
        <v>Flagged for Review</v>
      </c>
      <c r="Q339" t="str">
        <f t="shared" si="22"/>
        <v>Valid</v>
      </c>
    </row>
    <row r="340" spans="1:17" x14ac:dyDescent="0.3">
      <c r="A340" t="s">
        <v>1374</v>
      </c>
      <c r="B340" t="s">
        <v>1375</v>
      </c>
      <c r="C340" t="s">
        <v>40</v>
      </c>
      <c r="D340" t="s">
        <v>51</v>
      </c>
      <c r="E340" t="s">
        <v>52</v>
      </c>
      <c r="F340" t="s">
        <v>18</v>
      </c>
      <c r="G340" s="1">
        <v>44543</v>
      </c>
      <c r="H340" s="1">
        <v>44907</v>
      </c>
      <c r="I340" t="s">
        <v>1376</v>
      </c>
      <c r="J340" t="s">
        <v>1377</v>
      </c>
      <c r="K340" t="s">
        <v>21</v>
      </c>
      <c r="L340" t="s">
        <v>30</v>
      </c>
      <c r="M340" t="s">
        <v>22</v>
      </c>
      <c r="N340" t="str">
        <f t="shared" si="20"/>
        <v>Clean</v>
      </c>
      <c r="O340" t="str">
        <f t="shared" si="23"/>
        <v/>
      </c>
      <c r="P340" t="str">
        <f t="shared" si="21"/>
        <v>Clean</v>
      </c>
      <c r="Q340" t="str">
        <f t="shared" si="22"/>
        <v>Valid</v>
      </c>
    </row>
    <row r="341" spans="1:17" x14ac:dyDescent="0.3">
      <c r="A341" t="s">
        <v>1378</v>
      </c>
      <c r="B341" t="s">
        <v>1379</v>
      </c>
      <c r="C341" t="s">
        <v>76</v>
      </c>
      <c r="D341" t="s">
        <v>41</v>
      </c>
      <c r="E341" t="s">
        <v>17</v>
      </c>
      <c r="F341" t="s">
        <v>18</v>
      </c>
      <c r="G341" s="1">
        <v>45106</v>
      </c>
      <c r="H341" s="1">
        <v>45374</v>
      </c>
      <c r="I341" t="s">
        <v>1380</v>
      </c>
      <c r="J341" t="s">
        <v>1381</v>
      </c>
      <c r="K341" t="s">
        <v>29</v>
      </c>
      <c r="M341" t="s">
        <v>3735</v>
      </c>
      <c r="N341" t="str">
        <f t="shared" si="20"/>
        <v>Flagged</v>
      </c>
      <c r="O341" t="str">
        <f t="shared" si="23"/>
        <v>Missing Verified_By</v>
      </c>
      <c r="P341" t="str">
        <f t="shared" si="21"/>
        <v>Flagged for Review</v>
      </c>
      <c r="Q341" t="str">
        <f t="shared" si="22"/>
        <v>Valid</v>
      </c>
    </row>
    <row r="342" spans="1:17" x14ac:dyDescent="0.3">
      <c r="A342" t="s">
        <v>1382</v>
      </c>
      <c r="B342" t="s">
        <v>1383</v>
      </c>
      <c r="C342" t="s">
        <v>15</v>
      </c>
      <c r="D342" t="s">
        <v>34</v>
      </c>
      <c r="E342" t="s">
        <v>26</v>
      </c>
      <c r="F342" t="s">
        <v>18</v>
      </c>
      <c r="G342" s="1">
        <v>44018</v>
      </c>
      <c r="H342" s="1">
        <v>44264</v>
      </c>
      <c r="I342" t="s">
        <v>1384</v>
      </c>
      <c r="J342" t="s">
        <v>1385</v>
      </c>
      <c r="K342" t="s">
        <v>21</v>
      </c>
      <c r="L342" t="s">
        <v>30</v>
      </c>
      <c r="M342" t="s">
        <v>22</v>
      </c>
      <c r="N342" t="str">
        <f t="shared" si="20"/>
        <v>Clean</v>
      </c>
      <c r="O342" t="str">
        <f t="shared" si="23"/>
        <v/>
      </c>
      <c r="P342" t="str">
        <f t="shared" si="21"/>
        <v>Clean</v>
      </c>
      <c r="Q342" t="str">
        <f t="shared" si="22"/>
        <v>Valid</v>
      </c>
    </row>
    <row r="343" spans="1:17" x14ac:dyDescent="0.3">
      <c r="A343" t="s">
        <v>1386</v>
      </c>
      <c r="B343" t="s">
        <v>1387</v>
      </c>
      <c r="C343" t="s">
        <v>33</v>
      </c>
      <c r="D343" t="s">
        <v>51</v>
      </c>
      <c r="E343" t="s">
        <v>52</v>
      </c>
      <c r="F343" t="s">
        <v>18</v>
      </c>
      <c r="G343" s="1">
        <v>44209</v>
      </c>
      <c r="H343" s="1">
        <v>44282</v>
      </c>
      <c r="I343" t="s">
        <v>1388</v>
      </c>
      <c r="J343" t="s">
        <v>1389</v>
      </c>
      <c r="K343" t="s">
        <v>90</v>
      </c>
      <c r="L343" t="s">
        <v>55</v>
      </c>
      <c r="M343" t="s">
        <v>22</v>
      </c>
      <c r="N343" t="str">
        <f t="shared" si="20"/>
        <v>Clean</v>
      </c>
      <c r="O343" t="str">
        <f t="shared" si="23"/>
        <v/>
      </c>
      <c r="P343" t="str">
        <f t="shared" si="21"/>
        <v>Clean</v>
      </c>
      <c r="Q343" t="str">
        <f t="shared" si="22"/>
        <v>Valid</v>
      </c>
    </row>
    <row r="344" spans="1:17" x14ac:dyDescent="0.3">
      <c r="A344" t="s">
        <v>1390</v>
      </c>
      <c r="B344" t="s">
        <v>1391</v>
      </c>
      <c r="C344" t="s">
        <v>15</v>
      </c>
      <c r="D344" t="s">
        <v>67</v>
      </c>
      <c r="E344" t="s">
        <v>26</v>
      </c>
      <c r="F344" t="s">
        <v>18</v>
      </c>
      <c r="G344" s="1">
        <v>45361</v>
      </c>
      <c r="H344" s="1">
        <v>45452</v>
      </c>
      <c r="I344" t="s">
        <v>1392</v>
      </c>
      <c r="J344" t="s">
        <v>1393</v>
      </c>
      <c r="K344" t="s">
        <v>90</v>
      </c>
      <c r="L344" t="s">
        <v>60</v>
      </c>
      <c r="M344" t="s">
        <v>22</v>
      </c>
      <c r="N344" t="str">
        <f t="shared" si="20"/>
        <v>Clean</v>
      </c>
      <c r="O344" t="str">
        <f t="shared" si="23"/>
        <v/>
      </c>
      <c r="P344" t="str">
        <f t="shared" si="21"/>
        <v>Clean</v>
      </c>
      <c r="Q344" t="str">
        <f t="shared" si="22"/>
        <v>Valid</v>
      </c>
    </row>
    <row r="345" spans="1:17" x14ac:dyDescent="0.3">
      <c r="A345" t="s">
        <v>1394</v>
      </c>
      <c r="B345" t="s">
        <v>1395</v>
      </c>
      <c r="C345" t="s">
        <v>15</v>
      </c>
      <c r="D345" t="s">
        <v>25</v>
      </c>
      <c r="E345" t="s">
        <v>26</v>
      </c>
      <c r="F345" t="s">
        <v>18</v>
      </c>
      <c r="G345" s="1">
        <v>44122</v>
      </c>
      <c r="H345" s="1">
        <v>44261</v>
      </c>
      <c r="I345" t="s">
        <v>1396</v>
      </c>
      <c r="J345" t="s">
        <v>1397</v>
      </c>
      <c r="K345" t="s">
        <v>37</v>
      </c>
      <c r="L345" t="s">
        <v>30</v>
      </c>
      <c r="M345" t="s">
        <v>22</v>
      </c>
      <c r="N345" t="str">
        <f t="shared" si="20"/>
        <v>Clean</v>
      </c>
      <c r="O345" t="str">
        <f t="shared" si="23"/>
        <v/>
      </c>
      <c r="P345" t="str">
        <f t="shared" si="21"/>
        <v>Clean</v>
      </c>
      <c r="Q345" t="str">
        <f t="shared" si="22"/>
        <v>Valid</v>
      </c>
    </row>
    <row r="346" spans="1:17" x14ac:dyDescent="0.3">
      <c r="A346" t="s">
        <v>1398</v>
      </c>
      <c r="B346" t="s">
        <v>1399</v>
      </c>
      <c r="C346" t="s">
        <v>46</v>
      </c>
      <c r="D346" t="s">
        <v>67</v>
      </c>
      <c r="E346" t="s">
        <v>26</v>
      </c>
      <c r="F346" t="s">
        <v>18</v>
      </c>
      <c r="G346" s="1">
        <v>44534</v>
      </c>
      <c r="H346" s="1">
        <v>44638</v>
      </c>
      <c r="I346" t="s">
        <v>1400</v>
      </c>
      <c r="J346" t="s">
        <v>1401</v>
      </c>
      <c r="K346" t="s">
        <v>29</v>
      </c>
      <c r="L346" t="s">
        <v>30</v>
      </c>
      <c r="M346" t="s">
        <v>22</v>
      </c>
      <c r="N346" t="str">
        <f t="shared" si="20"/>
        <v>Clean</v>
      </c>
      <c r="O346" t="str">
        <f t="shared" si="23"/>
        <v/>
      </c>
      <c r="P346" t="str">
        <f t="shared" si="21"/>
        <v>Clean</v>
      </c>
      <c r="Q346" t="str">
        <f t="shared" si="22"/>
        <v>Valid</v>
      </c>
    </row>
    <row r="347" spans="1:17" x14ac:dyDescent="0.3">
      <c r="A347" t="s">
        <v>1402</v>
      </c>
      <c r="B347" t="s">
        <v>1403</v>
      </c>
      <c r="C347" t="s">
        <v>181</v>
      </c>
      <c r="D347" t="s">
        <v>25</v>
      </c>
      <c r="E347" t="s">
        <v>26</v>
      </c>
      <c r="F347" t="s">
        <v>18</v>
      </c>
      <c r="G347" s="1">
        <v>43870</v>
      </c>
      <c r="H347" s="1">
        <v>43886</v>
      </c>
      <c r="I347" t="s">
        <v>704</v>
      </c>
      <c r="J347" t="s">
        <v>1404</v>
      </c>
      <c r="K347" t="s">
        <v>21</v>
      </c>
      <c r="L347" t="s">
        <v>91</v>
      </c>
      <c r="M347" t="s">
        <v>3735</v>
      </c>
      <c r="N347" t="str">
        <f t="shared" si="20"/>
        <v>Flagged</v>
      </c>
      <c r="O347" t="str">
        <f t="shared" si="23"/>
        <v>Invalid Email Format</v>
      </c>
      <c r="P347" t="str">
        <f t="shared" si="21"/>
        <v>Flagged for Review</v>
      </c>
      <c r="Q347" t="str">
        <f t="shared" si="22"/>
        <v>Invalid</v>
      </c>
    </row>
    <row r="348" spans="1:17" x14ac:dyDescent="0.3">
      <c r="A348" t="s">
        <v>1405</v>
      </c>
      <c r="B348" t="s">
        <v>1406</v>
      </c>
      <c r="C348" t="s">
        <v>181</v>
      </c>
      <c r="D348" t="s">
        <v>34</v>
      </c>
      <c r="E348" t="s">
        <v>26</v>
      </c>
      <c r="F348" t="s">
        <v>18</v>
      </c>
      <c r="G348" s="1">
        <v>45651</v>
      </c>
      <c r="H348" s="1">
        <v>45698</v>
      </c>
      <c r="I348" t="s">
        <v>1407</v>
      </c>
      <c r="J348" t="s">
        <v>1408</v>
      </c>
      <c r="K348" t="s">
        <v>37</v>
      </c>
      <c r="L348" t="s">
        <v>55</v>
      </c>
      <c r="M348" t="s">
        <v>22</v>
      </c>
      <c r="N348" t="str">
        <f t="shared" si="20"/>
        <v>Clean</v>
      </c>
      <c r="O348" t="str">
        <f t="shared" si="23"/>
        <v/>
      </c>
      <c r="P348" t="str">
        <f t="shared" si="21"/>
        <v>Clean</v>
      </c>
      <c r="Q348" t="str">
        <f t="shared" si="22"/>
        <v>Valid</v>
      </c>
    </row>
    <row r="349" spans="1:17" x14ac:dyDescent="0.3">
      <c r="A349" t="s">
        <v>1409</v>
      </c>
      <c r="B349" t="s">
        <v>1410</v>
      </c>
      <c r="C349" t="s">
        <v>46</v>
      </c>
      <c r="D349" t="s">
        <v>41</v>
      </c>
      <c r="E349" t="s">
        <v>17</v>
      </c>
      <c r="F349" t="s">
        <v>151</v>
      </c>
      <c r="G349" s="1">
        <v>44625</v>
      </c>
      <c r="H349" s="1">
        <v>44971</v>
      </c>
      <c r="I349" t="s">
        <v>1411</v>
      </c>
      <c r="J349" t="s">
        <v>1412</v>
      </c>
      <c r="K349" t="s">
        <v>37</v>
      </c>
      <c r="L349" t="s">
        <v>30</v>
      </c>
      <c r="M349" t="s">
        <v>22</v>
      </c>
      <c r="N349" t="str">
        <f t="shared" si="20"/>
        <v>Clean</v>
      </c>
      <c r="O349" t="str">
        <f t="shared" si="23"/>
        <v/>
      </c>
      <c r="P349" t="str">
        <f t="shared" si="21"/>
        <v>Clean</v>
      </c>
      <c r="Q349" t="str">
        <f t="shared" si="22"/>
        <v>Valid</v>
      </c>
    </row>
    <row r="350" spans="1:17" x14ac:dyDescent="0.3">
      <c r="A350" t="s">
        <v>1413</v>
      </c>
      <c r="B350" t="s">
        <v>1414</v>
      </c>
      <c r="C350" t="s">
        <v>46</v>
      </c>
      <c r="D350" t="s">
        <v>51</v>
      </c>
      <c r="E350" t="s">
        <v>52</v>
      </c>
      <c r="F350" t="s">
        <v>160</v>
      </c>
      <c r="G350" s="1">
        <v>43947</v>
      </c>
      <c r="H350" s="1">
        <v>44086</v>
      </c>
      <c r="I350" t="s">
        <v>1415</v>
      </c>
      <c r="J350" t="s">
        <v>1416</v>
      </c>
      <c r="K350" t="s">
        <v>29</v>
      </c>
      <c r="L350" t="s">
        <v>60</v>
      </c>
      <c r="M350" t="s">
        <v>22</v>
      </c>
      <c r="N350" t="str">
        <f t="shared" si="20"/>
        <v>Clean</v>
      </c>
      <c r="O350" t="str">
        <f t="shared" si="23"/>
        <v/>
      </c>
      <c r="P350" t="str">
        <f t="shared" si="21"/>
        <v>Clean</v>
      </c>
      <c r="Q350" t="str">
        <f t="shared" si="22"/>
        <v>Valid</v>
      </c>
    </row>
    <row r="351" spans="1:17" x14ac:dyDescent="0.3">
      <c r="A351" t="s">
        <v>1417</v>
      </c>
      <c r="B351" t="s">
        <v>1418</v>
      </c>
      <c r="C351" t="s">
        <v>181</v>
      </c>
      <c r="D351" t="s">
        <v>77</v>
      </c>
      <c r="E351" t="s">
        <v>52</v>
      </c>
      <c r="F351" t="s">
        <v>18</v>
      </c>
      <c r="G351" s="1">
        <v>45338</v>
      </c>
      <c r="H351" s="1">
        <v>45370</v>
      </c>
      <c r="I351" t="s">
        <v>1419</v>
      </c>
      <c r="J351" t="s">
        <v>1420</v>
      </c>
      <c r="K351" t="s">
        <v>90</v>
      </c>
      <c r="M351" t="s">
        <v>3735</v>
      </c>
      <c r="N351" t="str">
        <f t="shared" si="20"/>
        <v>Flagged</v>
      </c>
      <c r="O351" t="str">
        <f t="shared" si="23"/>
        <v>Missing Verified_By</v>
      </c>
      <c r="P351" t="str">
        <f t="shared" si="21"/>
        <v>Flagged for Review</v>
      </c>
      <c r="Q351" t="str">
        <f t="shared" si="22"/>
        <v>Valid</v>
      </c>
    </row>
    <row r="352" spans="1:17" x14ac:dyDescent="0.3">
      <c r="A352" t="s">
        <v>1421</v>
      </c>
      <c r="B352" t="s">
        <v>1422</v>
      </c>
      <c r="C352" t="s">
        <v>15</v>
      </c>
      <c r="D352" t="s">
        <v>51</v>
      </c>
      <c r="E352" t="s">
        <v>52</v>
      </c>
      <c r="F352" t="s">
        <v>151</v>
      </c>
      <c r="G352" s="1">
        <v>44156</v>
      </c>
      <c r="H352" s="1">
        <v>44158</v>
      </c>
      <c r="I352" t="s">
        <v>1423</v>
      </c>
      <c r="J352" t="s">
        <v>1424</v>
      </c>
      <c r="K352" t="s">
        <v>37</v>
      </c>
      <c r="M352" t="s">
        <v>3735</v>
      </c>
      <c r="N352" t="str">
        <f t="shared" si="20"/>
        <v>Flagged</v>
      </c>
      <c r="O352" t="str">
        <f t="shared" si="23"/>
        <v>Missing Verified_By</v>
      </c>
      <c r="P352" t="str">
        <f t="shared" si="21"/>
        <v>Flagged for Review</v>
      </c>
      <c r="Q352" t="str">
        <f t="shared" si="22"/>
        <v>Valid</v>
      </c>
    </row>
    <row r="353" spans="1:17" x14ac:dyDescent="0.3">
      <c r="A353" t="s">
        <v>1425</v>
      </c>
      <c r="B353" t="s">
        <v>1426</v>
      </c>
      <c r="C353" t="s">
        <v>76</v>
      </c>
      <c r="D353" t="s">
        <v>41</v>
      </c>
      <c r="E353" t="s">
        <v>17</v>
      </c>
      <c r="F353" t="s">
        <v>18</v>
      </c>
      <c r="G353" s="1">
        <v>44331</v>
      </c>
      <c r="H353" s="1">
        <v>44401</v>
      </c>
      <c r="I353" t="s">
        <v>1427</v>
      </c>
      <c r="J353" t="s">
        <v>1428</v>
      </c>
      <c r="K353" t="s">
        <v>29</v>
      </c>
      <c r="L353" t="s">
        <v>60</v>
      </c>
      <c r="M353" t="s">
        <v>22</v>
      </c>
      <c r="N353" t="str">
        <f t="shared" si="20"/>
        <v>Clean</v>
      </c>
      <c r="O353" t="str">
        <f t="shared" si="23"/>
        <v/>
      </c>
      <c r="P353" t="str">
        <f t="shared" si="21"/>
        <v>Clean</v>
      </c>
      <c r="Q353" t="str">
        <f t="shared" si="22"/>
        <v>Valid</v>
      </c>
    </row>
    <row r="354" spans="1:17" x14ac:dyDescent="0.3">
      <c r="A354" t="s">
        <v>1429</v>
      </c>
      <c r="B354" t="s">
        <v>1430</v>
      </c>
      <c r="C354" t="s">
        <v>87</v>
      </c>
      <c r="D354" t="s">
        <v>34</v>
      </c>
      <c r="E354" t="s">
        <v>26</v>
      </c>
      <c r="F354" t="s">
        <v>18</v>
      </c>
      <c r="G354" s="1">
        <v>44827</v>
      </c>
      <c r="H354" s="1">
        <v>44895</v>
      </c>
      <c r="I354" t="s">
        <v>1431</v>
      </c>
      <c r="J354" t="s">
        <v>881</v>
      </c>
      <c r="K354" t="s">
        <v>29</v>
      </c>
      <c r="M354" t="s">
        <v>3735</v>
      </c>
      <c r="N354" t="str">
        <f t="shared" si="20"/>
        <v>Flagged</v>
      </c>
      <c r="O354" t="str">
        <f t="shared" si="23"/>
        <v>Missing Verified_By</v>
      </c>
      <c r="P354" t="str">
        <f t="shared" si="21"/>
        <v>Flagged for Review</v>
      </c>
      <c r="Q354" t="str">
        <f t="shared" si="22"/>
        <v>Valid</v>
      </c>
    </row>
    <row r="355" spans="1:17" x14ac:dyDescent="0.3">
      <c r="A355" t="s">
        <v>1432</v>
      </c>
      <c r="B355" t="s">
        <v>1433</v>
      </c>
      <c r="C355" t="s">
        <v>15</v>
      </c>
      <c r="D355" t="s">
        <v>51</v>
      </c>
      <c r="E355" t="s">
        <v>52</v>
      </c>
      <c r="F355" t="s">
        <v>18</v>
      </c>
      <c r="G355" s="1">
        <v>44921</v>
      </c>
      <c r="H355" s="1">
        <v>45028</v>
      </c>
      <c r="I355" t="s">
        <v>1434</v>
      </c>
      <c r="J355" t="s">
        <v>1435</v>
      </c>
      <c r="K355" t="s">
        <v>37</v>
      </c>
      <c r="L355" t="s">
        <v>91</v>
      </c>
      <c r="M355" t="s">
        <v>22</v>
      </c>
      <c r="N355" t="str">
        <f t="shared" si="20"/>
        <v>Clean</v>
      </c>
      <c r="O355" t="str">
        <f t="shared" si="23"/>
        <v/>
      </c>
      <c r="P355" t="str">
        <f t="shared" si="21"/>
        <v>Clean</v>
      </c>
      <c r="Q355" t="str">
        <f t="shared" si="22"/>
        <v>Valid</v>
      </c>
    </row>
    <row r="356" spans="1:17" x14ac:dyDescent="0.3">
      <c r="A356" t="s">
        <v>1436</v>
      </c>
      <c r="B356" t="s">
        <v>1437</v>
      </c>
      <c r="C356" t="s">
        <v>46</v>
      </c>
      <c r="D356" t="s">
        <v>34</v>
      </c>
      <c r="E356" t="s">
        <v>26</v>
      </c>
      <c r="F356" t="s">
        <v>160</v>
      </c>
      <c r="G356" s="1">
        <v>45292</v>
      </c>
      <c r="H356" s="1">
        <v>45607</v>
      </c>
      <c r="I356" t="s">
        <v>1438</v>
      </c>
      <c r="J356" t="s">
        <v>1439</v>
      </c>
      <c r="K356" t="s">
        <v>29</v>
      </c>
      <c r="L356" t="s">
        <v>55</v>
      </c>
      <c r="M356" t="s">
        <v>22</v>
      </c>
      <c r="N356" t="str">
        <f t="shared" si="20"/>
        <v>Clean</v>
      </c>
      <c r="O356" t="str">
        <f t="shared" si="23"/>
        <v/>
      </c>
      <c r="P356" t="str">
        <f t="shared" si="21"/>
        <v>Clean</v>
      </c>
      <c r="Q356" t="str">
        <f t="shared" si="22"/>
        <v>Valid</v>
      </c>
    </row>
    <row r="357" spans="1:17" x14ac:dyDescent="0.3">
      <c r="A357" t="s">
        <v>1440</v>
      </c>
      <c r="B357" t="s">
        <v>3723</v>
      </c>
      <c r="C357" t="s">
        <v>46</v>
      </c>
      <c r="D357" t="s">
        <v>51</v>
      </c>
      <c r="E357" t="s">
        <v>52</v>
      </c>
      <c r="F357" t="s">
        <v>18</v>
      </c>
      <c r="G357" s="1">
        <v>43538</v>
      </c>
      <c r="H357" s="1">
        <v>43554</v>
      </c>
      <c r="I357" t="s">
        <v>1442</v>
      </c>
      <c r="J357" t="s">
        <v>1443</v>
      </c>
      <c r="K357" t="s">
        <v>21</v>
      </c>
      <c r="L357" t="s">
        <v>30</v>
      </c>
      <c r="M357" t="s">
        <v>22</v>
      </c>
      <c r="N357" t="str">
        <f t="shared" si="20"/>
        <v>Clean</v>
      </c>
      <c r="O357" t="str">
        <f t="shared" si="23"/>
        <v/>
      </c>
      <c r="P357" t="str">
        <f t="shared" si="21"/>
        <v>Clean</v>
      </c>
      <c r="Q357" t="str">
        <f t="shared" si="22"/>
        <v>Valid</v>
      </c>
    </row>
    <row r="358" spans="1:17" x14ac:dyDescent="0.3">
      <c r="A358" t="s">
        <v>1444</v>
      </c>
      <c r="B358" t="s">
        <v>1445</v>
      </c>
      <c r="C358" t="s">
        <v>40</v>
      </c>
      <c r="D358" t="s">
        <v>34</v>
      </c>
      <c r="E358" t="s">
        <v>26</v>
      </c>
      <c r="F358" t="s">
        <v>18</v>
      </c>
      <c r="G358" s="1">
        <v>44907</v>
      </c>
      <c r="H358" s="1">
        <v>45266</v>
      </c>
      <c r="I358" t="s">
        <v>1446</v>
      </c>
      <c r="J358" t="s">
        <v>1447</v>
      </c>
      <c r="K358" t="s">
        <v>29</v>
      </c>
      <c r="L358" t="s">
        <v>116</v>
      </c>
      <c r="M358" t="s">
        <v>22</v>
      </c>
      <c r="N358" t="str">
        <f t="shared" si="20"/>
        <v>Clean</v>
      </c>
      <c r="O358" t="str">
        <f t="shared" si="23"/>
        <v/>
      </c>
      <c r="P358" t="str">
        <f t="shared" si="21"/>
        <v>Clean</v>
      </c>
      <c r="Q358" t="str">
        <f t="shared" si="22"/>
        <v>Valid</v>
      </c>
    </row>
    <row r="359" spans="1:17" x14ac:dyDescent="0.3">
      <c r="A359" t="s">
        <v>1448</v>
      </c>
      <c r="B359" t="s">
        <v>1449</v>
      </c>
      <c r="C359" t="s">
        <v>76</v>
      </c>
      <c r="D359" t="s">
        <v>41</v>
      </c>
      <c r="E359" t="s">
        <v>17</v>
      </c>
      <c r="F359" t="s">
        <v>18</v>
      </c>
      <c r="G359" s="1">
        <v>45232</v>
      </c>
      <c r="H359" s="1">
        <v>45343</v>
      </c>
      <c r="I359" t="s">
        <v>1450</v>
      </c>
      <c r="J359" t="s">
        <v>1451</v>
      </c>
      <c r="K359" t="s">
        <v>21</v>
      </c>
      <c r="M359" t="s">
        <v>3735</v>
      </c>
      <c r="N359" t="str">
        <f t="shared" si="20"/>
        <v>Flagged</v>
      </c>
      <c r="O359" t="str">
        <f t="shared" si="23"/>
        <v>Missing Verified_By</v>
      </c>
      <c r="P359" t="str">
        <f t="shared" si="21"/>
        <v>Flagged for Review</v>
      </c>
      <c r="Q359" t="str">
        <f t="shared" si="22"/>
        <v>Valid</v>
      </c>
    </row>
    <row r="360" spans="1:17" x14ac:dyDescent="0.3">
      <c r="A360" t="s">
        <v>1452</v>
      </c>
      <c r="B360" t="s">
        <v>1453</v>
      </c>
      <c r="C360" t="s">
        <v>181</v>
      </c>
      <c r="D360" t="s">
        <v>77</v>
      </c>
      <c r="E360" t="s">
        <v>52</v>
      </c>
      <c r="F360" t="s">
        <v>18</v>
      </c>
      <c r="G360" s="1">
        <v>45142</v>
      </c>
      <c r="H360" s="1">
        <v>45196</v>
      </c>
      <c r="I360" t="s">
        <v>1454</v>
      </c>
      <c r="J360" t="s">
        <v>1455</v>
      </c>
      <c r="K360" t="s">
        <v>37</v>
      </c>
      <c r="L360" t="s">
        <v>60</v>
      </c>
      <c r="M360" t="s">
        <v>22</v>
      </c>
      <c r="N360" t="str">
        <f t="shared" si="20"/>
        <v>Clean</v>
      </c>
      <c r="O360" t="str">
        <f t="shared" si="23"/>
        <v/>
      </c>
      <c r="P360" t="str">
        <f t="shared" si="21"/>
        <v>Clean</v>
      </c>
      <c r="Q360" t="str">
        <f t="shared" si="22"/>
        <v>Valid</v>
      </c>
    </row>
    <row r="361" spans="1:17" x14ac:dyDescent="0.3">
      <c r="A361" t="s">
        <v>1456</v>
      </c>
      <c r="B361" t="s">
        <v>1457</v>
      </c>
      <c r="C361" t="s">
        <v>15</v>
      </c>
      <c r="D361" t="s">
        <v>25</v>
      </c>
      <c r="E361" t="s">
        <v>26</v>
      </c>
      <c r="F361" t="s">
        <v>18</v>
      </c>
      <c r="G361" s="1">
        <v>44270</v>
      </c>
      <c r="H361" s="1">
        <v>43792</v>
      </c>
      <c r="I361" t="s">
        <v>1458</v>
      </c>
      <c r="J361" t="s">
        <v>1459</v>
      </c>
      <c r="K361" t="s">
        <v>21</v>
      </c>
      <c r="L361" t="s">
        <v>91</v>
      </c>
      <c r="M361" t="s">
        <v>22</v>
      </c>
      <c r="N361" t="str">
        <f t="shared" si="20"/>
        <v>Clean</v>
      </c>
      <c r="O361" t="str">
        <f t="shared" si="23"/>
        <v/>
      </c>
      <c r="P361" t="str">
        <f t="shared" si="21"/>
        <v>Clean</v>
      </c>
      <c r="Q361" t="str">
        <f t="shared" si="22"/>
        <v>Valid</v>
      </c>
    </row>
    <row r="362" spans="1:17" x14ac:dyDescent="0.3">
      <c r="A362" t="s">
        <v>1460</v>
      </c>
      <c r="B362" t="s">
        <v>1461</v>
      </c>
      <c r="C362" t="s">
        <v>33</v>
      </c>
      <c r="D362" t="s">
        <v>16</v>
      </c>
      <c r="E362" t="s">
        <v>17</v>
      </c>
      <c r="F362" t="s">
        <v>18</v>
      </c>
      <c r="G362" s="1">
        <v>45556</v>
      </c>
      <c r="H362" s="1">
        <v>45880</v>
      </c>
      <c r="I362" t="s">
        <v>1462</v>
      </c>
      <c r="J362" t="s">
        <v>1463</v>
      </c>
      <c r="K362" t="s">
        <v>37</v>
      </c>
      <c r="L362" t="s">
        <v>116</v>
      </c>
      <c r="M362" t="s">
        <v>22</v>
      </c>
      <c r="N362" t="str">
        <f t="shared" si="20"/>
        <v>Clean</v>
      </c>
      <c r="O362" t="str">
        <f t="shared" si="23"/>
        <v/>
      </c>
      <c r="P362" t="str">
        <f t="shared" si="21"/>
        <v>Clean</v>
      </c>
      <c r="Q362" t="str">
        <f t="shared" si="22"/>
        <v>Valid</v>
      </c>
    </row>
    <row r="363" spans="1:17" x14ac:dyDescent="0.3">
      <c r="A363" t="s">
        <v>1464</v>
      </c>
      <c r="B363" t="s">
        <v>1465</v>
      </c>
      <c r="C363" t="s">
        <v>181</v>
      </c>
      <c r="D363" t="s">
        <v>77</v>
      </c>
      <c r="E363" t="s">
        <v>52</v>
      </c>
      <c r="F363" t="s">
        <v>18</v>
      </c>
      <c r="G363" s="1">
        <v>44562</v>
      </c>
      <c r="H363" s="1">
        <v>44178</v>
      </c>
      <c r="I363" t="s">
        <v>1466</v>
      </c>
      <c r="J363" t="s">
        <v>1467</v>
      </c>
      <c r="K363" t="s">
        <v>29</v>
      </c>
      <c r="L363" t="s">
        <v>30</v>
      </c>
      <c r="M363" t="s">
        <v>22</v>
      </c>
      <c r="N363" t="str">
        <f t="shared" si="20"/>
        <v>Clean</v>
      </c>
      <c r="O363" t="str">
        <f t="shared" si="23"/>
        <v/>
      </c>
      <c r="P363" t="str">
        <f t="shared" si="21"/>
        <v>Clean</v>
      </c>
      <c r="Q363" t="str">
        <f t="shared" si="22"/>
        <v>Valid</v>
      </c>
    </row>
    <row r="364" spans="1:17" x14ac:dyDescent="0.3">
      <c r="A364" t="s">
        <v>1468</v>
      </c>
      <c r="B364" t="s">
        <v>1469</v>
      </c>
      <c r="C364" t="s">
        <v>15</v>
      </c>
      <c r="D364" t="s">
        <v>34</v>
      </c>
      <c r="E364" t="s">
        <v>26</v>
      </c>
      <c r="F364" t="s">
        <v>151</v>
      </c>
      <c r="G364" s="1">
        <v>45187</v>
      </c>
      <c r="H364" s="1">
        <v>45378</v>
      </c>
      <c r="I364" t="s">
        <v>1470</v>
      </c>
      <c r="J364" t="s">
        <v>1471</v>
      </c>
      <c r="K364" t="s">
        <v>21</v>
      </c>
      <c r="L364" t="s">
        <v>30</v>
      </c>
      <c r="M364" t="s">
        <v>22</v>
      </c>
      <c r="N364" t="str">
        <f t="shared" si="20"/>
        <v>Clean</v>
      </c>
      <c r="O364" t="str">
        <f t="shared" si="23"/>
        <v/>
      </c>
      <c r="P364" t="str">
        <f t="shared" si="21"/>
        <v>Clean</v>
      </c>
      <c r="Q364" t="str">
        <f t="shared" si="22"/>
        <v>Valid</v>
      </c>
    </row>
    <row r="365" spans="1:17" x14ac:dyDescent="0.3">
      <c r="A365" t="s">
        <v>1472</v>
      </c>
      <c r="B365" t="s">
        <v>1473</v>
      </c>
      <c r="C365" t="s">
        <v>15</v>
      </c>
      <c r="D365" t="s">
        <v>41</v>
      </c>
      <c r="E365" t="s">
        <v>17</v>
      </c>
      <c r="F365" t="s">
        <v>151</v>
      </c>
      <c r="G365" s="1">
        <v>43614</v>
      </c>
      <c r="H365" s="1">
        <v>43817</v>
      </c>
      <c r="I365" t="s">
        <v>1474</v>
      </c>
      <c r="J365" t="s">
        <v>1475</v>
      </c>
      <c r="K365" t="s">
        <v>29</v>
      </c>
      <c r="L365" t="s">
        <v>60</v>
      </c>
      <c r="M365" t="s">
        <v>22</v>
      </c>
      <c r="N365" t="str">
        <f t="shared" si="20"/>
        <v>Clean</v>
      </c>
      <c r="O365" t="str">
        <f t="shared" si="23"/>
        <v/>
      </c>
      <c r="P365" t="str">
        <f t="shared" si="21"/>
        <v>Clean</v>
      </c>
      <c r="Q365" t="str">
        <f t="shared" si="22"/>
        <v>Valid</v>
      </c>
    </row>
    <row r="366" spans="1:17" x14ac:dyDescent="0.3">
      <c r="A366" t="s">
        <v>1476</v>
      </c>
      <c r="B366" t="s">
        <v>1477</v>
      </c>
      <c r="C366" t="s">
        <v>46</v>
      </c>
      <c r="D366" t="s">
        <v>67</v>
      </c>
      <c r="E366" t="s">
        <v>26</v>
      </c>
      <c r="F366" t="s">
        <v>151</v>
      </c>
      <c r="G366" s="1">
        <v>44521</v>
      </c>
      <c r="H366" s="1">
        <v>44697</v>
      </c>
      <c r="I366" t="s">
        <v>1478</v>
      </c>
      <c r="J366" t="s">
        <v>1479</v>
      </c>
      <c r="K366" t="s">
        <v>90</v>
      </c>
      <c r="L366" t="s">
        <v>116</v>
      </c>
      <c r="M366" t="s">
        <v>22</v>
      </c>
      <c r="N366" t="str">
        <f t="shared" si="20"/>
        <v>Clean</v>
      </c>
      <c r="O366" t="str">
        <f t="shared" si="23"/>
        <v/>
      </c>
      <c r="P366" t="str">
        <f t="shared" si="21"/>
        <v>Clean</v>
      </c>
      <c r="Q366" t="str">
        <f t="shared" si="22"/>
        <v>Valid</v>
      </c>
    </row>
    <row r="367" spans="1:17" x14ac:dyDescent="0.3">
      <c r="A367" t="s">
        <v>1480</v>
      </c>
      <c r="B367" t="s">
        <v>1481</v>
      </c>
      <c r="C367" t="s">
        <v>76</v>
      </c>
      <c r="D367" t="s">
        <v>67</v>
      </c>
      <c r="E367" t="s">
        <v>26</v>
      </c>
      <c r="F367" t="s">
        <v>18</v>
      </c>
      <c r="G367" s="1">
        <v>44332</v>
      </c>
      <c r="H367" s="1">
        <v>44408</v>
      </c>
      <c r="I367" t="s">
        <v>1482</v>
      </c>
      <c r="J367" t="s">
        <v>1483</v>
      </c>
      <c r="K367" t="s">
        <v>29</v>
      </c>
      <c r="L367" t="s">
        <v>91</v>
      </c>
      <c r="M367" t="s">
        <v>22</v>
      </c>
      <c r="N367" t="str">
        <f t="shared" si="20"/>
        <v>Clean</v>
      </c>
      <c r="O367" t="str">
        <f t="shared" si="23"/>
        <v/>
      </c>
      <c r="P367" t="str">
        <f t="shared" si="21"/>
        <v>Clean</v>
      </c>
      <c r="Q367" t="str">
        <f t="shared" si="22"/>
        <v>Valid</v>
      </c>
    </row>
    <row r="368" spans="1:17" x14ac:dyDescent="0.3">
      <c r="A368" t="s">
        <v>1484</v>
      </c>
      <c r="B368" t="s">
        <v>1485</v>
      </c>
      <c r="C368" t="s">
        <v>87</v>
      </c>
      <c r="D368" t="s">
        <v>16</v>
      </c>
      <c r="E368" t="s">
        <v>17</v>
      </c>
      <c r="F368" t="s">
        <v>18</v>
      </c>
      <c r="G368" s="1">
        <v>43676</v>
      </c>
      <c r="H368" s="1">
        <v>43823</v>
      </c>
      <c r="I368" t="s">
        <v>1486</v>
      </c>
      <c r="J368" t="s">
        <v>1439</v>
      </c>
      <c r="K368" t="s">
        <v>29</v>
      </c>
      <c r="L368" t="s">
        <v>60</v>
      </c>
      <c r="M368" t="s">
        <v>22</v>
      </c>
      <c r="N368" t="str">
        <f t="shared" si="20"/>
        <v>Clean</v>
      </c>
      <c r="O368" t="str">
        <f t="shared" si="23"/>
        <v/>
      </c>
      <c r="P368" t="str">
        <f t="shared" si="21"/>
        <v>Clean</v>
      </c>
      <c r="Q368" t="str">
        <f t="shared" si="22"/>
        <v>Valid</v>
      </c>
    </row>
    <row r="369" spans="1:17" x14ac:dyDescent="0.3">
      <c r="A369" t="s">
        <v>1487</v>
      </c>
      <c r="B369" t="s">
        <v>1488</v>
      </c>
      <c r="C369" t="s">
        <v>181</v>
      </c>
      <c r="D369" t="s">
        <v>41</v>
      </c>
      <c r="E369" t="s">
        <v>17</v>
      </c>
      <c r="F369" t="s">
        <v>18</v>
      </c>
      <c r="G369" s="1">
        <v>43723</v>
      </c>
      <c r="H369" s="1">
        <v>44043</v>
      </c>
      <c r="I369" t="s">
        <v>1489</v>
      </c>
      <c r="J369" t="s">
        <v>1490</v>
      </c>
      <c r="K369" t="s">
        <v>21</v>
      </c>
      <c r="L369" t="s">
        <v>30</v>
      </c>
      <c r="M369" t="s">
        <v>22</v>
      </c>
      <c r="N369" t="str">
        <f t="shared" si="20"/>
        <v>Clean</v>
      </c>
      <c r="O369" t="str">
        <f t="shared" si="23"/>
        <v/>
      </c>
      <c r="P369" t="str">
        <f t="shared" si="21"/>
        <v>Clean</v>
      </c>
      <c r="Q369" t="str">
        <f t="shared" si="22"/>
        <v>Valid</v>
      </c>
    </row>
    <row r="370" spans="1:17" x14ac:dyDescent="0.3">
      <c r="A370" t="s">
        <v>1491</v>
      </c>
      <c r="B370" t="s">
        <v>1492</v>
      </c>
      <c r="C370" t="s">
        <v>46</v>
      </c>
      <c r="D370" t="s">
        <v>51</v>
      </c>
      <c r="E370" t="s">
        <v>52</v>
      </c>
      <c r="F370" t="s">
        <v>18</v>
      </c>
      <c r="G370" s="1">
        <v>45477</v>
      </c>
      <c r="H370" s="1">
        <v>45579</v>
      </c>
      <c r="I370" t="s">
        <v>1493</v>
      </c>
      <c r="J370" t="s">
        <v>1494</v>
      </c>
      <c r="K370" t="s">
        <v>90</v>
      </c>
      <c r="L370" t="s">
        <v>30</v>
      </c>
      <c r="M370" t="s">
        <v>22</v>
      </c>
      <c r="N370" t="str">
        <f t="shared" si="20"/>
        <v>Clean</v>
      </c>
      <c r="O370" t="str">
        <f t="shared" si="23"/>
        <v/>
      </c>
      <c r="P370" t="str">
        <f t="shared" si="21"/>
        <v>Clean</v>
      </c>
      <c r="Q370" t="str">
        <f t="shared" si="22"/>
        <v>Valid</v>
      </c>
    </row>
    <row r="371" spans="1:17" x14ac:dyDescent="0.3">
      <c r="A371" t="s">
        <v>1495</v>
      </c>
      <c r="B371" t="s">
        <v>1496</v>
      </c>
      <c r="C371" t="s">
        <v>33</v>
      </c>
      <c r="D371" t="s">
        <v>25</v>
      </c>
      <c r="E371" t="s">
        <v>26</v>
      </c>
      <c r="F371" t="s">
        <v>18</v>
      </c>
      <c r="G371" s="1">
        <v>44535</v>
      </c>
      <c r="H371" s="1">
        <v>44626</v>
      </c>
      <c r="I371" t="s">
        <v>1497</v>
      </c>
      <c r="J371" t="s">
        <v>1498</v>
      </c>
      <c r="K371" t="s">
        <v>90</v>
      </c>
      <c r="L371" t="s">
        <v>60</v>
      </c>
      <c r="M371" t="s">
        <v>22</v>
      </c>
      <c r="N371" t="str">
        <f t="shared" si="20"/>
        <v>Clean</v>
      </c>
      <c r="O371" t="str">
        <f t="shared" si="23"/>
        <v/>
      </c>
      <c r="P371" t="str">
        <f t="shared" si="21"/>
        <v>Clean</v>
      </c>
      <c r="Q371" t="str">
        <f t="shared" si="22"/>
        <v>Valid</v>
      </c>
    </row>
    <row r="372" spans="1:17" x14ac:dyDescent="0.3">
      <c r="A372" t="s">
        <v>1499</v>
      </c>
      <c r="B372" t="s">
        <v>1500</v>
      </c>
      <c r="C372" t="s">
        <v>76</v>
      </c>
      <c r="D372" t="s">
        <v>25</v>
      </c>
      <c r="E372" t="s">
        <v>26</v>
      </c>
      <c r="F372" t="s">
        <v>160</v>
      </c>
      <c r="G372" s="1">
        <v>44952</v>
      </c>
      <c r="H372" s="1">
        <v>44995</v>
      </c>
      <c r="I372" t="s">
        <v>1501</v>
      </c>
      <c r="J372" t="s">
        <v>1502</v>
      </c>
      <c r="K372" t="s">
        <v>37</v>
      </c>
      <c r="L372" t="s">
        <v>30</v>
      </c>
      <c r="M372" t="s">
        <v>22</v>
      </c>
      <c r="N372" t="str">
        <f t="shared" si="20"/>
        <v>Clean</v>
      </c>
      <c r="O372" t="str">
        <f t="shared" si="23"/>
        <v/>
      </c>
      <c r="P372" t="str">
        <f t="shared" si="21"/>
        <v>Clean</v>
      </c>
      <c r="Q372" t="str">
        <f t="shared" si="22"/>
        <v>Valid</v>
      </c>
    </row>
    <row r="373" spans="1:17" x14ac:dyDescent="0.3">
      <c r="A373" t="s">
        <v>1503</v>
      </c>
      <c r="B373" t="s">
        <v>1504</v>
      </c>
      <c r="C373" t="s">
        <v>46</v>
      </c>
      <c r="D373" t="s">
        <v>51</v>
      </c>
      <c r="E373" t="s">
        <v>52</v>
      </c>
      <c r="F373" t="s">
        <v>151</v>
      </c>
      <c r="G373" s="1">
        <v>44675</v>
      </c>
      <c r="H373" s="1">
        <v>44686</v>
      </c>
      <c r="J373" t="s">
        <v>1505</v>
      </c>
      <c r="K373" t="s">
        <v>90</v>
      </c>
      <c r="L373" t="s">
        <v>91</v>
      </c>
      <c r="M373" t="s">
        <v>3735</v>
      </c>
      <c r="N373" t="str">
        <f t="shared" si="20"/>
        <v>Flagged</v>
      </c>
      <c r="O373" t="str">
        <f t="shared" si="23"/>
        <v>Missing Contact_Email</v>
      </c>
      <c r="P373" t="str">
        <f t="shared" si="21"/>
        <v>Flagged for Review</v>
      </c>
      <c r="Q373" t="str">
        <f t="shared" si="22"/>
        <v>Blank</v>
      </c>
    </row>
    <row r="374" spans="1:17" x14ac:dyDescent="0.3">
      <c r="A374" t="s">
        <v>1506</v>
      </c>
      <c r="B374" t="s">
        <v>1507</v>
      </c>
      <c r="C374" t="s">
        <v>33</v>
      </c>
      <c r="D374" t="s">
        <v>41</v>
      </c>
      <c r="E374" t="s">
        <v>17</v>
      </c>
      <c r="F374" t="s">
        <v>160</v>
      </c>
      <c r="G374" s="1">
        <v>44577</v>
      </c>
      <c r="H374" s="1">
        <v>44604</v>
      </c>
      <c r="I374" t="s">
        <v>1508</v>
      </c>
      <c r="J374" t="s">
        <v>1509</v>
      </c>
      <c r="K374" t="s">
        <v>90</v>
      </c>
      <c r="L374" t="s">
        <v>30</v>
      </c>
      <c r="M374" t="s">
        <v>22</v>
      </c>
      <c r="N374" t="str">
        <f t="shared" si="20"/>
        <v>Clean</v>
      </c>
      <c r="O374" t="str">
        <f t="shared" si="23"/>
        <v/>
      </c>
      <c r="P374" t="str">
        <f t="shared" si="21"/>
        <v>Clean</v>
      </c>
      <c r="Q374" t="str">
        <f t="shared" si="22"/>
        <v>Valid</v>
      </c>
    </row>
    <row r="375" spans="1:17" x14ac:dyDescent="0.3">
      <c r="A375" t="s">
        <v>1510</v>
      </c>
      <c r="B375" t="s">
        <v>1511</v>
      </c>
      <c r="C375" t="s">
        <v>40</v>
      </c>
      <c r="D375" t="s">
        <v>16</v>
      </c>
      <c r="E375" t="s">
        <v>17</v>
      </c>
      <c r="F375" t="s">
        <v>18</v>
      </c>
      <c r="G375" s="1">
        <v>43546</v>
      </c>
      <c r="H375" s="1">
        <v>43840</v>
      </c>
      <c r="I375" t="s">
        <v>1512</v>
      </c>
      <c r="J375" t="s">
        <v>1513</v>
      </c>
      <c r="K375" t="s">
        <v>90</v>
      </c>
      <c r="L375" t="s">
        <v>116</v>
      </c>
      <c r="M375" t="s">
        <v>22</v>
      </c>
      <c r="N375" t="str">
        <f t="shared" si="20"/>
        <v>Clean</v>
      </c>
      <c r="O375" t="str">
        <f t="shared" si="23"/>
        <v/>
      </c>
      <c r="P375" t="str">
        <f t="shared" si="21"/>
        <v>Clean</v>
      </c>
      <c r="Q375" t="str">
        <f t="shared" si="22"/>
        <v>Valid</v>
      </c>
    </row>
    <row r="376" spans="1:17" x14ac:dyDescent="0.3">
      <c r="A376" t="s">
        <v>1514</v>
      </c>
      <c r="B376" t="s">
        <v>1515</v>
      </c>
      <c r="C376" t="s">
        <v>33</v>
      </c>
      <c r="D376" t="s">
        <v>77</v>
      </c>
      <c r="E376" t="s">
        <v>52</v>
      </c>
      <c r="F376" t="s">
        <v>18</v>
      </c>
      <c r="G376" s="1">
        <v>43734</v>
      </c>
      <c r="H376" s="1">
        <v>43981</v>
      </c>
      <c r="I376" t="s">
        <v>1516</v>
      </c>
      <c r="J376" t="s">
        <v>1517</v>
      </c>
      <c r="K376" t="s">
        <v>37</v>
      </c>
      <c r="L376" t="s">
        <v>60</v>
      </c>
      <c r="M376" t="s">
        <v>22</v>
      </c>
      <c r="N376" t="str">
        <f t="shared" si="20"/>
        <v>Clean</v>
      </c>
      <c r="O376" t="str">
        <f t="shared" si="23"/>
        <v/>
      </c>
      <c r="P376" t="str">
        <f t="shared" si="21"/>
        <v>Clean</v>
      </c>
      <c r="Q376" t="str">
        <f t="shared" si="22"/>
        <v>Valid</v>
      </c>
    </row>
    <row r="377" spans="1:17" x14ac:dyDescent="0.3">
      <c r="A377" t="s">
        <v>1518</v>
      </c>
      <c r="B377" t="s">
        <v>1519</v>
      </c>
      <c r="C377" t="s">
        <v>33</v>
      </c>
      <c r="D377" t="s">
        <v>67</v>
      </c>
      <c r="E377" t="s">
        <v>26</v>
      </c>
      <c r="F377" t="s">
        <v>18</v>
      </c>
      <c r="G377" s="1">
        <v>44934</v>
      </c>
      <c r="H377" s="1">
        <v>45247</v>
      </c>
      <c r="I377" t="s">
        <v>1520</v>
      </c>
      <c r="J377" t="s">
        <v>1521</v>
      </c>
      <c r="K377" t="s">
        <v>21</v>
      </c>
      <c r="L377" t="s">
        <v>30</v>
      </c>
      <c r="M377" t="s">
        <v>22</v>
      </c>
      <c r="N377" t="str">
        <f t="shared" si="20"/>
        <v>Clean</v>
      </c>
      <c r="O377" t="str">
        <f t="shared" si="23"/>
        <v/>
      </c>
      <c r="P377" t="str">
        <f t="shared" si="21"/>
        <v>Clean</v>
      </c>
      <c r="Q377" t="str">
        <f t="shared" si="22"/>
        <v>Valid</v>
      </c>
    </row>
    <row r="378" spans="1:17" x14ac:dyDescent="0.3">
      <c r="A378" t="s">
        <v>1522</v>
      </c>
      <c r="B378" t="s">
        <v>1523</v>
      </c>
      <c r="C378" t="s">
        <v>40</v>
      </c>
      <c r="D378" t="s">
        <v>25</v>
      </c>
      <c r="E378" t="s">
        <v>26</v>
      </c>
      <c r="F378" t="s">
        <v>18</v>
      </c>
      <c r="G378" s="1">
        <v>45453</v>
      </c>
      <c r="H378" s="1">
        <v>45687</v>
      </c>
      <c r="I378" t="s">
        <v>1524</v>
      </c>
      <c r="J378" t="s">
        <v>1525</v>
      </c>
      <c r="K378" t="s">
        <v>37</v>
      </c>
      <c r="L378" t="s">
        <v>60</v>
      </c>
      <c r="M378" t="s">
        <v>22</v>
      </c>
      <c r="N378" t="str">
        <f t="shared" si="20"/>
        <v>Clean</v>
      </c>
      <c r="O378" t="str">
        <f t="shared" si="23"/>
        <v/>
      </c>
      <c r="P378" t="str">
        <f t="shared" si="21"/>
        <v>Clean</v>
      </c>
      <c r="Q378" t="str">
        <f t="shared" si="22"/>
        <v>Valid</v>
      </c>
    </row>
    <row r="379" spans="1:17" x14ac:dyDescent="0.3">
      <c r="A379" t="s">
        <v>1526</v>
      </c>
      <c r="B379" t="s">
        <v>1527</v>
      </c>
      <c r="C379" t="s">
        <v>15</v>
      </c>
      <c r="D379" t="s">
        <v>41</v>
      </c>
      <c r="E379" t="s">
        <v>17</v>
      </c>
      <c r="F379" t="s">
        <v>151</v>
      </c>
      <c r="G379" s="1">
        <v>44109</v>
      </c>
      <c r="H379" s="1">
        <v>44258</v>
      </c>
      <c r="I379" t="s">
        <v>1528</v>
      </c>
      <c r="J379" t="s">
        <v>1529</v>
      </c>
      <c r="K379" t="s">
        <v>21</v>
      </c>
      <c r="M379" t="s">
        <v>3735</v>
      </c>
      <c r="N379" t="str">
        <f t="shared" si="20"/>
        <v>Flagged</v>
      </c>
      <c r="O379" t="str">
        <f t="shared" si="23"/>
        <v>Missing Verified_By</v>
      </c>
      <c r="P379" t="str">
        <f t="shared" si="21"/>
        <v>Flagged for Review</v>
      </c>
      <c r="Q379" t="str">
        <f t="shared" si="22"/>
        <v>Valid</v>
      </c>
    </row>
    <row r="380" spans="1:17" x14ac:dyDescent="0.3">
      <c r="A380" t="s">
        <v>1530</v>
      </c>
      <c r="B380" t="s">
        <v>1531</v>
      </c>
      <c r="C380" t="s">
        <v>40</v>
      </c>
      <c r="D380" t="s">
        <v>51</v>
      </c>
      <c r="E380" t="s">
        <v>52</v>
      </c>
      <c r="F380" t="s">
        <v>151</v>
      </c>
      <c r="G380" s="1">
        <v>45329</v>
      </c>
      <c r="H380" s="1">
        <v>45475</v>
      </c>
      <c r="I380" t="s">
        <v>1532</v>
      </c>
      <c r="J380" t="s">
        <v>1533</v>
      </c>
      <c r="K380" t="s">
        <v>37</v>
      </c>
      <c r="L380" t="s">
        <v>55</v>
      </c>
      <c r="M380" t="s">
        <v>22</v>
      </c>
      <c r="N380" t="str">
        <f t="shared" si="20"/>
        <v>Clean</v>
      </c>
      <c r="O380" t="str">
        <f t="shared" si="23"/>
        <v/>
      </c>
      <c r="P380" t="str">
        <f t="shared" si="21"/>
        <v>Clean</v>
      </c>
      <c r="Q380" t="str">
        <f t="shared" si="22"/>
        <v>Valid</v>
      </c>
    </row>
    <row r="381" spans="1:17" x14ac:dyDescent="0.3">
      <c r="A381" t="s">
        <v>1534</v>
      </c>
      <c r="B381" t="s">
        <v>1535</v>
      </c>
      <c r="C381" t="s">
        <v>76</v>
      </c>
      <c r="D381" t="s">
        <v>16</v>
      </c>
      <c r="E381" t="s">
        <v>17</v>
      </c>
      <c r="F381" t="s">
        <v>18</v>
      </c>
      <c r="G381" s="1">
        <v>44452</v>
      </c>
      <c r="H381" s="1">
        <v>44621</v>
      </c>
      <c r="I381" t="s">
        <v>736</v>
      </c>
      <c r="J381" t="s">
        <v>1536</v>
      </c>
      <c r="K381" t="s">
        <v>37</v>
      </c>
      <c r="L381" t="s">
        <v>91</v>
      </c>
      <c r="M381" t="s">
        <v>3735</v>
      </c>
      <c r="N381" t="str">
        <f t="shared" si="20"/>
        <v>Flagged</v>
      </c>
      <c r="O381" t="str">
        <f t="shared" si="23"/>
        <v>Invalid Email Format</v>
      </c>
      <c r="P381" t="str">
        <f t="shared" si="21"/>
        <v>Flagged for Review</v>
      </c>
      <c r="Q381" t="str">
        <f t="shared" si="22"/>
        <v>Invalid</v>
      </c>
    </row>
    <row r="382" spans="1:17" x14ac:dyDescent="0.3">
      <c r="A382" t="s">
        <v>1537</v>
      </c>
      <c r="B382" t="s">
        <v>1538</v>
      </c>
      <c r="C382" t="s">
        <v>46</v>
      </c>
      <c r="D382" t="s">
        <v>77</v>
      </c>
      <c r="E382" t="s">
        <v>52</v>
      </c>
      <c r="F382" t="s">
        <v>160</v>
      </c>
      <c r="G382" s="1">
        <v>43758</v>
      </c>
      <c r="H382" s="1">
        <v>43798</v>
      </c>
      <c r="I382" t="s">
        <v>1539</v>
      </c>
      <c r="J382" t="s">
        <v>1540</v>
      </c>
      <c r="K382" t="s">
        <v>37</v>
      </c>
      <c r="L382" t="s">
        <v>116</v>
      </c>
      <c r="M382" t="s">
        <v>22</v>
      </c>
      <c r="N382" t="str">
        <f t="shared" si="20"/>
        <v>Clean</v>
      </c>
      <c r="O382" t="str">
        <f t="shared" si="23"/>
        <v/>
      </c>
      <c r="P382" t="str">
        <f t="shared" si="21"/>
        <v>Clean</v>
      </c>
      <c r="Q382" t="str">
        <f t="shared" si="22"/>
        <v>Valid</v>
      </c>
    </row>
    <row r="383" spans="1:17" x14ac:dyDescent="0.3">
      <c r="A383" t="s">
        <v>1541</v>
      </c>
      <c r="B383" t="s">
        <v>1542</v>
      </c>
      <c r="C383" t="s">
        <v>40</v>
      </c>
      <c r="D383" t="s">
        <v>34</v>
      </c>
      <c r="E383" t="s">
        <v>26</v>
      </c>
      <c r="F383" t="s">
        <v>151</v>
      </c>
      <c r="G383" s="1">
        <v>44206</v>
      </c>
      <c r="H383" s="1">
        <v>44387</v>
      </c>
      <c r="I383" t="s">
        <v>1543</v>
      </c>
      <c r="J383" t="s">
        <v>1544</v>
      </c>
      <c r="K383" t="s">
        <v>37</v>
      </c>
      <c r="L383" t="s">
        <v>91</v>
      </c>
      <c r="M383" t="s">
        <v>22</v>
      </c>
      <c r="N383" t="str">
        <f t="shared" si="20"/>
        <v>Clean</v>
      </c>
      <c r="O383" t="str">
        <f t="shared" si="23"/>
        <v/>
      </c>
      <c r="P383" t="str">
        <f t="shared" si="21"/>
        <v>Clean</v>
      </c>
      <c r="Q383" t="str">
        <f t="shared" si="22"/>
        <v>Valid</v>
      </c>
    </row>
    <row r="384" spans="1:17" x14ac:dyDescent="0.3">
      <c r="A384" t="s">
        <v>1545</v>
      </c>
      <c r="B384" t="s">
        <v>113</v>
      </c>
      <c r="C384" t="s">
        <v>87</v>
      </c>
      <c r="D384" t="s">
        <v>77</v>
      </c>
      <c r="E384" t="s">
        <v>52</v>
      </c>
      <c r="F384" t="s">
        <v>18</v>
      </c>
      <c r="G384" s="1">
        <v>45380</v>
      </c>
      <c r="H384" s="1">
        <v>45687</v>
      </c>
      <c r="I384" t="s">
        <v>1546</v>
      </c>
      <c r="J384" t="s">
        <v>1547</v>
      </c>
      <c r="K384" t="s">
        <v>29</v>
      </c>
      <c r="L384" t="s">
        <v>30</v>
      </c>
      <c r="M384" t="s">
        <v>22</v>
      </c>
      <c r="N384" t="str">
        <f t="shared" si="20"/>
        <v>Clean</v>
      </c>
      <c r="O384" t="str">
        <f t="shared" si="23"/>
        <v/>
      </c>
      <c r="P384" t="str">
        <f t="shared" si="21"/>
        <v>Clean</v>
      </c>
      <c r="Q384" t="str">
        <f t="shared" si="22"/>
        <v>Valid</v>
      </c>
    </row>
    <row r="385" spans="1:17" x14ac:dyDescent="0.3">
      <c r="A385" t="s">
        <v>1548</v>
      </c>
      <c r="B385" t="s">
        <v>1549</v>
      </c>
      <c r="C385" t="s">
        <v>15</v>
      </c>
      <c r="D385" t="s">
        <v>77</v>
      </c>
      <c r="E385" t="s">
        <v>52</v>
      </c>
      <c r="F385" t="s">
        <v>160</v>
      </c>
      <c r="G385" s="1">
        <v>44802</v>
      </c>
      <c r="H385" s="1">
        <v>44964</v>
      </c>
      <c r="I385" t="s">
        <v>1550</v>
      </c>
      <c r="J385" t="s">
        <v>1551</v>
      </c>
      <c r="K385" t="s">
        <v>37</v>
      </c>
      <c r="L385" t="s">
        <v>60</v>
      </c>
      <c r="M385" t="s">
        <v>22</v>
      </c>
      <c r="N385" t="str">
        <f t="shared" si="20"/>
        <v>Clean</v>
      </c>
      <c r="O385" t="str">
        <f t="shared" si="23"/>
        <v/>
      </c>
      <c r="P385" t="str">
        <f t="shared" si="21"/>
        <v>Clean</v>
      </c>
      <c r="Q385" t="str">
        <f t="shared" si="22"/>
        <v>Valid</v>
      </c>
    </row>
    <row r="386" spans="1:17" x14ac:dyDescent="0.3">
      <c r="A386" t="s">
        <v>1552</v>
      </c>
      <c r="B386" t="s">
        <v>1553</v>
      </c>
      <c r="C386" t="s">
        <v>15</v>
      </c>
      <c r="D386" t="s">
        <v>25</v>
      </c>
      <c r="E386" t="s">
        <v>26</v>
      </c>
      <c r="F386" t="s">
        <v>18</v>
      </c>
      <c r="G386" s="1">
        <v>45369</v>
      </c>
      <c r="H386" s="1">
        <v>45710</v>
      </c>
      <c r="I386" t="s">
        <v>1554</v>
      </c>
      <c r="J386" t="s">
        <v>1555</v>
      </c>
      <c r="K386" t="s">
        <v>21</v>
      </c>
      <c r="L386" t="s">
        <v>91</v>
      </c>
      <c r="M386" t="s">
        <v>22</v>
      </c>
      <c r="N386" t="str">
        <f t="shared" ref="N386:N449" si="24">IF(OR(B386="",H386="",I386="",J386="",L386="",Q386="Invalid"),"Flagged","Clean")</f>
        <v>Clean</v>
      </c>
      <c r="O386" t="str">
        <f t="shared" si="23"/>
        <v/>
      </c>
      <c r="P386" t="str">
        <f t="shared" ref="P386:P449" si="25">IF(N386="Clean","Clean","Flagged for Review")</f>
        <v>Clean</v>
      </c>
      <c r="Q386" t="str">
        <f t="shared" ref="Q386:Q449" si="26">IF(I386="","Blank",IF(ISERROR(FIND("@",I386&amp;"")),"Invalid",IF(FIND("@",I386&amp;"")&lt;2,"Invalid",IF(LEN(I386&amp;"")-FIND("@",I386&amp;"")&lt;4,"Invalid","Valid"))))</f>
        <v>Valid</v>
      </c>
    </row>
    <row r="387" spans="1:17" x14ac:dyDescent="0.3">
      <c r="A387" t="s">
        <v>1556</v>
      </c>
      <c r="B387" t="s">
        <v>1557</v>
      </c>
      <c r="C387" t="s">
        <v>76</v>
      </c>
      <c r="D387" t="s">
        <v>51</v>
      </c>
      <c r="E387" t="s">
        <v>52</v>
      </c>
      <c r="F387" t="s">
        <v>151</v>
      </c>
      <c r="G387" s="1">
        <v>44430</v>
      </c>
      <c r="H387" s="1">
        <v>44746</v>
      </c>
      <c r="I387" t="s">
        <v>1558</v>
      </c>
      <c r="J387" t="s">
        <v>1559</v>
      </c>
      <c r="K387" t="s">
        <v>29</v>
      </c>
      <c r="L387" t="s">
        <v>91</v>
      </c>
      <c r="M387" t="s">
        <v>22</v>
      </c>
      <c r="N387" t="str">
        <f t="shared" si="24"/>
        <v>Clean</v>
      </c>
      <c r="O387" t="str">
        <f t="shared" ref="O387:O450" si="27">TRIM(IF(B387="","Missing Vendor_Name ","")&amp;IF(I387="","Missing Contact_Email ","")&amp;IF(J387="","Missing Account_Code ","")&amp;IF(L387="","Missing Verified_By ","")&amp;IF(Q387="Invalid","Invalid Email Format ","")&amp;IF(H387="","Missing Last_Updated ",""))</f>
        <v/>
      </c>
      <c r="P387" t="str">
        <f t="shared" si="25"/>
        <v>Clean</v>
      </c>
      <c r="Q387" t="str">
        <f t="shared" si="26"/>
        <v>Valid</v>
      </c>
    </row>
    <row r="388" spans="1:17" x14ac:dyDescent="0.3">
      <c r="A388" t="s">
        <v>1560</v>
      </c>
      <c r="B388" t="s">
        <v>1561</v>
      </c>
      <c r="C388" t="s">
        <v>181</v>
      </c>
      <c r="D388" t="s">
        <v>77</v>
      </c>
      <c r="E388" t="s">
        <v>52</v>
      </c>
      <c r="F388" t="s">
        <v>151</v>
      </c>
      <c r="G388" s="1">
        <v>43485</v>
      </c>
      <c r="H388" s="1">
        <v>43618</v>
      </c>
      <c r="I388" t="s">
        <v>1562</v>
      </c>
      <c r="J388" t="s">
        <v>1563</v>
      </c>
      <c r="K388" t="s">
        <v>90</v>
      </c>
      <c r="L388" t="s">
        <v>91</v>
      </c>
      <c r="M388" t="s">
        <v>22</v>
      </c>
      <c r="N388" t="str">
        <f t="shared" si="24"/>
        <v>Clean</v>
      </c>
      <c r="O388" t="str">
        <f t="shared" si="27"/>
        <v/>
      </c>
      <c r="P388" t="str">
        <f t="shared" si="25"/>
        <v>Clean</v>
      </c>
      <c r="Q388" t="str">
        <f t="shared" si="26"/>
        <v>Valid</v>
      </c>
    </row>
    <row r="389" spans="1:17" x14ac:dyDescent="0.3">
      <c r="A389" t="s">
        <v>1564</v>
      </c>
      <c r="B389" t="s">
        <v>1565</v>
      </c>
      <c r="C389" t="s">
        <v>40</v>
      </c>
      <c r="D389" t="s">
        <v>67</v>
      </c>
      <c r="E389" t="s">
        <v>26</v>
      </c>
      <c r="F389" t="s">
        <v>18</v>
      </c>
      <c r="G389" s="1">
        <v>44857</v>
      </c>
      <c r="H389" s="1">
        <v>45190</v>
      </c>
      <c r="I389" t="s">
        <v>1566</v>
      </c>
      <c r="J389" t="s">
        <v>1567</v>
      </c>
      <c r="K389" t="s">
        <v>29</v>
      </c>
      <c r="L389" t="s">
        <v>91</v>
      </c>
      <c r="M389" t="s">
        <v>22</v>
      </c>
      <c r="N389" t="str">
        <f t="shared" si="24"/>
        <v>Clean</v>
      </c>
      <c r="O389" t="str">
        <f t="shared" si="27"/>
        <v/>
      </c>
      <c r="P389" t="str">
        <f t="shared" si="25"/>
        <v>Clean</v>
      </c>
      <c r="Q389" t="str">
        <f t="shared" si="26"/>
        <v>Valid</v>
      </c>
    </row>
    <row r="390" spans="1:17" x14ac:dyDescent="0.3">
      <c r="A390" t="s">
        <v>1568</v>
      </c>
      <c r="B390" t="s">
        <v>1569</v>
      </c>
      <c r="C390" t="s">
        <v>76</v>
      </c>
      <c r="D390" t="s">
        <v>16</v>
      </c>
      <c r="E390" t="s">
        <v>17</v>
      </c>
      <c r="F390" t="s">
        <v>18</v>
      </c>
      <c r="G390" s="1">
        <v>43845</v>
      </c>
      <c r="H390" s="1">
        <v>44072</v>
      </c>
      <c r="I390" t="s">
        <v>1570</v>
      </c>
      <c r="J390" t="s">
        <v>1571</v>
      </c>
      <c r="K390" t="s">
        <v>21</v>
      </c>
      <c r="L390" t="s">
        <v>91</v>
      </c>
      <c r="M390" t="s">
        <v>22</v>
      </c>
      <c r="N390" t="str">
        <f t="shared" si="24"/>
        <v>Clean</v>
      </c>
      <c r="O390" t="str">
        <f t="shared" si="27"/>
        <v/>
      </c>
      <c r="P390" t="str">
        <f t="shared" si="25"/>
        <v>Clean</v>
      </c>
      <c r="Q390" t="str">
        <f t="shared" si="26"/>
        <v>Valid</v>
      </c>
    </row>
    <row r="391" spans="1:17" x14ac:dyDescent="0.3">
      <c r="A391" t="s">
        <v>1572</v>
      </c>
      <c r="B391" t="s">
        <v>1573</v>
      </c>
      <c r="C391" t="s">
        <v>87</v>
      </c>
      <c r="D391" t="s">
        <v>34</v>
      </c>
      <c r="E391" t="s">
        <v>26</v>
      </c>
      <c r="F391" t="s">
        <v>18</v>
      </c>
      <c r="G391" s="1">
        <v>44882</v>
      </c>
      <c r="H391" s="1">
        <v>44909</v>
      </c>
      <c r="I391" t="s">
        <v>1574</v>
      </c>
      <c r="J391" t="s">
        <v>1575</v>
      </c>
      <c r="K391" t="s">
        <v>37</v>
      </c>
      <c r="L391" t="s">
        <v>60</v>
      </c>
      <c r="M391" t="s">
        <v>22</v>
      </c>
      <c r="N391" t="str">
        <f t="shared" si="24"/>
        <v>Clean</v>
      </c>
      <c r="O391" t="str">
        <f t="shared" si="27"/>
        <v/>
      </c>
      <c r="P391" t="str">
        <f t="shared" si="25"/>
        <v>Clean</v>
      </c>
      <c r="Q391" t="str">
        <f t="shared" si="26"/>
        <v>Valid</v>
      </c>
    </row>
    <row r="392" spans="1:17" x14ac:dyDescent="0.3">
      <c r="A392" t="s">
        <v>1576</v>
      </c>
      <c r="B392" t="s">
        <v>1577</v>
      </c>
      <c r="C392" t="s">
        <v>40</v>
      </c>
      <c r="D392" t="s">
        <v>16</v>
      </c>
      <c r="E392" t="s">
        <v>17</v>
      </c>
      <c r="F392" t="s">
        <v>18</v>
      </c>
      <c r="G392" s="1">
        <v>44581</v>
      </c>
      <c r="H392" s="1">
        <v>44861</v>
      </c>
      <c r="I392" t="s">
        <v>1578</v>
      </c>
      <c r="J392" t="s">
        <v>1579</v>
      </c>
      <c r="K392" t="s">
        <v>37</v>
      </c>
      <c r="L392" t="s">
        <v>91</v>
      </c>
      <c r="M392" t="s">
        <v>22</v>
      </c>
      <c r="N392" t="str">
        <f t="shared" si="24"/>
        <v>Clean</v>
      </c>
      <c r="O392" t="str">
        <f t="shared" si="27"/>
        <v/>
      </c>
      <c r="P392" t="str">
        <f t="shared" si="25"/>
        <v>Clean</v>
      </c>
      <c r="Q392" t="str">
        <f t="shared" si="26"/>
        <v>Valid</v>
      </c>
    </row>
    <row r="393" spans="1:17" x14ac:dyDescent="0.3">
      <c r="A393" t="s">
        <v>1580</v>
      </c>
      <c r="B393" t="s">
        <v>1581</v>
      </c>
      <c r="C393" t="s">
        <v>33</v>
      </c>
      <c r="D393" t="s">
        <v>16</v>
      </c>
      <c r="E393" t="s">
        <v>17</v>
      </c>
      <c r="F393" t="s">
        <v>18</v>
      </c>
      <c r="G393" s="1">
        <v>45270</v>
      </c>
      <c r="H393" s="1">
        <v>45305</v>
      </c>
      <c r="J393" t="s">
        <v>1582</v>
      </c>
      <c r="K393" t="s">
        <v>21</v>
      </c>
      <c r="L393" t="s">
        <v>55</v>
      </c>
      <c r="M393" t="s">
        <v>3735</v>
      </c>
      <c r="N393" t="str">
        <f t="shared" si="24"/>
        <v>Flagged</v>
      </c>
      <c r="O393" t="str">
        <f t="shared" si="27"/>
        <v>Missing Contact_Email</v>
      </c>
      <c r="P393" t="str">
        <f t="shared" si="25"/>
        <v>Flagged for Review</v>
      </c>
      <c r="Q393" t="str">
        <f t="shared" si="26"/>
        <v>Blank</v>
      </c>
    </row>
    <row r="394" spans="1:17" x14ac:dyDescent="0.3">
      <c r="A394" t="s">
        <v>1583</v>
      </c>
      <c r="B394" t="s">
        <v>1584</v>
      </c>
      <c r="C394" t="s">
        <v>87</v>
      </c>
      <c r="D394" t="s">
        <v>16</v>
      </c>
      <c r="E394" t="s">
        <v>17</v>
      </c>
      <c r="F394" t="s">
        <v>18</v>
      </c>
      <c r="G394" s="1">
        <v>44464</v>
      </c>
      <c r="H394" s="1">
        <v>44486</v>
      </c>
      <c r="I394" t="s">
        <v>1585</v>
      </c>
      <c r="J394" t="s">
        <v>1586</v>
      </c>
      <c r="K394" t="s">
        <v>37</v>
      </c>
      <c r="M394" t="s">
        <v>3735</v>
      </c>
      <c r="N394" t="str">
        <f t="shared" si="24"/>
        <v>Flagged</v>
      </c>
      <c r="O394" t="str">
        <f t="shared" si="27"/>
        <v>Missing Verified_By</v>
      </c>
      <c r="P394" t="str">
        <f t="shared" si="25"/>
        <v>Flagged for Review</v>
      </c>
      <c r="Q394" t="str">
        <f t="shared" si="26"/>
        <v>Valid</v>
      </c>
    </row>
    <row r="395" spans="1:17" x14ac:dyDescent="0.3">
      <c r="A395" t="s">
        <v>1587</v>
      </c>
      <c r="B395" t="s">
        <v>1588</v>
      </c>
      <c r="C395" t="s">
        <v>33</v>
      </c>
      <c r="D395" t="s">
        <v>77</v>
      </c>
      <c r="E395" t="s">
        <v>52</v>
      </c>
      <c r="F395" t="s">
        <v>18</v>
      </c>
      <c r="G395" s="1">
        <v>45358</v>
      </c>
      <c r="H395" s="1">
        <v>45721</v>
      </c>
      <c r="I395" t="s">
        <v>1589</v>
      </c>
      <c r="J395" t="s">
        <v>1590</v>
      </c>
      <c r="K395" t="s">
        <v>37</v>
      </c>
      <c r="L395" t="s">
        <v>55</v>
      </c>
      <c r="M395" t="s">
        <v>22</v>
      </c>
      <c r="N395" t="str">
        <f t="shared" si="24"/>
        <v>Clean</v>
      </c>
      <c r="O395" t="str">
        <f t="shared" si="27"/>
        <v/>
      </c>
      <c r="P395" t="str">
        <f t="shared" si="25"/>
        <v>Clean</v>
      </c>
      <c r="Q395" t="str">
        <f t="shared" si="26"/>
        <v>Valid</v>
      </c>
    </row>
    <row r="396" spans="1:17" x14ac:dyDescent="0.3">
      <c r="A396" t="s">
        <v>1591</v>
      </c>
      <c r="B396" t="s">
        <v>3721</v>
      </c>
      <c r="C396" t="s">
        <v>40</v>
      </c>
      <c r="D396" t="s">
        <v>16</v>
      </c>
      <c r="E396" t="s">
        <v>17</v>
      </c>
      <c r="F396" t="s">
        <v>18</v>
      </c>
      <c r="G396" s="1">
        <v>45346</v>
      </c>
      <c r="H396" s="1">
        <v>45573</v>
      </c>
      <c r="I396" t="s">
        <v>1592</v>
      </c>
      <c r="J396" t="s">
        <v>1593</v>
      </c>
      <c r="K396" t="s">
        <v>90</v>
      </c>
      <c r="L396" t="s">
        <v>30</v>
      </c>
      <c r="M396" t="s">
        <v>3735</v>
      </c>
      <c r="N396" t="str">
        <f t="shared" si="24"/>
        <v>Flagged</v>
      </c>
      <c r="O396" t="str">
        <f t="shared" si="27"/>
        <v>Missing Vendor_Name</v>
      </c>
      <c r="P396" t="str">
        <f t="shared" si="25"/>
        <v>Flagged for Review</v>
      </c>
      <c r="Q396" t="str">
        <f t="shared" si="26"/>
        <v>Valid</v>
      </c>
    </row>
    <row r="397" spans="1:17" x14ac:dyDescent="0.3">
      <c r="A397" t="s">
        <v>1594</v>
      </c>
      <c r="B397" t="s">
        <v>1595</v>
      </c>
      <c r="C397" t="s">
        <v>87</v>
      </c>
      <c r="D397" t="s">
        <v>25</v>
      </c>
      <c r="E397" t="s">
        <v>26</v>
      </c>
      <c r="F397" t="s">
        <v>18</v>
      </c>
      <c r="G397" s="1">
        <v>43594</v>
      </c>
      <c r="H397" s="1">
        <v>43763</v>
      </c>
      <c r="I397" t="s">
        <v>1596</v>
      </c>
      <c r="J397" t="s">
        <v>1597</v>
      </c>
      <c r="K397" t="s">
        <v>37</v>
      </c>
      <c r="L397" t="s">
        <v>116</v>
      </c>
      <c r="M397" t="s">
        <v>22</v>
      </c>
      <c r="N397" t="str">
        <f t="shared" si="24"/>
        <v>Clean</v>
      </c>
      <c r="O397" t="str">
        <f t="shared" si="27"/>
        <v/>
      </c>
      <c r="P397" t="str">
        <f t="shared" si="25"/>
        <v>Clean</v>
      </c>
      <c r="Q397" t="str">
        <f t="shared" si="26"/>
        <v>Valid</v>
      </c>
    </row>
    <row r="398" spans="1:17" x14ac:dyDescent="0.3">
      <c r="A398" t="s">
        <v>1598</v>
      </c>
      <c r="B398" t="s">
        <v>1599</v>
      </c>
      <c r="C398" t="s">
        <v>33</v>
      </c>
      <c r="D398" t="s">
        <v>25</v>
      </c>
      <c r="E398" t="s">
        <v>26</v>
      </c>
      <c r="F398" t="s">
        <v>18</v>
      </c>
      <c r="G398" s="1">
        <v>44322</v>
      </c>
      <c r="H398" s="1">
        <v>44325</v>
      </c>
      <c r="I398" t="s">
        <v>1600</v>
      </c>
      <c r="J398" t="s">
        <v>1601</v>
      </c>
      <c r="K398" t="s">
        <v>90</v>
      </c>
      <c r="L398" t="s">
        <v>116</v>
      </c>
      <c r="M398" t="s">
        <v>22</v>
      </c>
      <c r="N398" t="str">
        <f t="shared" si="24"/>
        <v>Clean</v>
      </c>
      <c r="O398" t="str">
        <f t="shared" si="27"/>
        <v/>
      </c>
      <c r="P398" t="str">
        <f t="shared" si="25"/>
        <v>Clean</v>
      </c>
      <c r="Q398" t="str">
        <f t="shared" si="26"/>
        <v>Valid</v>
      </c>
    </row>
    <row r="399" spans="1:17" x14ac:dyDescent="0.3">
      <c r="A399" t="s">
        <v>1602</v>
      </c>
      <c r="B399" t="s">
        <v>1603</v>
      </c>
      <c r="C399" t="s">
        <v>76</v>
      </c>
      <c r="D399" t="s">
        <v>41</v>
      </c>
      <c r="E399" t="s">
        <v>17</v>
      </c>
      <c r="F399" t="s">
        <v>18</v>
      </c>
      <c r="G399" s="1">
        <v>45392</v>
      </c>
      <c r="H399" s="1">
        <v>45525</v>
      </c>
      <c r="I399" t="s">
        <v>1604</v>
      </c>
      <c r="J399" t="s">
        <v>1605</v>
      </c>
      <c r="K399" t="s">
        <v>21</v>
      </c>
      <c r="L399" t="s">
        <v>60</v>
      </c>
      <c r="M399" t="s">
        <v>22</v>
      </c>
      <c r="N399" t="str">
        <f t="shared" si="24"/>
        <v>Clean</v>
      </c>
      <c r="O399" t="str">
        <f t="shared" si="27"/>
        <v/>
      </c>
      <c r="P399" t="str">
        <f t="shared" si="25"/>
        <v>Clean</v>
      </c>
      <c r="Q399" t="str">
        <f t="shared" si="26"/>
        <v>Valid</v>
      </c>
    </row>
    <row r="400" spans="1:17" x14ac:dyDescent="0.3">
      <c r="A400" t="s">
        <v>1606</v>
      </c>
      <c r="B400" t="s">
        <v>1607</v>
      </c>
      <c r="C400" t="s">
        <v>46</v>
      </c>
      <c r="D400" t="s">
        <v>51</v>
      </c>
      <c r="E400" t="s">
        <v>52</v>
      </c>
      <c r="F400" t="s">
        <v>18</v>
      </c>
      <c r="G400" s="1">
        <v>45652</v>
      </c>
      <c r="H400" s="1">
        <v>45959</v>
      </c>
      <c r="I400" t="s">
        <v>1608</v>
      </c>
      <c r="J400" t="s">
        <v>881</v>
      </c>
      <c r="K400" t="s">
        <v>29</v>
      </c>
      <c r="L400" t="s">
        <v>91</v>
      </c>
      <c r="M400" t="s">
        <v>22</v>
      </c>
      <c r="N400" t="str">
        <f t="shared" si="24"/>
        <v>Clean</v>
      </c>
      <c r="O400" t="str">
        <f t="shared" si="27"/>
        <v/>
      </c>
      <c r="P400" t="str">
        <f t="shared" si="25"/>
        <v>Clean</v>
      </c>
      <c r="Q400" t="str">
        <f t="shared" si="26"/>
        <v>Valid</v>
      </c>
    </row>
    <row r="401" spans="1:17" x14ac:dyDescent="0.3">
      <c r="A401" t="s">
        <v>1609</v>
      </c>
      <c r="B401" t="s">
        <v>1610</v>
      </c>
      <c r="C401" t="s">
        <v>76</v>
      </c>
      <c r="D401" t="s">
        <v>34</v>
      </c>
      <c r="E401" t="s">
        <v>26</v>
      </c>
      <c r="F401" t="s">
        <v>18</v>
      </c>
      <c r="G401" s="1">
        <v>44027</v>
      </c>
      <c r="H401" s="1">
        <v>44241</v>
      </c>
      <c r="J401" t="s">
        <v>1611</v>
      </c>
      <c r="K401" t="s">
        <v>90</v>
      </c>
      <c r="L401" t="s">
        <v>116</v>
      </c>
      <c r="M401" t="s">
        <v>3735</v>
      </c>
      <c r="N401" t="str">
        <f t="shared" si="24"/>
        <v>Flagged</v>
      </c>
      <c r="O401" t="str">
        <f t="shared" si="27"/>
        <v>Missing Contact_Email</v>
      </c>
      <c r="P401" t="str">
        <f t="shared" si="25"/>
        <v>Flagged for Review</v>
      </c>
      <c r="Q401" t="str">
        <f t="shared" si="26"/>
        <v>Blank</v>
      </c>
    </row>
    <row r="402" spans="1:17" x14ac:dyDescent="0.3">
      <c r="A402" t="s">
        <v>1612</v>
      </c>
      <c r="B402" t="s">
        <v>1613</v>
      </c>
      <c r="C402" t="s">
        <v>181</v>
      </c>
      <c r="D402" t="s">
        <v>77</v>
      </c>
      <c r="E402" t="s">
        <v>52</v>
      </c>
      <c r="F402" t="s">
        <v>18</v>
      </c>
      <c r="G402" s="1">
        <v>44552</v>
      </c>
      <c r="H402" s="1">
        <v>44890</v>
      </c>
      <c r="I402" t="s">
        <v>1614</v>
      </c>
      <c r="J402" t="s">
        <v>1615</v>
      </c>
      <c r="K402" t="s">
        <v>37</v>
      </c>
      <c r="L402" t="s">
        <v>60</v>
      </c>
      <c r="M402" t="s">
        <v>22</v>
      </c>
      <c r="N402" t="str">
        <f t="shared" si="24"/>
        <v>Clean</v>
      </c>
      <c r="O402" t="str">
        <f t="shared" si="27"/>
        <v/>
      </c>
      <c r="P402" t="str">
        <f t="shared" si="25"/>
        <v>Clean</v>
      </c>
      <c r="Q402" t="str">
        <f t="shared" si="26"/>
        <v>Valid</v>
      </c>
    </row>
    <row r="403" spans="1:17" x14ac:dyDescent="0.3">
      <c r="A403" t="s">
        <v>1616</v>
      </c>
      <c r="B403" t="s">
        <v>1617</v>
      </c>
      <c r="C403" t="s">
        <v>33</v>
      </c>
      <c r="D403" t="s">
        <v>16</v>
      </c>
      <c r="E403" t="s">
        <v>17</v>
      </c>
      <c r="F403" t="s">
        <v>160</v>
      </c>
      <c r="G403" s="1">
        <v>44276</v>
      </c>
      <c r="H403" s="1">
        <v>44493</v>
      </c>
      <c r="I403" t="s">
        <v>1618</v>
      </c>
      <c r="J403" t="s">
        <v>1619</v>
      </c>
      <c r="K403" t="s">
        <v>37</v>
      </c>
      <c r="M403" t="s">
        <v>3735</v>
      </c>
      <c r="N403" t="str">
        <f t="shared" si="24"/>
        <v>Flagged</v>
      </c>
      <c r="O403" t="str">
        <f t="shared" si="27"/>
        <v>Missing Verified_By</v>
      </c>
      <c r="P403" t="str">
        <f t="shared" si="25"/>
        <v>Flagged for Review</v>
      </c>
      <c r="Q403" t="str">
        <f t="shared" si="26"/>
        <v>Valid</v>
      </c>
    </row>
    <row r="404" spans="1:17" x14ac:dyDescent="0.3">
      <c r="A404" t="s">
        <v>1620</v>
      </c>
      <c r="B404" t="s">
        <v>1621</v>
      </c>
      <c r="C404" t="s">
        <v>46</v>
      </c>
      <c r="D404" t="s">
        <v>25</v>
      </c>
      <c r="E404" t="s">
        <v>26</v>
      </c>
      <c r="F404" t="s">
        <v>151</v>
      </c>
      <c r="G404" s="1">
        <v>44899</v>
      </c>
      <c r="H404" s="1">
        <v>45013</v>
      </c>
      <c r="I404" t="s">
        <v>1622</v>
      </c>
      <c r="J404" t="s">
        <v>1623</v>
      </c>
      <c r="K404" t="s">
        <v>90</v>
      </c>
      <c r="L404" t="s">
        <v>55</v>
      </c>
      <c r="M404" t="s">
        <v>22</v>
      </c>
      <c r="N404" t="str">
        <f t="shared" si="24"/>
        <v>Clean</v>
      </c>
      <c r="O404" t="str">
        <f t="shared" si="27"/>
        <v/>
      </c>
      <c r="P404" t="str">
        <f t="shared" si="25"/>
        <v>Clean</v>
      </c>
      <c r="Q404" t="str">
        <f t="shared" si="26"/>
        <v>Valid</v>
      </c>
    </row>
    <row r="405" spans="1:17" x14ac:dyDescent="0.3">
      <c r="A405" t="s">
        <v>1624</v>
      </c>
      <c r="B405" t="s">
        <v>1625</v>
      </c>
      <c r="C405" t="s">
        <v>87</v>
      </c>
      <c r="D405" t="s">
        <v>34</v>
      </c>
      <c r="E405" t="s">
        <v>26</v>
      </c>
      <c r="F405" t="s">
        <v>160</v>
      </c>
      <c r="G405" s="1">
        <v>44126</v>
      </c>
      <c r="H405" s="1">
        <v>44247</v>
      </c>
      <c r="I405" t="s">
        <v>1626</v>
      </c>
      <c r="J405" t="s">
        <v>1627</v>
      </c>
      <c r="K405" t="s">
        <v>29</v>
      </c>
      <c r="L405" t="s">
        <v>91</v>
      </c>
      <c r="M405" t="s">
        <v>22</v>
      </c>
      <c r="N405" t="str">
        <f t="shared" si="24"/>
        <v>Clean</v>
      </c>
      <c r="O405" t="str">
        <f t="shared" si="27"/>
        <v/>
      </c>
      <c r="P405" t="str">
        <f t="shared" si="25"/>
        <v>Clean</v>
      </c>
      <c r="Q405" t="str">
        <f t="shared" si="26"/>
        <v>Valid</v>
      </c>
    </row>
    <row r="406" spans="1:17" x14ac:dyDescent="0.3">
      <c r="A406" t="s">
        <v>1628</v>
      </c>
      <c r="B406" t="s">
        <v>1629</v>
      </c>
      <c r="C406" t="s">
        <v>76</v>
      </c>
      <c r="D406" t="s">
        <v>51</v>
      </c>
      <c r="E406" t="s">
        <v>52</v>
      </c>
      <c r="F406" t="s">
        <v>18</v>
      </c>
      <c r="G406" s="1">
        <v>44476</v>
      </c>
      <c r="H406" s="1">
        <v>44796</v>
      </c>
      <c r="I406" t="s">
        <v>1630</v>
      </c>
      <c r="J406" t="s">
        <v>1631</v>
      </c>
      <c r="K406" t="s">
        <v>21</v>
      </c>
      <c r="L406" t="s">
        <v>60</v>
      </c>
      <c r="M406" t="s">
        <v>22</v>
      </c>
      <c r="N406" t="str">
        <f t="shared" si="24"/>
        <v>Clean</v>
      </c>
      <c r="O406" t="str">
        <f t="shared" si="27"/>
        <v/>
      </c>
      <c r="P406" t="str">
        <f t="shared" si="25"/>
        <v>Clean</v>
      </c>
      <c r="Q406" t="str">
        <f t="shared" si="26"/>
        <v>Valid</v>
      </c>
    </row>
    <row r="407" spans="1:17" x14ac:dyDescent="0.3">
      <c r="A407" t="s">
        <v>1632</v>
      </c>
      <c r="B407" t="s">
        <v>1633</v>
      </c>
      <c r="C407" t="s">
        <v>46</v>
      </c>
      <c r="D407" t="s">
        <v>51</v>
      </c>
      <c r="E407" t="s">
        <v>52</v>
      </c>
      <c r="F407" t="s">
        <v>18</v>
      </c>
      <c r="G407" s="1">
        <v>44139</v>
      </c>
      <c r="H407" s="1">
        <v>44263</v>
      </c>
      <c r="I407" t="s">
        <v>1634</v>
      </c>
      <c r="J407" t="s">
        <v>1635</v>
      </c>
      <c r="K407" t="s">
        <v>37</v>
      </c>
      <c r="L407" t="s">
        <v>116</v>
      </c>
      <c r="M407" t="s">
        <v>22</v>
      </c>
      <c r="N407" t="str">
        <f t="shared" si="24"/>
        <v>Clean</v>
      </c>
      <c r="O407" t="str">
        <f t="shared" si="27"/>
        <v/>
      </c>
      <c r="P407" t="str">
        <f t="shared" si="25"/>
        <v>Clean</v>
      </c>
      <c r="Q407" t="str">
        <f t="shared" si="26"/>
        <v>Valid</v>
      </c>
    </row>
    <row r="408" spans="1:17" x14ac:dyDescent="0.3">
      <c r="A408" t="s">
        <v>1636</v>
      </c>
      <c r="B408" t="s">
        <v>1637</v>
      </c>
      <c r="C408" t="s">
        <v>46</v>
      </c>
      <c r="D408" t="s">
        <v>51</v>
      </c>
      <c r="E408" t="s">
        <v>52</v>
      </c>
      <c r="F408" t="s">
        <v>151</v>
      </c>
      <c r="G408" s="1">
        <v>44370</v>
      </c>
      <c r="H408" s="1">
        <v>44697</v>
      </c>
      <c r="I408" t="s">
        <v>1638</v>
      </c>
      <c r="J408" t="s">
        <v>960</v>
      </c>
      <c r="K408" t="s">
        <v>21</v>
      </c>
      <c r="L408" t="s">
        <v>55</v>
      </c>
      <c r="M408" t="s">
        <v>22</v>
      </c>
      <c r="N408" t="str">
        <f t="shared" si="24"/>
        <v>Clean</v>
      </c>
      <c r="O408" t="str">
        <f t="shared" si="27"/>
        <v/>
      </c>
      <c r="P408" t="str">
        <f t="shared" si="25"/>
        <v>Clean</v>
      </c>
      <c r="Q408" t="str">
        <f t="shared" si="26"/>
        <v>Valid</v>
      </c>
    </row>
    <row r="409" spans="1:17" x14ac:dyDescent="0.3">
      <c r="A409" t="s">
        <v>1639</v>
      </c>
      <c r="B409" t="s">
        <v>1640</v>
      </c>
      <c r="C409" t="s">
        <v>15</v>
      </c>
      <c r="D409" t="s">
        <v>77</v>
      </c>
      <c r="E409" t="s">
        <v>52</v>
      </c>
      <c r="F409" t="s">
        <v>18</v>
      </c>
      <c r="G409" s="1">
        <v>44185</v>
      </c>
      <c r="H409" s="1">
        <v>44436</v>
      </c>
      <c r="I409" t="s">
        <v>1641</v>
      </c>
      <c r="J409" t="s">
        <v>1642</v>
      </c>
      <c r="K409" t="s">
        <v>90</v>
      </c>
      <c r="L409" t="s">
        <v>55</v>
      </c>
      <c r="M409" t="s">
        <v>22</v>
      </c>
      <c r="N409" t="str">
        <f t="shared" si="24"/>
        <v>Clean</v>
      </c>
      <c r="O409" t="str">
        <f t="shared" si="27"/>
        <v/>
      </c>
      <c r="P409" t="str">
        <f t="shared" si="25"/>
        <v>Clean</v>
      </c>
      <c r="Q409" t="str">
        <f t="shared" si="26"/>
        <v>Valid</v>
      </c>
    </row>
    <row r="410" spans="1:17" x14ac:dyDescent="0.3">
      <c r="A410" t="s">
        <v>1643</v>
      </c>
      <c r="B410" t="s">
        <v>1644</v>
      </c>
      <c r="C410" t="s">
        <v>76</v>
      </c>
      <c r="D410" t="s">
        <v>51</v>
      </c>
      <c r="E410" t="s">
        <v>52</v>
      </c>
      <c r="F410" t="s">
        <v>18</v>
      </c>
      <c r="G410" s="1">
        <v>43811</v>
      </c>
      <c r="H410" s="1">
        <v>44146</v>
      </c>
      <c r="I410" t="s">
        <v>1645</v>
      </c>
      <c r="J410" t="s">
        <v>1646</v>
      </c>
      <c r="K410" t="s">
        <v>37</v>
      </c>
      <c r="L410" t="s">
        <v>55</v>
      </c>
      <c r="M410" t="s">
        <v>22</v>
      </c>
      <c r="N410" t="str">
        <f t="shared" si="24"/>
        <v>Clean</v>
      </c>
      <c r="O410" t="str">
        <f t="shared" si="27"/>
        <v/>
      </c>
      <c r="P410" t="str">
        <f t="shared" si="25"/>
        <v>Clean</v>
      </c>
      <c r="Q410" t="str">
        <f t="shared" si="26"/>
        <v>Valid</v>
      </c>
    </row>
    <row r="411" spans="1:17" x14ac:dyDescent="0.3">
      <c r="A411" t="s">
        <v>1647</v>
      </c>
      <c r="B411" t="s">
        <v>1648</v>
      </c>
      <c r="C411" t="s">
        <v>181</v>
      </c>
      <c r="D411" t="s">
        <v>34</v>
      </c>
      <c r="E411" t="s">
        <v>26</v>
      </c>
      <c r="F411" t="s">
        <v>18</v>
      </c>
      <c r="G411" s="1">
        <v>45010</v>
      </c>
      <c r="H411" s="1">
        <v>45047</v>
      </c>
      <c r="I411" t="s">
        <v>1649</v>
      </c>
      <c r="J411" t="s">
        <v>1650</v>
      </c>
      <c r="K411" t="s">
        <v>21</v>
      </c>
      <c r="L411" t="s">
        <v>91</v>
      </c>
      <c r="M411" t="s">
        <v>22</v>
      </c>
      <c r="N411" t="str">
        <f t="shared" si="24"/>
        <v>Clean</v>
      </c>
      <c r="O411" t="str">
        <f t="shared" si="27"/>
        <v/>
      </c>
      <c r="P411" t="str">
        <f t="shared" si="25"/>
        <v>Clean</v>
      </c>
      <c r="Q411" t="str">
        <f t="shared" si="26"/>
        <v>Valid</v>
      </c>
    </row>
    <row r="412" spans="1:17" x14ac:dyDescent="0.3">
      <c r="A412" t="s">
        <v>1651</v>
      </c>
      <c r="B412" t="s">
        <v>1652</v>
      </c>
      <c r="C412" t="s">
        <v>33</v>
      </c>
      <c r="D412" t="s">
        <v>77</v>
      </c>
      <c r="E412" t="s">
        <v>52</v>
      </c>
      <c r="F412" t="s">
        <v>18</v>
      </c>
      <c r="G412" s="1">
        <v>43479</v>
      </c>
      <c r="H412" s="1">
        <v>43613</v>
      </c>
      <c r="J412" t="s">
        <v>1653</v>
      </c>
      <c r="K412" t="s">
        <v>90</v>
      </c>
      <c r="M412" t="s">
        <v>3735</v>
      </c>
      <c r="N412" t="str">
        <f t="shared" si="24"/>
        <v>Flagged</v>
      </c>
      <c r="O412" t="str">
        <f t="shared" si="27"/>
        <v>Missing Contact_Email Missing Verified_By</v>
      </c>
      <c r="P412" t="str">
        <f t="shared" si="25"/>
        <v>Flagged for Review</v>
      </c>
      <c r="Q412" t="str">
        <f t="shared" si="26"/>
        <v>Blank</v>
      </c>
    </row>
    <row r="413" spans="1:17" x14ac:dyDescent="0.3">
      <c r="A413" t="s">
        <v>1654</v>
      </c>
      <c r="B413" t="s">
        <v>1655</v>
      </c>
      <c r="C413" t="s">
        <v>15</v>
      </c>
      <c r="D413" t="s">
        <v>34</v>
      </c>
      <c r="E413" t="s">
        <v>26</v>
      </c>
      <c r="F413" t="s">
        <v>18</v>
      </c>
      <c r="G413" s="1">
        <v>45034</v>
      </c>
      <c r="H413" s="1">
        <v>45324</v>
      </c>
      <c r="I413" t="s">
        <v>1656</v>
      </c>
      <c r="J413" t="s">
        <v>1657</v>
      </c>
      <c r="K413" t="s">
        <v>21</v>
      </c>
      <c r="L413" t="s">
        <v>116</v>
      </c>
      <c r="M413" t="s">
        <v>22</v>
      </c>
      <c r="N413" t="str">
        <f t="shared" si="24"/>
        <v>Clean</v>
      </c>
      <c r="O413" t="str">
        <f t="shared" si="27"/>
        <v/>
      </c>
      <c r="P413" t="str">
        <f t="shared" si="25"/>
        <v>Clean</v>
      </c>
      <c r="Q413" t="str">
        <f t="shared" si="26"/>
        <v>Valid</v>
      </c>
    </row>
    <row r="414" spans="1:17" x14ac:dyDescent="0.3">
      <c r="A414" t="s">
        <v>1658</v>
      </c>
      <c r="B414" t="s">
        <v>1659</v>
      </c>
      <c r="C414" t="s">
        <v>46</v>
      </c>
      <c r="D414" t="s">
        <v>67</v>
      </c>
      <c r="E414" t="s">
        <v>26</v>
      </c>
      <c r="F414" t="s">
        <v>160</v>
      </c>
      <c r="G414" s="1">
        <v>44095</v>
      </c>
      <c r="H414" s="1">
        <v>44122</v>
      </c>
      <c r="I414" t="s">
        <v>1660</v>
      </c>
      <c r="K414" t="s">
        <v>21</v>
      </c>
      <c r="L414" t="s">
        <v>60</v>
      </c>
      <c r="M414" t="s">
        <v>3735</v>
      </c>
      <c r="N414" t="str">
        <f t="shared" si="24"/>
        <v>Flagged</v>
      </c>
      <c r="O414" t="str">
        <f t="shared" si="27"/>
        <v>Missing Account_Code</v>
      </c>
      <c r="P414" t="str">
        <f t="shared" si="25"/>
        <v>Flagged for Review</v>
      </c>
      <c r="Q414" t="str">
        <f t="shared" si="26"/>
        <v>Valid</v>
      </c>
    </row>
    <row r="415" spans="1:17" x14ac:dyDescent="0.3">
      <c r="A415" t="s">
        <v>1661</v>
      </c>
      <c r="B415" t="s">
        <v>1662</v>
      </c>
      <c r="C415" t="s">
        <v>33</v>
      </c>
      <c r="D415" t="s">
        <v>77</v>
      </c>
      <c r="E415" t="s">
        <v>52</v>
      </c>
      <c r="F415" t="s">
        <v>18</v>
      </c>
      <c r="G415" s="1">
        <v>44165</v>
      </c>
      <c r="H415" s="1">
        <v>44309</v>
      </c>
      <c r="I415" t="s">
        <v>1663</v>
      </c>
      <c r="J415" t="s">
        <v>1664</v>
      </c>
      <c r="K415" t="s">
        <v>90</v>
      </c>
      <c r="L415" t="s">
        <v>30</v>
      </c>
      <c r="M415" t="s">
        <v>22</v>
      </c>
      <c r="N415" t="str">
        <f t="shared" si="24"/>
        <v>Clean</v>
      </c>
      <c r="O415" t="str">
        <f t="shared" si="27"/>
        <v/>
      </c>
      <c r="P415" t="str">
        <f t="shared" si="25"/>
        <v>Clean</v>
      </c>
      <c r="Q415" t="str">
        <f t="shared" si="26"/>
        <v>Valid</v>
      </c>
    </row>
    <row r="416" spans="1:17" x14ac:dyDescent="0.3">
      <c r="A416" t="s">
        <v>1665</v>
      </c>
      <c r="B416" t="s">
        <v>715</v>
      </c>
      <c r="C416" t="s">
        <v>87</v>
      </c>
      <c r="D416" t="s">
        <v>67</v>
      </c>
      <c r="E416" t="s">
        <v>26</v>
      </c>
      <c r="F416" t="s">
        <v>160</v>
      </c>
      <c r="G416" s="1">
        <v>44316</v>
      </c>
      <c r="H416" s="1">
        <v>44341</v>
      </c>
      <c r="I416" t="s">
        <v>1666</v>
      </c>
      <c r="J416" t="s">
        <v>1667</v>
      </c>
      <c r="K416" t="s">
        <v>90</v>
      </c>
      <c r="M416" t="s">
        <v>3735</v>
      </c>
      <c r="N416" t="str">
        <f t="shared" si="24"/>
        <v>Flagged</v>
      </c>
      <c r="O416" t="str">
        <f t="shared" si="27"/>
        <v>Missing Verified_By</v>
      </c>
      <c r="P416" t="str">
        <f t="shared" si="25"/>
        <v>Flagged for Review</v>
      </c>
      <c r="Q416" t="str">
        <f t="shared" si="26"/>
        <v>Valid</v>
      </c>
    </row>
    <row r="417" spans="1:17" x14ac:dyDescent="0.3">
      <c r="A417" t="s">
        <v>1668</v>
      </c>
      <c r="B417" t="s">
        <v>1669</v>
      </c>
      <c r="C417" t="s">
        <v>33</v>
      </c>
      <c r="D417" t="s">
        <v>51</v>
      </c>
      <c r="E417" t="s">
        <v>52</v>
      </c>
      <c r="F417" t="s">
        <v>160</v>
      </c>
      <c r="G417" s="1">
        <v>44257</v>
      </c>
      <c r="H417" s="1">
        <v>44346</v>
      </c>
      <c r="I417" t="s">
        <v>1670</v>
      </c>
      <c r="J417" t="s">
        <v>1671</v>
      </c>
      <c r="K417" t="s">
        <v>21</v>
      </c>
      <c r="L417" t="s">
        <v>91</v>
      </c>
      <c r="M417" t="s">
        <v>22</v>
      </c>
      <c r="N417" t="str">
        <f t="shared" si="24"/>
        <v>Clean</v>
      </c>
      <c r="O417" t="str">
        <f t="shared" si="27"/>
        <v/>
      </c>
      <c r="P417" t="str">
        <f t="shared" si="25"/>
        <v>Clean</v>
      </c>
      <c r="Q417" t="str">
        <f t="shared" si="26"/>
        <v>Valid</v>
      </c>
    </row>
    <row r="418" spans="1:17" x14ac:dyDescent="0.3">
      <c r="A418" t="s">
        <v>1672</v>
      </c>
      <c r="B418" t="s">
        <v>1673</v>
      </c>
      <c r="C418" t="s">
        <v>33</v>
      </c>
      <c r="D418" t="s">
        <v>67</v>
      </c>
      <c r="E418" t="s">
        <v>26</v>
      </c>
      <c r="F418" t="s">
        <v>18</v>
      </c>
      <c r="G418" s="1">
        <v>43757</v>
      </c>
      <c r="H418" s="1">
        <v>43916</v>
      </c>
      <c r="I418" t="s">
        <v>1674</v>
      </c>
      <c r="J418" t="s">
        <v>1675</v>
      </c>
      <c r="K418" t="s">
        <v>21</v>
      </c>
      <c r="L418" t="s">
        <v>60</v>
      </c>
      <c r="M418" t="s">
        <v>22</v>
      </c>
      <c r="N418" t="str">
        <f t="shared" si="24"/>
        <v>Clean</v>
      </c>
      <c r="O418" t="str">
        <f t="shared" si="27"/>
        <v/>
      </c>
      <c r="P418" t="str">
        <f t="shared" si="25"/>
        <v>Clean</v>
      </c>
      <c r="Q418" t="str">
        <f t="shared" si="26"/>
        <v>Valid</v>
      </c>
    </row>
    <row r="419" spans="1:17" x14ac:dyDescent="0.3">
      <c r="A419" t="s">
        <v>1676</v>
      </c>
      <c r="B419" t="s">
        <v>1677</v>
      </c>
      <c r="C419" t="s">
        <v>40</v>
      </c>
      <c r="D419" t="s">
        <v>25</v>
      </c>
      <c r="E419" t="s">
        <v>26</v>
      </c>
      <c r="F419" t="s">
        <v>18</v>
      </c>
      <c r="G419" s="1">
        <v>45315</v>
      </c>
      <c r="H419" s="1">
        <v>45642</v>
      </c>
      <c r="I419" t="s">
        <v>1678</v>
      </c>
      <c r="J419" t="s">
        <v>1679</v>
      </c>
      <c r="K419" t="s">
        <v>37</v>
      </c>
      <c r="L419" t="s">
        <v>60</v>
      </c>
      <c r="M419" t="s">
        <v>22</v>
      </c>
      <c r="N419" t="str">
        <f t="shared" si="24"/>
        <v>Clean</v>
      </c>
      <c r="O419" t="str">
        <f t="shared" si="27"/>
        <v/>
      </c>
      <c r="P419" t="str">
        <f t="shared" si="25"/>
        <v>Clean</v>
      </c>
      <c r="Q419" t="str">
        <f t="shared" si="26"/>
        <v>Valid</v>
      </c>
    </row>
    <row r="420" spans="1:17" x14ac:dyDescent="0.3">
      <c r="A420" t="s">
        <v>1680</v>
      </c>
      <c r="B420" t="s">
        <v>1681</v>
      </c>
      <c r="C420" t="s">
        <v>181</v>
      </c>
      <c r="D420" t="s">
        <v>51</v>
      </c>
      <c r="E420" t="s">
        <v>52</v>
      </c>
      <c r="F420" t="s">
        <v>18</v>
      </c>
      <c r="G420" s="1">
        <v>44705</v>
      </c>
      <c r="H420" s="1">
        <v>44815</v>
      </c>
      <c r="I420" t="s">
        <v>1682</v>
      </c>
      <c r="J420" t="s">
        <v>1683</v>
      </c>
      <c r="K420" t="s">
        <v>37</v>
      </c>
      <c r="L420" t="s">
        <v>60</v>
      </c>
      <c r="M420" t="s">
        <v>22</v>
      </c>
      <c r="N420" t="str">
        <f t="shared" si="24"/>
        <v>Clean</v>
      </c>
      <c r="O420" t="str">
        <f t="shared" si="27"/>
        <v/>
      </c>
      <c r="P420" t="str">
        <f t="shared" si="25"/>
        <v>Clean</v>
      </c>
      <c r="Q420" t="str">
        <f t="shared" si="26"/>
        <v>Valid</v>
      </c>
    </row>
    <row r="421" spans="1:17" x14ac:dyDescent="0.3">
      <c r="A421" t="s">
        <v>1684</v>
      </c>
      <c r="B421" t="s">
        <v>1685</v>
      </c>
      <c r="C421" t="s">
        <v>76</v>
      </c>
      <c r="D421" t="s">
        <v>67</v>
      </c>
      <c r="E421" t="s">
        <v>26</v>
      </c>
      <c r="F421" t="s">
        <v>18</v>
      </c>
      <c r="G421" s="1">
        <v>45040</v>
      </c>
      <c r="H421" s="1">
        <v>45245</v>
      </c>
      <c r="I421" t="s">
        <v>1686</v>
      </c>
      <c r="J421" t="s">
        <v>1687</v>
      </c>
      <c r="K421" t="s">
        <v>29</v>
      </c>
      <c r="M421" t="s">
        <v>3735</v>
      </c>
      <c r="N421" t="str">
        <f t="shared" si="24"/>
        <v>Flagged</v>
      </c>
      <c r="O421" t="str">
        <f t="shared" si="27"/>
        <v>Missing Verified_By</v>
      </c>
      <c r="P421" t="str">
        <f t="shared" si="25"/>
        <v>Flagged for Review</v>
      </c>
      <c r="Q421" t="str">
        <f t="shared" si="26"/>
        <v>Valid</v>
      </c>
    </row>
    <row r="422" spans="1:17" x14ac:dyDescent="0.3">
      <c r="A422" t="s">
        <v>1688</v>
      </c>
      <c r="B422" t="s">
        <v>1689</v>
      </c>
      <c r="C422" t="s">
        <v>46</v>
      </c>
      <c r="D422" t="s">
        <v>25</v>
      </c>
      <c r="E422" t="s">
        <v>26</v>
      </c>
      <c r="F422" t="s">
        <v>18</v>
      </c>
      <c r="G422" s="1">
        <v>45160</v>
      </c>
      <c r="H422" s="1">
        <v>45376</v>
      </c>
      <c r="I422" t="s">
        <v>1690</v>
      </c>
      <c r="J422" t="s">
        <v>1691</v>
      </c>
      <c r="K422" t="s">
        <v>37</v>
      </c>
      <c r="L422" t="s">
        <v>116</v>
      </c>
      <c r="M422" t="s">
        <v>22</v>
      </c>
      <c r="N422" t="str">
        <f t="shared" si="24"/>
        <v>Clean</v>
      </c>
      <c r="O422" t="str">
        <f t="shared" si="27"/>
        <v/>
      </c>
      <c r="P422" t="str">
        <f t="shared" si="25"/>
        <v>Clean</v>
      </c>
      <c r="Q422" t="str">
        <f t="shared" si="26"/>
        <v>Valid</v>
      </c>
    </row>
    <row r="423" spans="1:17" x14ac:dyDescent="0.3">
      <c r="A423" t="s">
        <v>1692</v>
      </c>
      <c r="B423" t="s">
        <v>1693</v>
      </c>
      <c r="C423" t="s">
        <v>46</v>
      </c>
      <c r="D423" t="s">
        <v>34</v>
      </c>
      <c r="E423" t="s">
        <v>26</v>
      </c>
      <c r="F423" t="s">
        <v>160</v>
      </c>
      <c r="G423" s="1">
        <v>45328</v>
      </c>
      <c r="H423" s="1">
        <v>45374</v>
      </c>
      <c r="I423" t="s">
        <v>1694</v>
      </c>
      <c r="J423" t="s">
        <v>1695</v>
      </c>
      <c r="K423" t="s">
        <v>37</v>
      </c>
      <c r="M423" t="s">
        <v>3735</v>
      </c>
      <c r="N423" t="str">
        <f t="shared" si="24"/>
        <v>Flagged</v>
      </c>
      <c r="O423" t="str">
        <f t="shared" si="27"/>
        <v>Missing Verified_By</v>
      </c>
      <c r="P423" t="str">
        <f t="shared" si="25"/>
        <v>Flagged for Review</v>
      </c>
      <c r="Q423" t="str">
        <f t="shared" si="26"/>
        <v>Valid</v>
      </c>
    </row>
    <row r="424" spans="1:17" x14ac:dyDescent="0.3">
      <c r="A424" t="s">
        <v>1696</v>
      </c>
      <c r="B424" t="s">
        <v>1697</v>
      </c>
      <c r="C424" t="s">
        <v>46</v>
      </c>
      <c r="D424" t="s">
        <v>77</v>
      </c>
      <c r="E424" t="s">
        <v>52</v>
      </c>
      <c r="F424" t="s">
        <v>18</v>
      </c>
      <c r="G424" s="1">
        <v>44248</v>
      </c>
      <c r="H424" s="1">
        <v>44394</v>
      </c>
      <c r="I424" t="s">
        <v>1698</v>
      </c>
      <c r="J424" t="s">
        <v>1699</v>
      </c>
      <c r="K424" t="s">
        <v>29</v>
      </c>
      <c r="L424" t="s">
        <v>116</v>
      </c>
      <c r="M424" t="s">
        <v>22</v>
      </c>
      <c r="N424" t="str">
        <f t="shared" si="24"/>
        <v>Clean</v>
      </c>
      <c r="O424" t="str">
        <f t="shared" si="27"/>
        <v/>
      </c>
      <c r="P424" t="str">
        <f t="shared" si="25"/>
        <v>Clean</v>
      </c>
      <c r="Q424" t="str">
        <f t="shared" si="26"/>
        <v>Valid</v>
      </c>
    </row>
    <row r="425" spans="1:17" x14ac:dyDescent="0.3">
      <c r="A425" t="s">
        <v>1700</v>
      </c>
      <c r="B425" t="s">
        <v>1701</v>
      </c>
      <c r="C425" t="s">
        <v>76</v>
      </c>
      <c r="D425" t="s">
        <v>34</v>
      </c>
      <c r="E425" t="s">
        <v>26</v>
      </c>
      <c r="F425" t="s">
        <v>151</v>
      </c>
      <c r="G425" s="1">
        <v>44711</v>
      </c>
      <c r="H425" s="1">
        <v>44999</v>
      </c>
      <c r="I425" t="s">
        <v>1702</v>
      </c>
      <c r="J425" t="s">
        <v>1703</v>
      </c>
      <c r="K425" t="s">
        <v>21</v>
      </c>
      <c r="L425" t="s">
        <v>91</v>
      </c>
      <c r="M425" t="s">
        <v>22</v>
      </c>
      <c r="N425" t="str">
        <f t="shared" si="24"/>
        <v>Clean</v>
      </c>
      <c r="O425" t="str">
        <f t="shared" si="27"/>
        <v/>
      </c>
      <c r="P425" t="str">
        <f t="shared" si="25"/>
        <v>Clean</v>
      </c>
      <c r="Q425" t="str">
        <f t="shared" si="26"/>
        <v>Valid</v>
      </c>
    </row>
    <row r="426" spans="1:17" x14ac:dyDescent="0.3">
      <c r="A426" t="s">
        <v>1704</v>
      </c>
      <c r="B426" t="s">
        <v>1705</v>
      </c>
      <c r="C426" t="s">
        <v>15</v>
      </c>
      <c r="D426" t="s">
        <v>67</v>
      </c>
      <c r="E426" t="s">
        <v>26</v>
      </c>
      <c r="F426" t="s">
        <v>160</v>
      </c>
      <c r="G426" s="1">
        <v>45360</v>
      </c>
      <c r="H426" s="1">
        <v>45571</v>
      </c>
      <c r="I426" t="s">
        <v>1706</v>
      </c>
      <c r="J426" t="s">
        <v>1707</v>
      </c>
      <c r="K426" t="s">
        <v>29</v>
      </c>
      <c r="L426" t="s">
        <v>91</v>
      </c>
      <c r="M426" t="s">
        <v>22</v>
      </c>
      <c r="N426" t="str">
        <f t="shared" si="24"/>
        <v>Clean</v>
      </c>
      <c r="O426" t="str">
        <f t="shared" si="27"/>
        <v/>
      </c>
      <c r="P426" t="str">
        <f t="shared" si="25"/>
        <v>Clean</v>
      </c>
      <c r="Q426" t="str">
        <f t="shared" si="26"/>
        <v>Valid</v>
      </c>
    </row>
    <row r="427" spans="1:17" x14ac:dyDescent="0.3">
      <c r="A427" t="s">
        <v>1708</v>
      </c>
      <c r="B427" t="s">
        <v>3721</v>
      </c>
      <c r="C427" t="s">
        <v>181</v>
      </c>
      <c r="D427" t="s">
        <v>16</v>
      </c>
      <c r="E427" t="s">
        <v>17</v>
      </c>
      <c r="F427" t="s">
        <v>160</v>
      </c>
      <c r="G427" s="1">
        <v>44644</v>
      </c>
      <c r="H427" s="1">
        <v>44651</v>
      </c>
      <c r="I427" t="s">
        <v>1709</v>
      </c>
      <c r="J427" t="s">
        <v>1710</v>
      </c>
      <c r="K427" t="s">
        <v>29</v>
      </c>
      <c r="L427" t="s">
        <v>30</v>
      </c>
      <c r="M427" t="s">
        <v>3735</v>
      </c>
      <c r="N427" t="str">
        <f t="shared" si="24"/>
        <v>Flagged</v>
      </c>
      <c r="O427" t="str">
        <f t="shared" si="27"/>
        <v>Missing Vendor_Name</v>
      </c>
      <c r="P427" t="str">
        <f t="shared" si="25"/>
        <v>Flagged for Review</v>
      </c>
      <c r="Q427" t="str">
        <f t="shared" si="26"/>
        <v>Valid</v>
      </c>
    </row>
    <row r="428" spans="1:17" x14ac:dyDescent="0.3">
      <c r="A428" t="s">
        <v>1711</v>
      </c>
      <c r="B428" t="s">
        <v>1712</v>
      </c>
      <c r="C428" t="s">
        <v>33</v>
      </c>
      <c r="D428" t="s">
        <v>34</v>
      </c>
      <c r="E428" t="s">
        <v>26</v>
      </c>
      <c r="F428" t="s">
        <v>18</v>
      </c>
      <c r="G428" s="1">
        <v>44086</v>
      </c>
      <c r="H428" s="1">
        <v>44357</v>
      </c>
      <c r="I428" t="s">
        <v>1713</v>
      </c>
      <c r="J428" t="s">
        <v>1714</v>
      </c>
      <c r="K428" t="s">
        <v>37</v>
      </c>
      <c r="L428" t="s">
        <v>30</v>
      </c>
      <c r="M428" t="s">
        <v>22</v>
      </c>
      <c r="N428" t="str">
        <f t="shared" si="24"/>
        <v>Clean</v>
      </c>
      <c r="O428" t="str">
        <f t="shared" si="27"/>
        <v/>
      </c>
      <c r="P428" t="str">
        <f t="shared" si="25"/>
        <v>Clean</v>
      </c>
      <c r="Q428" t="str">
        <f t="shared" si="26"/>
        <v>Valid</v>
      </c>
    </row>
    <row r="429" spans="1:17" x14ac:dyDescent="0.3">
      <c r="A429" t="s">
        <v>1715</v>
      </c>
      <c r="B429" t="s">
        <v>1716</v>
      </c>
      <c r="C429" t="s">
        <v>87</v>
      </c>
      <c r="D429" t="s">
        <v>25</v>
      </c>
      <c r="E429" t="s">
        <v>26</v>
      </c>
      <c r="F429" t="s">
        <v>151</v>
      </c>
      <c r="G429" s="1">
        <v>44631</v>
      </c>
      <c r="H429" s="1">
        <v>44917</v>
      </c>
      <c r="I429" t="s">
        <v>1717</v>
      </c>
      <c r="J429" t="s">
        <v>1718</v>
      </c>
      <c r="K429" t="s">
        <v>29</v>
      </c>
      <c r="L429" t="s">
        <v>116</v>
      </c>
      <c r="M429" t="s">
        <v>22</v>
      </c>
      <c r="N429" t="str">
        <f t="shared" si="24"/>
        <v>Clean</v>
      </c>
      <c r="O429" t="str">
        <f t="shared" si="27"/>
        <v/>
      </c>
      <c r="P429" t="str">
        <f t="shared" si="25"/>
        <v>Clean</v>
      </c>
      <c r="Q429" t="str">
        <f t="shared" si="26"/>
        <v>Valid</v>
      </c>
    </row>
    <row r="430" spans="1:17" x14ac:dyDescent="0.3">
      <c r="A430" t="s">
        <v>1719</v>
      </c>
      <c r="B430" t="s">
        <v>1720</v>
      </c>
      <c r="C430" t="s">
        <v>15</v>
      </c>
      <c r="D430" t="s">
        <v>67</v>
      </c>
      <c r="E430" t="s">
        <v>26</v>
      </c>
      <c r="F430" t="s">
        <v>18</v>
      </c>
      <c r="G430" s="1">
        <v>44490</v>
      </c>
      <c r="H430" s="1">
        <v>44516</v>
      </c>
      <c r="I430" t="s">
        <v>1721</v>
      </c>
      <c r="J430" t="s">
        <v>1722</v>
      </c>
      <c r="K430" t="s">
        <v>90</v>
      </c>
      <c r="M430" t="s">
        <v>3735</v>
      </c>
      <c r="N430" t="str">
        <f t="shared" si="24"/>
        <v>Flagged</v>
      </c>
      <c r="O430" t="str">
        <f t="shared" si="27"/>
        <v>Missing Verified_By</v>
      </c>
      <c r="P430" t="str">
        <f t="shared" si="25"/>
        <v>Flagged for Review</v>
      </c>
      <c r="Q430" t="str">
        <f t="shared" si="26"/>
        <v>Valid</v>
      </c>
    </row>
    <row r="431" spans="1:17" x14ac:dyDescent="0.3">
      <c r="A431" t="s">
        <v>1723</v>
      </c>
      <c r="B431" t="s">
        <v>1724</v>
      </c>
      <c r="C431" t="s">
        <v>15</v>
      </c>
      <c r="D431" t="s">
        <v>51</v>
      </c>
      <c r="E431" t="s">
        <v>52</v>
      </c>
      <c r="F431" t="s">
        <v>18</v>
      </c>
      <c r="G431" s="1">
        <v>45651</v>
      </c>
      <c r="H431" s="1">
        <v>45983</v>
      </c>
      <c r="I431" t="s">
        <v>704</v>
      </c>
      <c r="J431" t="s">
        <v>1725</v>
      </c>
      <c r="K431" t="s">
        <v>29</v>
      </c>
      <c r="L431" t="s">
        <v>116</v>
      </c>
      <c r="M431" t="s">
        <v>3735</v>
      </c>
      <c r="N431" t="str">
        <f t="shared" si="24"/>
        <v>Flagged</v>
      </c>
      <c r="O431" t="str">
        <f t="shared" si="27"/>
        <v>Invalid Email Format</v>
      </c>
      <c r="P431" t="str">
        <f t="shared" si="25"/>
        <v>Flagged for Review</v>
      </c>
      <c r="Q431" t="str">
        <f t="shared" si="26"/>
        <v>Invalid</v>
      </c>
    </row>
    <row r="432" spans="1:17" x14ac:dyDescent="0.3">
      <c r="A432" t="s">
        <v>1726</v>
      </c>
      <c r="B432" t="s">
        <v>1727</v>
      </c>
      <c r="C432" t="s">
        <v>76</v>
      </c>
      <c r="D432" t="s">
        <v>77</v>
      </c>
      <c r="E432" t="s">
        <v>52</v>
      </c>
      <c r="F432" t="s">
        <v>18</v>
      </c>
      <c r="G432" s="1">
        <v>45608</v>
      </c>
      <c r="H432" s="1">
        <v>45842</v>
      </c>
      <c r="I432" t="s">
        <v>1728</v>
      </c>
      <c r="J432" t="s">
        <v>1729</v>
      </c>
      <c r="K432" t="s">
        <v>37</v>
      </c>
      <c r="L432" t="s">
        <v>60</v>
      </c>
      <c r="M432" t="s">
        <v>22</v>
      </c>
      <c r="N432" t="str">
        <f t="shared" si="24"/>
        <v>Clean</v>
      </c>
      <c r="O432" t="str">
        <f t="shared" si="27"/>
        <v/>
      </c>
      <c r="P432" t="str">
        <f t="shared" si="25"/>
        <v>Clean</v>
      </c>
      <c r="Q432" t="str">
        <f t="shared" si="26"/>
        <v>Valid</v>
      </c>
    </row>
    <row r="433" spans="1:17" x14ac:dyDescent="0.3">
      <c r="A433" t="s">
        <v>1730</v>
      </c>
      <c r="B433" t="s">
        <v>1731</v>
      </c>
      <c r="C433" t="s">
        <v>181</v>
      </c>
      <c r="D433" t="s">
        <v>16</v>
      </c>
      <c r="E433" t="s">
        <v>17</v>
      </c>
      <c r="F433" t="s">
        <v>160</v>
      </c>
      <c r="G433" s="1">
        <v>43831</v>
      </c>
      <c r="H433" s="1">
        <v>44150</v>
      </c>
      <c r="I433" t="s">
        <v>177</v>
      </c>
      <c r="J433" t="s">
        <v>1732</v>
      </c>
      <c r="K433" t="s">
        <v>21</v>
      </c>
      <c r="L433" t="s">
        <v>55</v>
      </c>
      <c r="M433" t="s">
        <v>3735</v>
      </c>
      <c r="N433" t="str">
        <f t="shared" si="24"/>
        <v>Flagged</v>
      </c>
      <c r="O433" t="str">
        <f t="shared" si="27"/>
        <v>Invalid Email Format</v>
      </c>
      <c r="P433" t="str">
        <f t="shared" si="25"/>
        <v>Flagged for Review</v>
      </c>
      <c r="Q433" t="str">
        <f t="shared" si="26"/>
        <v>Invalid</v>
      </c>
    </row>
    <row r="434" spans="1:17" x14ac:dyDescent="0.3">
      <c r="A434" t="s">
        <v>1733</v>
      </c>
      <c r="B434" t="s">
        <v>1734</v>
      </c>
      <c r="C434" t="s">
        <v>46</v>
      </c>
      <c r="D434" t="s">
        <v>16</v>
      </c>
      <c r="E434" t="s">
        <v>17</v>
      </c>
      <c r="F434" t="s">
        <v>18</v>
      </c>
      <c r="G434" s="1">
        <v>43811</v>
      </c>
      <c r="H434" s="1">
        <v>43885</v>
      </c>
      <c r="I434" t="s">
        <v>1735</v>
      </c>
      <c r="J434" t="s">
        <v>1736</v>
      </c>
      <c r="K434" t="s">
        <v>21</v>
      </c>
      <c r="L434" t="s">
        <v>30</v>
      </c>
      <c r="M434" t="s">
        <v>22</v>
      </c>
      <c r="N434" t="str">
        <f t="shared" si="24"/>
        <v>Clean</v>
      </c>
      <c r="O434" t="str">
        <f t="shared" si="27"/>
        <v/>
      </c>
      <c r="P434" t="str">
        <f t="shared" si="25"/>
        <v>Clean</v>
      </c>
      <c r="Q434" t="str">
        <f t="shared" si="26"/>
        <v>Valid</v>
      </c>
    </row>
    <row r="435" spans="1:17" x14ac:dyDescent="0.3">
      <c r="A435" t="s">
        <v>1737</v>
      </c>
      <c r="B435" t="s">
        <v>1738</v>
      </c>
      <c r="C435" t="s">
        <v>181</v>
      </c>
      <c r="D435" t="s">
        <v>41</v>
      </c>
      <c r="E435" t="s">
        <v>17</v>
      </c>
      <c r="F435" t="s">
        <v>151</v>
      </c>
      <c r="G435" s="1">
        <v>44255</v>
      </c>
      <c r="H435" s="1">
        <v>44319</v>
      </c>
      <c r="I435" t="s">
        <v>1739</v>
      </c>
      <c r="J435" t="s">
        <v>1740</v>
      </c>
      <c r="K435" t="s">
        <v>90</v>
      </c>
      <c r="M435" t="s">
        <v>3735</v>
      </c>
      <c r="N435" t="str">
        <f t="shared" si="24"/>
        <v>Flagged</v>
      </c>
      <c r="O435" t="str">
        <f t="shared" si="27"/>
        <v>Missing Verified_By</v>
      </c>
      <c r="P435" t="str">
        <f t="shared" si="25"/>
        <v>Flagged for Review</v>
      </c>
      <c r="Q435" t="str">
        <f t="shared" si="26"/>
        <v>Valid</v>
      </c>
    </row>
    <row r="436" spans="1:17" x14ac:dyDescent="0.3">
      <c r="A436" t="s">
        <v>1741</v>
      </c>
      <c r="B436" t="s">
        <v>1742</v>
      </c>
      <c r="C436" t="s">
        <v>76</v>
      </c>
      <c r="D436" t="s">
        <v>77</v>
      </c>
      <c r="E436" t="s">
        <v>52</v>
      </c>
      <c r="F436" t="s">
        <v>18</v>
      </c>
      <c r="G436" s="1">
        <v>44284</v>
      </c>
      <c r="H436" s="1">
        <v>44418</v>
      </c>
      <c r="I436" t="s">
        <v>1743</v>
      </c>
      <c r="J436" t="s">
        <v>1744</v>
      </c>
      <c r="K436" t="s">
        <v>29</v>
      </c>
      <c r="M436" t="s">
        <v>3735</v>
      </c>
      <c r="N436" t="str">
        <f t="shared" si="24"/>
        <v>Flagged</v>
      </c>
      <c r="O436" t="str">
        <f t="shared" si="27"/>
        <v>Missing Verified_By</v>
      </c>
      <c r="P436" t="str">
        <f t="shared" si="25"/>
        <v>Flagged for Review</v>
      </c>
      <c r="Q436" t="str">
        <f t="shared" si="26"/>
        <v>Valid</v>
      </c>
    </row>
    <row r="437" spans="1:17" x14ac:dyDescent="0.3">
      <c r="A437" t="s">
        <v>1745</v>
      </c>
      <c r="B437" t="s">
        <v>1746</v>
      </c>
      <c r="C437" t="s">
        <v>87</v>
      </c>
      <c r="D437" t="s">
        <v>41</v>
      </c>
      <c r="E437" t="s">
        <v>17</v>
      </c>
      <c r="F437" t="s">
        <v>18</v>
      </c>
      <c r="G437" s="1">
        <v>44224</v>
      </c>
      <c r="H437" s="1">
        <v>44322</v>
      </c>
      <c r="I437" t="s">
        <v>1747</v>
      </c>
      <c r="J437" t="s">
        <v>1748</v>
      </c>
      <c r="K437" t="s">
        <v>29</v>
      </c>
      <c r="M437" t="s">
        <v>3735</v>
      </c>
      <c r="N437" t="str">
        <f t="shared" si="24"/>
        <v>Flagged</v>
      </c>
      <c r="O437" t="str">
        <f t="shared" si="27"/>
        <v>Missing Verified_By</v>
      </c>
      <c r="P437" t="str">
        <f t="shared" si="25"/>
        <v>Flagged for Review</v>
      </c>
      <c r="Q437" t="str">
        <f t="shared" si="26"/>
        <v>Valid</v>
      </c>
    </row>
    <row r="438" spans="1:17" x14ac:dyDescent="0.3">
      <c r="A438" t="s">
        <v>1749</v>
      </c>
      <c r="B438" t="s">
        <v>590</v>
      </c>
      <c r="C438" t="s">
        <v>15</v>
      </c>
      <c r="D438" t="s">
        <v>25</v>
      </c>
      <c r="E438" t="s">
        <v>26</v>
      </c>
      <c r="F438" t="s">
        <v>18</v>
      </c>
      <c r="G438" s="1">
        <v>43774</v>
      </c>
      <c r="H438" s="1">
        <v>43846</v>
      </c>
      <c r="I438" t="s">
        <v>591</v>
      </c>
      <c r="J438" t="s">
        <v>1750</v>
      </c>
      <c r="K438" t="s">
        <v>29</v>
      </c>
      <c r="L438" t="s">
        <v>60</v>
      </c>
      <c r="M438" t="s">
        <v>22</v>
      </c>
      <c r="N438" t="str">
        <f t="shared" si="24"/>
        <v>Clean</v>
      </c>
      <c r="O438" t="str">
        <f t="shared" si="27"/>
        <v/>
      </c>
      <c r="P438" t="str">
        <f t="shared" si="25"/>
        <v>Clean</v>
      </c>
      <c r="Q438" t="str">
        <f t="shared" si="26"/>
        <v>Valid</v>
      </c>
    </row>
    <row r="439" spans="1:17" x14ac:dyDescent="0.3">
      <c r="A439" t="s">
        <v>1751</v>
      </c>
      <c r="B439" t="s">
        <v>875</v>
      </c>
      <c r="C439" t="s">
        <v>33</v>
      </c>
      <c r="D439" t="s">
        <v>77</v>
      </c>
      <c r="E439" t="s">
        <v>52</v>
      </c>
      <c r="F439" t="s">
        <v>160</v>
      </c>
      <c r="G439" s="1">
        <v>45229</v>
      </c>
      <c r="I439" t="s">
        <v>876</v>
      </c>
      <c r="J439" t="s">
        <v>1752</v>
      </c>
      <c r="K439" t="s">
        <v>37</v>
      </c>
      <c r="L439" t="s">
        <v>30</v>
      </c>
      <c r="M439" t="s">
        <v>3735</v>
      </c>
      <c r="N439" t="str">
        <f t="shared" si="24"/>
        <v>Flagged</v>
      </c>
      <c r="O439" t="str">
        <f t="shared" si="27"/>
        <v>Missing Last_Updated</v>
      </c>
      <c r="P439" t="str">
        <f t="shared" si="25"/>
        <v>Flagged for Review</v>
      </c>
      <c r="Q439" t="str">
        <f t="shared" si="26"/>
        <v>Valid</v>
      </c>
    </row>
    <row r="440" spans="1:17" x14ac:dyDescent="0.3">
      <c r="A440" t="s">
        <v>1753</v>
      </c>
      <c r="B440" t="s">
        <v>1754</v>
      </c>
      <c r="C440" t="s">
        <v>33</v>
      </c>
      <c r="D440" t="s">
        <v>67</v>
      </c>
      <c r="E440" t="s">
        <v>26</v>
      </c>
      <c r="F440" t="s">
        <v>18</v>
      </c>
      <c r="G440" s="1">
        <v>44141</v>
      </c>
      <c r="H440" s="1">
        <v>44302</v>
      </c>
      <c r="I440" t="s">
        <v>1755</v>
      </c>
      <c r="J440" t="s">
        <v>1756</v>
      </c>
      <c r="K440" t="s">
        <v>21</v>
      </c>
      <c r="L440" t="s">
        <v>60</v>
      </c>
      <c r="M440" t="s">
        <v>22</v>
      </c>
      <c r="N440" t="str">
        <f t="shared" si="24"/>
        <v>Clean</v>
      </c>
      <c r="O440" t="str">
        <f t="shared" si="27"/>
        <v/>
      </c>
      <c r="P440" t="str">
        <f t="shared" si="25"/>
        <v>Clean</v>
      </c>
      <c r="Q440" t="str">
        <f t="shared" si="26"/>
        <v>Valid</v>
      </c>
    </row>
    <row r="441" spans="1:17" x14ac:dyDescent="0.3">
      <c r="A441" t="s">
        <v>1757</v>
      </c>
      <c r="B441" t="s">
        <v>1758</v>
      </c>
      <c r="C441" t="s">
        <v>15</v>
      </c>
      <c r="D441" t="s">
        <v>51</v>
      </c>
      <c r="E441" t="s">
        <v>52</v>
      </c>
      <c r="F441" t="s">
        <v>160</v>
      </c>
      <c r="G441" s="1">
        <v>44593</v>
      </c>
      <c r="H441" s="1">
        <v>44809</v>
      </c>
      <c r="I441" t="s">
        <v>1759</v>
      </c>
      <c r="J441" t="s">
        <v>1760</v>
      </c>
      <c r="K441" t="s">
        <v>21</v>
      </c>
      <c r="L441" t="s">
        <v>116</v>
      </c>
      <c r="M441" t="s">
        <v>22</v>
      </c>
      <c r="N441" t="str">
        <f t="shared" si="24"/>
        <v>Clean</v>
      </c>
      <c r="O441" t="str">
        <f t="shared" si="27"/>
        <v/>
      </c>
      <c r="P441" t="str">
        <f t="shared" si="25"/>
        <v>Clean</v>
      </c>
      <c r="Q441" t="str">
        <f t="shared" si="26"/>
        <v>Valid</v>
      </c>
    </row>
    <row r="442" spans="1:17" x14ac:dyDescent="0.3">
      <c r="A442" t="s">
        <v>1761</v>
      </c>
      <c r="B442" t="s">
        <v>1762</v>
      </c>
      <c r="C442" t="s">
        <v>87</v>
      </c>
      <c r="D442" t="s">
        <v>67</v>
      </c>
      <c r="E442" t="s">
        <v>26</v>
      </c>
      <c r="F442" t="s">
        <v>18</v>
      </c>
      <c r="G442" s="1">
        <v>44203</v>
      </c>
      <c r="H442" s="1">
        <v>44290</v>
      </c>
      <c r="I442" t="s">
        <v>1763</v>
      </c>
      <c r="J442" t="s">
        <v>1764</v>
      </c>
      <c r="K442" t="s">
        <v>21</v>
      </c>
      <c r="L442" t="s">
        <v>91</v>
      </c>
      <c r="M442" t="s">
        <v>22</v>
      </c>
      <c r="N442" t="str">
        <f t="shared" si="24"/>
        <v>Clean</v>
      </c>
      <c r="O442" t="str">
        <f t="shared" si="27"/>
        <v/>
      </c>
      <c r="P442" t="str">
        <f t="shared" si="25"/>
        <v>Clean</v>
      </c>
      <c r="Q442" t="str">
        <f t="shared" si="26"/>
        <v>Valid</v>
      </c>
    </row>
    <row r="443" spans="1:17" x14ac:dyDescent="0.3">
      <c r="A443" t="s">
        <v>1765</v>
      </c>
      <c r="B443" t="s">
        <v>1766</v>
      </c>
      <c r="C443" t="s">
        <v>76</v>
      </c>
      <c r="D443" t="s">
        <v>51</v>
      </c>
      <c r="E443" t="s">
        <v>52</v>
      </c>
      <c r="F443" t="s">
        <v>18</v>
      </c>
      <c r="G443" s="1">
        <v>45328</v>
      </c>
      <c r="H443" s="1">
        <v>45516</v>
      </c>
      <c r="I443" t="s">
        <v>1767</v>
      </c>
      <c r="J443" t="s">
        <v>1768</v>
      </c>
      <c r="K443" t="s">
        <v>29</v>
      </c>
      <c r="L443" t="s">
        <v>60</v>
      </c>
      <c r="M443" t="s">
        <v>22</v>
      </c>
      <c r="N443" t="str">
        <f t="shared" si="24"/>
        <v>Clean</v>
      </c>
      <c r="O443" t="str">
        <f t="shared" si="27"/>
        <v/>
      </c>
      <c r="P443" t="str">
        <f t="shared" si="25"/>
        <v>Clean</v>
      </c>
      <c r="Q443" t="str">
        <f t="shared" si="26"/>
        <v>Valid</v>
      </c>
    </row>
    <row r="444" spans="1:17" x14ac:dyDescent="0.3">
      <c r="A444" t="s">
        <v>1769</v>
      </c>
      <c r="B444" t="s">
        <v>1770</v>
      </c>
      <c r="C444" t="s">
        <v>87</v>
      </c>
      <c r="D444" t="s">
        <v>34</v>
      </c>
      <c r="E444" t="s">
        <v>26</v>
      </c>
      <c r="F444" t="s">
        <v>18</v>
      </c>
      <c r="G444" s="1">
        <v>44930</v>
      </c>
      <c r="H444" s="1">
        <v>45154</v>
      </c>
      <c r="I444" t="s">
        <v>1771</v>
      </c>
      <c r="J444" t="s">
        <v>1772</v>
      </c>
      <c r="K444" t="s">
        <v>90</v>
      </c>
      <c r="L444" t="s">
        <v>116</v>
      </c>
      <c r="M444" t="s">
        <v>22</v>
      </c>
      <c r="N444" t="str">
        <f t="shared" si="24"/>
        <v>Clean</v>
      </c>
      <c r="O444" t="str">
        <f t="shared" si="27"/>
        <v/>
      </c>
      <c r="P444" t="str">
        <f t="shared" si="25"/>
        <v>Clean</v>
      </c>
      <c r="Q444" t="str">
        <f t="shared" si="26"/>
        <v>Valid</v>
      </c>
    </row>
    <row r="445" spans="1:17" x14ac:dyDescent="0.3">
      <c r="A445" t="s">
        <v>1773</v>
      </c>
      <c r="B445" t="s">
        <v>1774</v>
      </c>
      <c r="C445" t="s">
        <v>46</v>
      </c>
      <c r="D445" t="s">
        <v>41</v>
      </c>
      <c r="E445" t="s">
        <v>17</v>
      </c>
      <c r="F445" t="s">
        <v>151</v>
      </c>
      <c r="G445" s="1">
        <v>44780</v>
      </c>
      <c r="H445" s="1">
        <v>44975</v>
      </c>
      <c r="I445" t="s">
        <v>1775</v>
      </c>
      <c r="J445" t="s">
        <v>1776</v>
      </c>
      <c r="K445" t="s">
        <v>29</v>
      </c>
      <c r="L445" t="s">
        <v>91</v>
      </c>
      <c r="M445" t="s">
        <v>22</v>
      </c>
      <c r="N445" t="str">
        <f t="shared" si="24"/>
        <v>Clean</v>
      </c>
      <c r="O445" t="str">
        <f t="shared" si="27"/>
        <v/>
      </c>
      <c r="P445" t="str">
        <f t="shared" si="25"/>
        <v>Clean</v>
      </c>
      <c r="Q445" t="str">
        <f t="shared" si="26"/>
        <v>Valid</v>
      </c>
    </row>
    <row r="446" spans="1:17" x14ac:dyDescent="0.3">
      <c r="A446" t="s">
        <v>1777</v>
      </c>
      <c r="B446" t="s">
        <v>1778</v>
      </c>
      <c r="C446" t="s">
        <v>46</v>
      </c>
      <c r="D446" t="s">
        <v>67</v>
      </c>
      <c r="E446" t="s">
        <v>26</v>
      </c>
      <c r="F446" t="s">
        <v>18</v>
      </c>
      <c r="G446" s="1">
        <v>43662</v>
      </c>
      <c r="H446" s="1">
        <v>44000</v>
      </c>
      <c r="I446" t="s">
        <v>1779</v>
      </c>
      <c r="J446" t="s">
        <v>1780</v>
      </c>
      <c r="K446" t="s">
        <v>90</v>
      </c>
      <c r="M446" t="s">
        <v>3735</v>
      </c>
      <c r="N446" t="str">
        <f t="shared" si="24"/>
        <v>Flagged</v>
      </c>
      <c r="O446" t="str">
        <f t="shared" si="27"/>
        <v>Missing Verified_By</v>
      </c>
      <c r="P446" t="str">
        <f t="shared" si="25"/>
        <v>Flagged for Review</v>
      </c>
      <c r="Q446" t="str">
        <f t="shared" si="26"/>
        <v>Valid</v>
      </c>
    </row>
    <row r="447" spans="1:17" x14ac:dyDescent="0.3">
      <c r="A447" t="s">
        <v>1781</v>
      </c>
      <c r="B447" t="s">
        <v>1782</v>
      </c>
      <c r="C447" t="s">
        <v>33</v>
      </c>
      <c r="D447" t="s">
        <v>77</v>
      </c>
      <c r="E447" t="s">
        <v>52</v>
      </c>
      <c r="F447" t="s">
        <v>160</v>
      </c>
      <c r="G447" s="1">
        <v>45451</v>
      </c>
      <c r="H447" s="1">
        <v>45513</v>
      </c>
      <c r="I447" t="s">
        <v>1783</v>
      </c>
      <c r="J447" t="s">
        <v>1784</v>
      </c>
      <c r="K447" t="s">
        <v>37</v>
      </c>
      <c r="L447" t="s">
        <v>116</v>
      </c>
      <c r="M447" t="s">
        <v>22</v>
      </c>
      <c r="N447" t="str">
        <f t="shared" si="24"/>
        <v>Clean</v>
      </c>
      <c r="O447" t="str">
        <f t="shared" si="27"/>
        <v/>
      </c>
      <c r="P447" t="str">
        <f t="shared" si="25"/>
        <v>Clean</v>
      </c>
      <c r="Q447" t="str">
        <f t="shared" si="26"/>
        <v>Valid</v>
      </c>
    </row>
    <row r="448" spans="1:17" x14ac:dyDescent="0.3">
      <c r="A448" t="s">
        <v>1785</v>
      </c>
      <c r="B448" t="s">
        <v>3721</v>
      </c>
      <c r="C448" t="s">
        <v>15</v>
      </c>
      <c r="D448" t="s">
        <v>25</v>
      </c>
      <c r="E448" t="s">
        <v>26</v>
      </c>
      <c r="F448" t="s">
        <v>18</v>
      </c>
      <c r="G448" s="1">
        <v>43714</v>
      </c>
      <c r="H448" s="1">
        <v>43898</v>
      </c>
      <c r="I448" t="s">
        <v>1786</v>
      </c>
      <c r="J448" t="s">
        <v>1787</v>
      </c>
      <c r="K448" t="s">
        <v>29</v>
      </c>
      <c r="M448" t="s">
        <v>3735</v>
      </c>
      <c r="N448" t="str">
        <f t="shared" si="24"/>
        <v>Flagged</v>
      </c>
      <c r="O448" t="str">
        <f t="shared" si="27"/>
        <v>Missing Vendor_Name Missing Verified_By</v>
      </c>
      <c r="P448" t="str">
        <f t="shared" si="25"/>
        <v>Flagged for Review</v>
      </c>
      <c r="Q448" t="str">
        <f t="shared" si="26"/>
        <v>Valid</v>
      </c>
    </row>
    <row r="449" spans="1:17" x14ac:dyDescent="0.3">
      <c r="A449" t="s">
        <v>1788</v>
      </c>
      <c r="B449" t="s">
        <v>1789</v>
      </c>
      <c r="C449" t="s">
        <v>15</v>
      </c>
      <c r="D449" t="s">
        <v>41</v>
      </c>
      <c r="E449" t="s">
        <v>17</v>
      </c>
      <c r="F449" t="s">
        <v>18</v>
      </c>
      <c r="G449" s="1">
        <v>45495</v>
      </c>
      <c r="H449" s="1">
        <v>45642</v>
      </c>
      <c r="I449" t="s">
        <v>1790</v>
      </c>
      <c r="J449" t="s">
        <v>1791</v>
      </c>
      <c r="K449" t="s">
        <v>21</v>
      </c>
      <c r="L449" t="s">
        <v>60</v>
      </c>
      <c r="M449" t="s">
        <v>22</v>
      </c>
      <c r="N449" t="str">
        <f t="shared" si="24"/>
        <v>Clean</v>
      </c>
      <c r="O449" t="str">
        <f t="shared" si="27"/>
        <v/>
      </c>
      <c r="P449" t="str">
        <f t="shared" si="25"/>
        <v>Clean</v>
      </c>
      <c r="Q449" t="str">
        <f t="shared" si="26"/>
        <v>Valid</v>
      </c>
    </row>
    <row r="450" spans="1:17" x14ac:dyDescent="0.3">
      <c r="A450" t="s">
        <v>1792</v>
      </c>
      <c r="B450" t="s">
        <v>1793</v>
      </c>
      <c r="C450" t="s">
        <v>46</v>
      </c>
      <c r="D450" t="s">
        <v>77</v>
      </c>
      <c r="E450" t="s">
        <v>52</v>
      </c>
      <c r="F450" t="s">
        <v>160</v>
      </c>
      <c r="G450" s="1">
        <v>44991</v>
      </c>
      <c r="H450" s="1">
        <v>45225</v>
      </c>
      <c r="I450" t="s">
        <v>1794</v>
      </c>
      <c r="J450" t="s">
        <v>1795</v>
      </c>
      <c r="K450" t="s">
        <v>37</v>
      </c>
      <c r="M450" t="s">
        <v>3735</v>
      </c>
      <c r="N450" t="str">
        <f t="shared" ref="N450:N513" si="28">IF(OR(B450="",H450="",I450="",J450="",L450="",Q450="Invalid"),"Flagged","Clean")</f>
        <v>Flagged</v>
      </c>
      <c r="O450" t="str">
        <f t="shared" si="27"/>
        <v>Missing Verified_By</v>
      </c>
      <c r="P450" t="str">
        <f t="shared" ref="P450:P513" si="29">IF(N450="Clean","Clean","Flagged for Review")</f>
        <v>Flagged for Review</v>
      </c>
      <c r="Q450" t="str">
        <f t="shared" ref="Q450:Q513" si="30">IF(I450="","Blank",IF(ISERROR(FIND("@",I450&amp;"")),"Invalid",IF(FIND("@",I450&amp;"")&lt;2,"Invalid",IF(LEN(I450&amp;"")-FIND("@",I450&amp;"")&lt;4,"Invalid","Valid"))))</f>
        <v>Valid</v>
      </c>
    </row>
    <row r="451" spans="1:17" x14ac:dyDescent="0.3">
      <c r="A451" t="s">
        <v>1796</v>
      </c>
      <c r="B451" t="s">
        <v>1797</v>
      </c>
      <c r="C451" t="s">
        <v>76</v>
      </c>
      <c r="D451" t="s">
        <v>25</v>
      </c>
      <c r="E451" t="s">
        <v>26</v>
      </c>
      <c r="F451" t="s">
        <v>18</v>
      </c>
      <c r="G451" s="1">
        <v>43742</v>
      </c>
      <c r="H451" s="1">
        <v>44045</v>
      </c>
      <c r="I451" t="s">
        <v>1798</v>
      </c>
      <c r="J451" t="s">
        <v>1799</v>
      </c>
      <c r="K451" t="s">
        <v>29</v>
      </c>
      <c r="L451" t="s">
        <v>116</v>
      </c>
      <c r="M451" t="s">
        <v>22</v>
      </c>
      <c r="N451" t="str">
        <f t="shared" si="28"/>
        <v>Clean</v>
      </c>
      <c r="O451" t="str">
        <f t="shared" ref="O451:O514" si="31">TRIM(IF(B451="","Missing Vendor_Name ","")&amp;IF(I451="","Missing Contact_Email ","")&amp;IF(J451="","Missing Account_Code ","")&amp;IF(L451="","Missing Verified_By ","")&amp;IF(Q451="Invalid","Invalid Email Format ","")&amp;IF(H451="","Missing Last_Updated ",""))</f>
        <v/>
      </c>
      <c r="P451" t="str">
        <f t="shared" si="29"/>
        <v>Clean</v>
      </c>
      <c r="Q451" t="str">
        <f t="shared" si="30"/>
        <v>Valid</v>
      </c>
    </row>
    <row r="452" spans="1:17" x14ac:dyDescent="0.3">
      <c r="A452" t="s">
        <v>1800</v>
      </c>
      <c r="B452" t="s">
        <v>1801</v>
      </c>
      <c r="C452" t="s">
        <v>33</v>
      </c>
      <c r="D452" t="s">
        <v>16</v>
      </c>
      <c r="E452" t="s">
        <v>17</v>
      </c>
      <c r="F452" t="s">
        <v>18</v>
      </c>
      <c r="G452" s="1">
        <v>44167</v>
      </c>
      <c r="H452" s="1">
        <v>44436</v>
      </c>
      <c r="I452" t="s">
        <v>1802</v>
      </c>
      <c r="J452" t="s">
        <v>1803</v>
      </c>
      <c r="K452" t="s">
        <v>90</v>
      </c>
      <c r="L452" t="s">
        <v>60</v>
      </c>
      <c r="M452" t="s">
        <v>22</v>
      </c>
      <c r="N452" t="str">
        <f t="shared" si="28"/>
        <v>Clean</v>
      </c>
      <c r="O452" t="str">
        <f t="shared" si="31"/>
        <v/>
      </c>
      <c r="P452" t="str">
        <f t="shared" si="29"/>
        <v>Clean</v>
      </c>
      <c r="Q452" t="str">
        <f t="shared" si="30"/>
        <v>Valid</v>
      </c>
    </row>
    <row r="453" spans="1:17" x14ac:dyDescent="0.3">
      <c r="A453" t="s">
        <v>1804</v>
      </c>
      <c r="B453" t="s">
        <v>1805</v>
      </c>
      <c r="C453" t="s">
        <v>15</v>
      </c>
      <c r="D453" t="s">
        <v>34</v>
      </c>
      <c r="E453" t="s">
        <v>26</v>
      </c>
      <c r="F453" t="s">
        <v>151</v>
      </c>
      <c r="G453" s="1">
        <v>44243</v>
      </c>
      <c r="H453" s="1">
        <v>44392</v>
      </c>
      <c r="I453" t="s">
        <v>1806</v>
      </c>
      <c r="J453" t="s">
        <v>1807</v>
      </c>
      <c r="K453" t="s">
        <v>29</v>
      </c>
      <c r="L453" t="s">
        <v>116</v>
      </c>
      <c r="M453" t="s">
        <v>22</v>
      </c>
      <c r="N453" t="str">
        <f t="shared" si="28"/>
        <v>Clean</v>
      </c>
      <c r="O453" t="str">
        <f t="shared" si="31"/>
        <v/>
      </c>
      <c r="P453" t="str">
        <f t="shared" si="29"/>
        <v>Clean</v>
      </c>
      <c r="Q453" t="str">
        <f t="shared" si="30"/>
        <v>Valid</v>
      </c>
    </row>
    <row r="454" spans="1:17" x14ac:dyDescent="0.3">
      <c r="A454" t="s">
        <v>1808</v>
      </c>
      <c r="B454" t="s">
        <v>1809</v>
      </c>
      <c r="C454" t="s">
        <v>40</v>
      </c>
      <c r="D454" t="s">
        <v>16</v>
      </c>
      <c r="E454" t="s">
        <v>17</v>
      </c>
      <c r="F454" t="s">
        <v>151</v>
      </c>
      <c r="G454" s="1">
        <v>44613</v>
      </c>
      <c r="H454" s="1">
        <v>44728</v>
      </c>
      <c r="I454" t="s">
        <v>1810</v>
      </c>
      <c r="J454" t="s">
        <v>1811</v>
      </c>
      <c r="K454" t="s">
        <v>21</v>
      </c>
      <c r="M454" t="s">
        <v>3735</v>
      </c>
      <c r="N454" t="str">
        <f t="shared" si="28"/>
        <v>Flagged</v>
      </c>
      <c r="O454" t="str">
        <f t="shared" si="31"/>
        <v>Missing Verified_By</v>
      </c>
      <c r="P454" t="str">
        <f t="shared" si="29"/>
        <v>Flagged for Review</v>
      </c>
      <c r="Q454" t="str">
        <f t="shared" si="30"/>
        <v>Valid</v>
      </c>
    </row>
    <row r="455" spans="1:17" x14ac:dyDescent="0.3">
      <c r="A455" t="s">
        <v>1812</v>
      </c>
      <c r="B455" t="s">
        <v>1813</v>
      </c>
      <c r="C455" t="s">
        <v>15</v>
      </c>
      <c r="D455" t="s">
        <v>51</v>
      </c>
      <c r="E455" t="s">
        <v>52</v>
      </c>
      <c r="F455" t="s">
        <v>160</v>
      </c>
      <c r="G455" s="1">
        <v>45547</v>
      </c>
      <c r="H455" s="1">
        <v>45846</v>
      </c>
      <c r="I455" t="s">
        <v>1814</v>
      </c>
      <c r="J455" t="s">
        <v>1815</v>
      </c>
      <c r="K455" t="s">
        <v>90</v>
      </c>
      <c r="L455" t="s">
        <v>30</v>
      </c>
      <c r="M455" t="s">
        <v>22</v>
      </c>
      <c r="N455" t="str">
        <f t="shared" si="28"/>
        <v>Clean</v>
      </c>
      <c r="O455" t="str">
        <f t="shared" si="31"/>
        <v/>
      </c>
      <c r="P455" t="str">
        <f t="shared" si="29"/>
        <v>Clean</v>
      </c>
      <c r="Q455" t="str">
        <f t="shared" si="30"/>
        <v>Valid</v>
      </c>
    </row>
    <row r="456" spans="1:17" x14ac:dyDescent="0.3">
      <c r="A456" t="s">
        <v>1816</v>
      </c>
      <c r="B456" t="s">
        <v>1817</v>
      </c>
      <c r="C456" t="s">
        <v>87</v>
      </c>
      <c r="D456" t="s">
        <v>51</v>
      </c>
      <c r="E456" t="s">
        <v>52</v>
      </c>
      <c r="F456" t="s">
        <v>18</v>
      </c>
      <c r="G456" s="1">
        <v>45442</v>
      </c>
      <c r="H456" s="1">
        <v>45683</v>
      </c>
      <c r="I456" t="s">
        <v>1818</v>
      </c>
      <c r="J456" t="s">
        <v>1819</v>
      </c>
      <c r="K456" t="s">
        <v>37</v>
      </c>
      <c r="L456" t="s">
        <v>30</v>
      </c>
      <c r="M456" t="s">
        <v>22</v>
      </c>
      <c r="N456" t="str">
        <f t="shared" si="28"/>
        <v>Clean</v>
      </c>
      <c r="O456" t="str">
        <f t="shared" si="31"/>
        <v/>
      </c>
      <c r="P456" t="str">
        <f t="shared" si="29"/>
        <v>Clean</v>
      </c>
      <c r="Q456" t="str">
        <f t="shared" si="30"/>
        <v>Valid</v>
      </c>
    </row>
    <row r="457" spans="1:17" x14ac:dyDescent="0.3">
      <c r="A457" t="s">
        <v>1820</v>
      </c>
      <c r="B457" t="s">
        <v>1821</v>
      </c>
      <c r="C457" t="s">
        <v>40</v>
      </c>
      <c r="D457" t="s">
        <v>67</v>
      </c>
      <c r="E457" t="s">
        <v>26</v>
      </c>
      <c r="F457" t="s">
        <v>18</v>
      </c>
      <c r="G457" s="1">
        <v>43513</v>
      </c>
      <c r="H457" s="1">
        <v>43861</v>
      </c>
      <c r="I457" t="s">
        <v>1822</v>
      </c>
      <c r="J457" t="s">
        <v>1823</v>
      </c>
      <c r="K457" t="s">
        <v>29</v>
      </c>
      <c r="M457" t="s">
        <v>3735</v>
      </c>
      <c r="N457" t="str">
        <f t="shared" si="28"/>
        <v>Flagged</v>
      </c>
      <c r="O457" t="str">
        <f t="shared" si="31"/>
        <v>Missing Verified_By</v>
      </c>
      <c r="P457" t="str">
        <f t="shared" si="29"/>
        <v>Flagged for Review</v>
      </c>
      <c r="Q457" t="str">
        <f t="shared" si="30"/>
        <v>Valid</v>
      </c>
    </row>
    <row r="458" spans="1:17" x14ac:dyDescent="0.3">
      <c r="A458" t="s">
        <v>1824</v>
      </c>
      <c r="B458" t="s">
        <v>1825</v>
      </c>
      <c r="C458" t="s">
        <v>87</v>
      </c>
      <c r="D458" t="s">
        <v>67</v>
      </c>
      <c r="E458" t="s">
        <v>26</v>
      </c>
      <c r="F458" t="s">
        <v>18</v>
      </c>
      <c r="G458" s="1">
        <v>45414</v>
      </c>
      <c r="H458" s="1">
        <v>45757</v>
      </c>
      <c r="I458" t="s">
        <v>1826</v>
      </c>
      <c r="J458" t="s">
        <v>210</v>
      </c>
      <c r="K458" t="s">
        <v>29</v>
      </c>
      <c r="L458" t="s">
        <v>55</v>
      </c>
      <c r="M458" t="s">
        <v>22</v>
      </c>
      <c r="N458" t="str">
        <f t="shared" si="28"/>
        <v>Clean</v>
      </c>
      <c r="O458" t="str">
        <f t="shared" si="31"/>
        <v/>
      </c>
      <c r="P458" t="str">
        <f t="shared" si="29"/>
        <v>Clean</v>
      </c>
      <c r="Q458" t="str">
        <f t="shared" si="30"/>
        <v>Valid</v>
      </c>
    </row>
    <row r="459" spans="1:17" x14ac:dyDescent="0.3">
      <c r="A459" t="s">
        <v>1827</v>
      </c>
      <c r="B459" t="s">
        <v>1828</v>
      </c>
      <c r="C459" t="s">
        <v>15</v>
      </c>
      <c r="D459" t="s">
        <v>25</v>
      </c>
      <c r="E459" t="s">
        <v>26</v>
      </c>
      <c r="F459" t="s">
        <v>18</v>
      </c>
      <c r="G459" s="1">
        <v>44562</v>
      </c>
      <c r="H459" s="1">
        <v>44765</v>
      </c>
      <c r="I459" t="s">
        <v>1829</v>
      </c>
      <c r="J459" t="s">
        <v>1830</v>
      </c>
      <c r="K459" t="s">
        <v>37</v>
      </c>
      <c r="L459" t="s">
        <v>55</v>
      </c>
      <c r="M459" t="s">
        <v>22</v>
      </c>
      <c r="N459" t="str">
        <f t="shared" si="28"/>
        <v>Clean</v>
      </c>
      <c r="O459" t="str">
        <f t="shared" si="31"/>
        <v/>
      </c>
      <c r="P459" t="str">
        <f t="shared" si="29"/>
        <v>Clean</v>
      </c>
      <c r="Q459" t="str">
        <f t="shared" si="30"/>
        <v>Valid</v>
      </c>
    </row>
    <row r="460" spans="1:17" x14ac:dyDescent="0.3">
      <c r="A460" t="s">
        <v>1831</v>
      </c>
      <c r="B460" t="s">
        <v>1832</v>
      </c>
      <c r="C460" t="s">
        <v>76</v>
      </c>
      <c r="D460" t="s">
        <v>34</v>
      </c>
      <c r="E460" t="s">
        <v>26</v>
      </c>
      <c r="F460" t="s">
        <v>18</v>
      </c>
      <c r="G460" s="1">
        <v>45595</v>
      </c>
      <c r="H460" s="1">
        <v>45870</v>
      </c>
      <c r="I460" t="s">
        <v>1833</v>
      </c>
      <c r="J460" t="s">
        <v>1834</v>
      </c>
      <c r="K460" t="s">
        <v>21</v>
      </c>
      <c r="L460" t="s">
        <v>60</v>
      </c>
      <c r="M460" t="s">
        <v>22</v>
      </c>
      <c r="N460" t="str">
        <f t="shared" si="28"/>
        <v>Clean</v>
      </c>
      <c r="O460" t="str">
        <f t="shared" si="31"/>
        <v/>
      </c>
      <c r="P460" t="str">
        <f t="shared" si="29"/>
        <v>Clean</v>
      </c>
      <c r="Q460" t="str">
        <f t="shared" si="30"/>
        <v>Valid</v>
      </c>
    </row>
    <row r="461" spans="1:17" x14ac:dyDescent="0.3">
      <c r="A461" t="s">
        <v>1835</v>
      </c>
      <c r="B461" t="s">
        <v>1836</v>
      </c>
      <c r="C461" t="s">
        <v>33</v>
      </c>
      <c r="D461" t="s">
        <v>34</v>
      </c>
      <c r="E461" t="s">
        <v>26</v>
      </c>
      <c r="F461" t="s">
        <v>160</v>
      </c>
      <c r="G461" s="1">
        <v>45253</v>
      </c>
      <c r="H461" s="1">
        <v>45563</v>
      </c>
      <c r="I461" t="s">
        <v>1837</v>
      </c>
      <c r="J461" t="s">
        <v>1838</v>
      </c>
      <c r="K461" t="s">
        <v>21</v>
      </c>
      <c r="L461" t="s">
        <v>91</v>
      </c>
      <c r="M461" t="s">
        <v>22</v>
      </c>
      <c r="N461" t="str">
        <f t="shared" si="28"/>
        <v>Clean</v>
      </c>
      <c r="O461" t="str">
        <f t="shared" si="31"/>
        <v/>
      </c>
      <c r="P461" t="str">
        <f t="shared" si="29"/>
        <v>Clean</v>
      </c>
      <c r="Q461" t="str">
        <f t="shared" si="30"/>
        <v>Valid</v>
      </c>
    </row>
    <row r="462" spans="1:17" x14ac:dyDescent="0.3">
      <c r="A462" t="s">
        <v>1839</v>
      </c>
      <c r="B462" t="s">
        <v>1840</v>
      </c>
      <c r="C462" t="s">
        <v>181</v>
      </c>
      <c r="D462" t="s">
        <v>41</v>
      </c>
      <c r="E462" t="s">
        <v>17</v>
      </c>
      <c r="F462" t="s">
        <v>151</v>
      </c>
      <c r="G462" s="1">
        <v>43610</v>
      </c>
      <c r="H462" s="1">
        <v>43893</v>
      </c>
      <c r="I462" t="s">
        <v>1841</v>
      </c>
      <c r="J462" t="s">
        <v>1842</v>
      </c>
      <c r="K462" t="s">
        <v>29</v>
      </c>
      <c r="L462" t="s">
        <v>55</v>
      </c>
      <c r="M462" t="s">
        <v>22</v>
      </c>
      <c r="N462" t="str">
        <f t="shared" si="28"/>
        <v>Clean</v>
      </c>
      <c r="O462" t="str">
        <f t="shared" si="31"/>
        <v/>
      </c>
      <c r="P462" t="str">
        <f t="shared" si="29"/>
        <v>Clean</v>
      </c>
      <c r="Q462" t="str">
        <f t="shared" si="30"/>
        <v>Valid</v>
      </c>
    </row>
    <row r="463" spans="1:17" x14ac:dyDescent="0.3">
      <c r="A463" t="s">
        <v>1843</v>
      </c>
      <c r="B463" t="s">
        <v>1844</v>
      </c>
      <c r="C463" t="s">
        <v>15</v>
      </c>
      <c r="D463" t="s">
        <v>77</v>
      </c>
      <c r="E463" t="s">
        <v>52</v>
      </c>
      <c r="F463" t="s">
        <v>18</v>
      </c>
      <c r="G463" s="1">
        <v>44034</v>
      </c>
      <c r="H463" s="1">
        <v>44395</v>
      </c>
      <c r="I463" t="s">
        <v>1845</v>
      </c>
      <c r="J463" t="s">
        <v>1846</v>
      </c>
      <c r="K463" t="s">
        <v>90</v>
      </c>
      <c r="L463" t="s">
        <v>60</v>
      </c>
      <c r="M463" t="s">
        <v>22</v>
      </c>
      <c r="N463" t="str">
        <f t="shared" si="28"/>
        <v>Clean</v>
      </c>
      <c r="O463" t="str">
        <f t="shared" si="31"/>
        <v/>
      </c>
      <c r="P463" t="str">
        <f t="shared" si="29"/>
        <v>Clean</v>
      </c>
      <c r="Q463" t="str">
        <f t="shared" si="30"/>
        <v>Valid</v>
      </c>
    </row>
    <row r="464" spans="1:17" x14ac:dyDescent="0.3">
      <c r="A464" t="s">
        <v>1847</v>
      </c>
      <c r="B464" t="s">
        <v>1848</v>
      </c>
      <c r="C464" t="s">
        <v>40</v>
      </c>
      <c r="D464" t="s">
        <v>67</v>
      </c>
      <c r="E464" t="s">
        <v>26</v>
      </c>
      <c r="F464" t="s">
        <v>18</v>
      </c>
      <c r="G464" s="1">
        <v>44210</v>
      </c>
      <c r="H464" s="1">
        <v>44529</v>
      </c>
      <c r="I464" t="s">
        <v>1849</v>
      </c>
      <c r="K464" t="s">
        <v>37</v>
      </c>
      <c r="M464" t="s">
        <v>3735</v>
      </c>
      <c r="N464" t="str">
        <f t="shared" si="28"/>
        <v>Flagged</v>
      </c>
      <c r="O464" t="str">
        <f t="shared" si="31"/>
        <v>Missing Account_Code Missing Verified_By</v>
      </c>
      <c r="P464" t="str">
        <f t="shared" si="29"/>
        <v>Flagged for Review</v>
      </c>
      <c r="Q464" t="str">
        <f t="shared" si="30"/>
        <v>Valid</v>
      </c>
    </row>
    <row r="465" spans="1:17" x14ac:dyDescent="0.3">
      <c r="A465" t="s">
        <v>1850</v>
      </c>
      <c r="B465" t="s">
        <v>1851</v>
      </c>
      <c r="C465" t="s">
        <v>76</v>
      </c>
      <c r="D465" t="s">
        <v>77</v>
      </c>
      <c r="E465" t="s">
        <v>52</v>
      </c>
      <c r="F465" t="s">
        <v>160</v>
      </c>
      <c r="G465" s="1">
        <v>45416</v>
      </c>
      <c r="H465" s="1">
        <v>45525</v>
      </c>
      <c r="I465" t="s">
        <v>1852</v>
      </c>
      <c r="J465" t="s">
        <v>1853</v>
      </c>
      <c r="K465" t="s">
        <v>29</v>
      </c>
      <c r="M465" t="s">
        <v>3735</v>
      </c>
      <c r="N465" t="str">
        <f t="shared" si="28"/>
        <v>Flagged</v>
      </c>
      <c r="O465" t="str">
        <f t="shared" si="31"/>
        <v>Missing Verified_By</v>
      </c>
      <c r="P465" t="str">
        <f t="shared" si="29"/>
        <v>Flagged for Review</v>
      </c>
      <c r="Q465" t="str">
        <f t="shared" si="30"/>
        <v>Valid</v>
      </c>
    </row>
    <row r="466" spans="1:17" x14ac:dyDescent="0.3">
      <c r="A466" t="s">
        <v>1854</v>
      </c>
      <c r="B466" t="s">
        <v>1855</v>
      </c>
      <c r="C466" t="s">
        <v>87</v>
      </c>
      <c r="D466" t="s">
        <v>25</v>
      </c>
      <c r="E466" t="s">
        <v>26</v>
      </c>
      <c r="F466" t="s">
        <v>18</v>
      </c>
      <c r="G466" s="1">
        <v>44062</v>
      </c>
      <c r="H466" s="1">
        <v>44077</v>
      </c>
      <c r="I466" t="s">
        <v>1856</v>
      </c>
      <c r="J466" t="s">
        <v>1857</v>
      </c>
      <c r="K466" t="s">
        <v>21</v>
      </c>
      <c r="L466" t="s">
        <v>116</v>
      </c>
      <c r="M466" t="s">
        <v>22</v>
      </c>
      <c r="N466" t="str">
        <f t="shared" si="28"/>
        <v>Clean</v>
      </c>
      <c r="O466" t="str">
        <f t="shared" si="31"/>
        <v/>
      </c>
      <c r="P466" t="str">
        <f t="shared" si="29"/>
        <v>Clean</v>
      </c>
      <c r="Q466" t="str">
        <f t="shared" si="30"/>
        <v>Valid</v>
      </c>
    </row>
    <row r="467" spans="1:17" x14ac:dyDescent="0.3">
      <c r="A467" t="s">
        <v>1858</v>
      </c>
      <c r="B467" t="s">
        <v>3721</v>
      </c>
      <c r="C467" t="s">
        <v>46</v>
      </c>
      <c r="D467" t="s">
        <v>67</v>
      </c>
      <c r="E467" t="s">
        <v>26</v>
      </c>
      <c r="F467" t="s">
        <v>160</v>
      </c>
      <c r="G467" s="1">
        <v>44867</v>
      </c>
      <c r="H467" s="1">
        <v>44955</v>
      </c>
      <c r="I467" t="s">
        <v>1859</v>
      </c>
      <c r="J467" t="s">
        <v>1860</v>
      </c>
      <c r="K467" t="s">
        <v>90</v>
      </c>
      <c r="L467" t="s">
        <v>55</v>
      </c>
      <c r="M467" t="s">
        <v>3735</v>
      </c>
      <c r="N467" t="str">
        <f t="shared" si="28"/>
        <v>Flagged</v>
      </c>
      <c r="O467" t="str">
        <f t="shared" si="31"/>
        <v>Missing Vendor_Name</v>
      </c>
      <c r="P467" t="str">
        <f t="shared" si="29"/>
        <v>Flagged for Review</v>
      </c>
      <c r="Q467" t="str">
        <f t="shared" si="30"/>
        <v>Valid</v>
      </c>
    </row>
    <row r="468" spans="1:17" x14ac:dyDescent="0.3">
      <c r="A468" t="s">
        <v>1861</v>
      </c>
      <c r="B468" t="s">
        <v>1862</v>
      </c>
      <c r="C468" t="s">
        <v>15</v>
      </c>
      <c r="D468" t="s">
        <v>34</v>
      </c>
      <c r="E468" t="s">
        <v>26</v>
      </c>
      <c r="F468" t="s">
        <v>151</v>
      </c>
      <c r="G468" s="1">
        <v>43772</v>
      </c>
      <c r="H468" s="1">
        <v>44012</v>
      </c>
      <c r="I468" t="s">
        <v>1863</v>
      </c>
      <c r="J468" t="s">
        <v>1864</v>
      </c>
      <c r="K468" t="s">
        <v>21</v>
      </c>
      <c r="M468" t="s">
        <v>3735</v>
      </c>
      <c r="N468" t="str">
        <f t="shared" si="28"/>
        <v>Flagged</v>
      </c>
      <c r="O468" t="str">
        <f t="shared" si="31"/>
        <v>Missing Verified_By</v>
      </c>
      <c r="P468" t="str">
        <f t="shared" si="29"/>
        <v>Flagged for Review</v>
      </c>
      <c r="Q468" t="str">
        <f t="shared" si="30"/>
        <v>Valid</v>
      </c>
    </row>
    <row r="469" spans="1:17" x14ac:dyDescent="0.3">
      <c r="A469" t="s">
        <v>1865</v>
      </c>
      <c r="B469" t="s">
        <v>1866</v>
      </c>
      <c r="C469" t="s">
        <v>76</v>
      </c>
      <c r="D469" t="s">
        <v>77</v>
      </c>
      <c r="E469" t="s">
        <v>52</v>
      </c>
      <c r="F469" t="s">
        <v>160</v>
      </c>
      <c r="G469" s="1">
        <v>43538</v>
      </c>
      <c r="H469" s="1">
        <v>43590</v>
      </c>
      <c r="I469" t="s">
        <v>1867</v>
      </c>
      <c r="J469" t="s">
        <v>1868</v>
      </c>
      <c r="K469" t="s">
        <v>90</v>
      </c>
      <c r="L469" t="s">
        <v>91</v>
      </c>
      <c r="M469" t="s">
        <v>22</v>
      </c>
      <c r="N469" t="str">
        <f t="shared" si="28"/>
        <v>Clean</v>
      </c>
      <c r="O469" t="str">
        <f t="shared" si="31"/>
        <v/>
      </c>
      <c r="P469" t="str">
        <f t="shared" si="29"/>
        <v>Clean</v>
      </c>
      <c r="Q469" t="str">
        <f t="shared" si="30"/>
        <v>Valid</v>
      </c>
    </row>
    <row r="470" spans="1:17" x14ac:dyDescent="0.3">
      <c r="A470" t="s">
        <v>1869</v>
      </c>
      <c r="B470" t="s">
        <v>1870</v>
      </c>
      <c r="C470" t="s">
        <v>15</v>
      </c>
      <c r="D470" t="s">
        <v>67</v>
      </c>
      <c r="E470" t="s">
        <v>26</v>
      </c>
      <c r="F470" t="s">
        <v>18</v>
      </c>
      <c r="G470" s="1">
        <v>43804</v>
      </c>
      <c r="H470" s="1">
        <v>44021</v>
      </c>
      <c r="I470" t="s">
        <v>1871</v>
      </c>
      <c r="J470" t="s">
        <v>1872</v>
      </c>
      <c r="K470" t="s">
        <v>37</v>
      </c>
      <c r="L470" t="s">
        <v>91</v>
      </c>
      <c r="M470" t="s">
        <v>22</v>
      </c>
      <c r="N470" t="str">
        <f t="shared" si="28"/>
        <v>Clean</v>
      </c>
      <c r="O470" t="str">
        <f t="shared" si="31"/>
        <v/>
      </c>
      <c r="P470" t="str">
        <f t="shared" si="29"/>
        <v>Clean</v>
      </c>
      <c r="Q470" t="str">
        <f t="shared" si="30"/>
        <v>Valid</v>
      </c>
    </row>
    <row r="471" spans="1:17" x14ac:dyDescent="0.3">
      <c r="A471" t="s">
        <v>1873</v>
      </c>
      <c r="B471" t="s">
        <v>1874</v>
      </c>
      <c r="C471" t="s">
        <v>40</v>
      </c>
      <c r="D471" t="s">
        <v>41</v>
      </c>
      <c r="E471" t="s">
        <v>17</v>
      </c>
      <c r="F471" t="s">
        <v>151</v>
      </c>
      <c r="G471" s="1">
        <v>43771</v>
      </c>
      <c r="H471" s="1">
        <v>43866</v>
      </c>
      <c r="I471" t="s">
        <v>1875</v>
      </c>
      <c r="J471" t="s">
        <v>1876</v>
      </c>
      <c r="K471" t="s">
        <v>90</v>
      </c>
      <c r="L471" t="s">
        <v>30</v>
      </c>
      <c r="M471" t="s">
        <v>22</v>
      </c>
      <c r="N471" t="str">
        <f t="shared" si="28"/>
        <v>Clean</v>
      </c>
      <c r="O471" t="str">
        <f t="shared" si="31"/>
        <v/>
      </c>
      <c r="P471" t="str">
        <f t="shared" si="29"/>
        <v>Clean</v>
      </c>
      <c r="Q471" t="str">
        <f t="shared" si="30"/>
        <v>Valid</v>
      </c>
    </row>
    <row r="472" spans="1:17" x14ac:dyDescent="0.3">
      <c r="A472" t="s">
        <v>1877</v>
      </c>
      <c r="B472" t="s">
        <v>1878</v>
      </c>
      <c r="C472" t="s">
        <v>15</v>
      </c>
      <c r="D472" t="s">
        <v>51</v>
      </c>
      <c r="E472" t="s">
        <v>52</v>
      </c>
      <c r="F472" t="s">
        <v>18</v>
      </c>
      <c r="G472" s="1">
        <v>44746</v>
      </c>
      <c r="H472" s="1">
        <v>44964</v>
      </c>
      <c r="I472" t="s">
        <v>1879</v>
      </c>
      <c r="J472" t="s">
        <v>1880</v>
      </c>
      <c r="K472" t="s">
        <v>90</v>
      </c>
      <c r="L472" t="s">
        <v>60</v>
      </c>
      <c r="M472" t="s">
        <v>22</v>
      </c>
      <c r="N472" t="str">
        <f t="shared" si="28"/>
        <v>Clean</v>
      </c>
      <c r="O472" t="str">
        <f t="shared" si="31"/>
        <v/>
      </c>
      <c r="P472" t="str">
        <f t="shared" si="29"/>
        <v>Clean</v>
      </c>
      <c r="Q472" t="str">
        <f t="shared" si="30"/>
        <v>Valid</v>
      </c>
    </row>
    <row r="473" spans="1:17" x14ac:dyDescent="0.3">
      <c r="A473" t="s">
        <v>1881</v>
      </c>
      <c r="B473" t="s">
        <v>1882</v>
      </c>
      <c r="C473" t="s">
        <v>46</v>
      </c>
      <c r="D473" t="s">
        <v>41</v>
      </c>
      <c r="E473" t="s">
        <v>17</v>
      </c>
      <c r="F473" t="s">
        <v>18</v>
      </c>
      <c r="G473" s="1">
        <v>45441</v>
      </c>
      <c r="H473" s="1">
        <v>45637</v>
      </c>
      <c r="I473" t="s">
        <v>1883</v>
      </c>
      <c r="J473" t="s">
        <v>1884</v>
      </c>
      <c r="K473" t="s">
        <v>37</v>
      </c>
      <c r="M473" t="s">
        <v>3735</v>
      </c>
      <c r="N473" t="str">
        <f t="shared" si="28"/>
        <v>Flagged</v>
      </c>
      <c r="O473" t="str">
        <f t="shared" si="31"/>
        <v>Missing Verified_By</v>
      </c>
      <c r="P473" t="str">
        <f t="shared" si="29"/>
        <v>Flagged for Review</v>
      </c>
      <c r="Q473" t="str">
        <f t="shared" si="30"/>
        <v>Valid</v>
      </c>
    </row>
    <row r="474" spans="1:17" x14ac:dyDescent="0.3">
      <c r="A474" t="s">
        <v>1885</v>
      </c>
      <c r="B474" t="s">
        <v>849</v>
      </c>
      <c r="C474" t="s">
        <v>181</v>
      </c>
      <c r="D474" t="s">
        <v>41</v>
      </c>
      <c r="E474" t="s">
        <v>17</v>
      </c>
      <c r="F474" t="s">
        <v>160</v>
      </c>
      <c r="G474" s="1">
        <v>45193</v>
      </c>
      <c r="H474" s="1">
        <v>45217</v>
      </c>
      <c r="I474" t="s">
        <v>850</v>
      </c>
      <c r="J474" t="s">
        <v>1886</v>
      </c>
      <c r="K474" t="s">
        <v>37</v>
      </c>
      <c r="L474" t="s">
        <v>55</v>
      </c>
      <c r="M474" t="s">
        <v>22</v>
      </c>
      <c r="N474" t="str">
        <f t="shared" si="28"/>
        <v>Clean</v>
      </c>
      <c r="O474" t="str">
        <f t="shared" si="31"/>
        <v/>
      </c>
      <c r="P474" t="str">
        <f t="shared" si="29"/>
        <v>Clean</v>
      </c>
      <c r="Q474" t="str">
        <f t="shared" si="30"/>
        <v>Valid</v>
      </c>
    </row>
    <row r="475" spans="1:17" x14ac:dyDescent="0.3">
      <c r="A475" t="s">
        <v>1887</v>
      </c>
      <c r="B475" t="s">
        <v>1888</v>
      </c>
      <c r="C475" t="s">
        <v>40</v>
      </c>
      <c r="D475" t="s">
        <v>51</v>
      </c>
      <c r="E475" t="s">
        <v>52</v>
      </c>
      <c r="F475" t="s">
        <v>160</v>
      </c>
      <c r="G475" s="1">
        <v>44764</v>
      </c>
      <c r="H475" s="1">
        <v>44903</v>
      </c>
      <c r="I475" t="s">
        <v>1889</v>
      </c>
      <c r="J475" t="s">
        <v>1890</v>
      </c>
      <c r="K475" t="s">
        <v>37</v>
      </c>
      <c r="L475" t="s">
        <v>30</v>
      </c>
      <c r="M475" t="s">
        <v>22</v>
      </c>
      <c r="N475" t="str">
        <f t="shared" si="28"/>
        <v>Clean</v>
      </c>
      <c r="O475" t="str">
        <f t="shared" si="31"/>
        <v/>
      </c>
      <c r="P475" t="str">
        <f t="shared" si="29"/>
        <v>Clean</v>
      </c>
      <c r="Q475" t="str">
        <f t="shared" si="30"/>
        <v>Valid</v>
      </c>
    </row>
    <row r="476" spans="1:17" x14ac:dyDescent="0.3">
      <c r="A476" t="s">
        <v>1891</v>
      </c>
      <c r="B476" t="s">
        <v>1892</v>
      </c>
      <c r="C476" t="s">
        <v>33</v>
      </c>
      <c r="D476" t="s">
        <v>77</v>
      </c>
      <c r="E476" t="s">
        <v>52</v>
      </c>
      <c r="F476" t="s">
        <v>160</v>
      </c>
      <c r="G476" s="1">
        <v>45267</v>
      </c>
      <c r="H476" s="1">
        <v>45464</v>
      </c>
      <c r="J476" t="s">
        <v>1893</v>
      </c>
      <c r="K476" t="s">
        <v>21</v>
      </c>
      <c r="M476" t="s">
        <v>3735</v>
      </c>
      <c r="N476" t="str">
        <f t="shared" si="28"/>
        <v>Flagged</v>
      </c>
      <c r="O476" t="str">
        <f t="shared" si="31"/>
        <v>Missing Contact_Email Missing Verified_By</v>
      </c>
      <c r="P476" t="str">
        <f t="shared" si="29"/>
        <v>Flagged for Review</v>
      </c>
      <c r="Q476" t="str">
        <f t="shared" si="30"/>
        <v>Blank</v>
      </c>
    </row>
    <row r="477" spans="1:17" x14ac:dyDescent="0.3">
      <c r="A477" t="s">
        <v>1894</v>
      </c>
      <c r="B477" t="s">
        <v>1895</v>
      </c>
      <c r="C477" t="s">
        <v>40</v>
      </c>
      <c r="D477" t="s">
        <v>77</v>
      </c>
      <c r="E477" t="s">
        <v>52</v>
      </c>
      <c r="F477" t="s">
        <v>18</v>
      </c>
      <c r="G477" s="1">
        <v>43610</v>
      </c>
      <c r="H477" s="1">
        <v>43908</v>
      </c>
      <c r="I477" t="s">
        <v>1896</v>
      </c>
      <c r="J477" t="s">
        <v>1897</v>
      </c>
      <c r="K477" t="s">
        <v>29</v>
      </c>
      <c r="M477" t="s">
        <v>3735</v>
      </c>
      <c r="N477" t="str">
        <f t="shared" si="28"/>
        <v>Flagged</v>
      </c>
      <c r="O477" t="str">
        <f t="shared" si="31"/>
        <v>Missing Verified_By</v>
      </c>
      <c r="P477" t="str">
        <f t="shared" si="29"/>
        <v>Flagged for Review</v>
      </c>
      <c r="Q477" t="str">
        <f t="shared" si="30"/>
        <v>Valid</v>
      </c>
    </row>
    <row r="478" spans="1:17" x14ac:dyDescent="0.3">
      <c r="A478" t="s">
        <v>1898</v>
      </c>
      <c r="B478" t="s">
        <v>1899</v>
      </c>
      <c r="C478" t="s">
        <v>46</v>
      </c>
      <c r="D478" t="s">
        <v>34</v>
      </c>
      <c r="E478" t="s">
        <v>26</v>
      </c>
      <c r="F478" t="s">
        <v>18</v>
      </c>
      <c r="G478" s="1">
        <v>45284</v>
      </c>
      <c r="H478" s="1">
        <v>45399</v>
      </c>
      <c r="I478" t="s">
        <v>1900</v>
      </c>
      <c r="K478" t="s">
        <v>29</v>
      </c>
      <c r="L478" t="s">
        <v>30</v>
      </c>
      <c r="M478" t="s">
        <v>3735</v>
      </c>
      <c r="N478" t="str">
        <f t="shared" si="28"/>
        <v>Flagged</v>
      </c>
      <c r="O478" t="str">
        <f t="shared" si="31"/>
        <v>Missing Account_Code</v>
      </c>
      <c r="P478" t="str">
        <f t="shared" si="29"/>
        <v>Flagged for Review</v>
      </c>
      <c r="Q478" t="str">
        <f t="shared" si="30"/>
        <v>Valid</v>
      </c>
    </row>
    <row r="479" spans="1:17" x14ac:dyDescent="0.3">
      <c r="A479" t="s">
        <v>1901</v>
      </c>
      <c r="B479" t="s">
        <v>1902</v>
      </c>
      <c r="C479" t="s">
        <v>40</v>
      </c>
      <c r="D479" t="s">
        <v>77</v>
      </c>
      <c r="E479" t="s">
        <v>52</v>
      </c>
      <c r="F479" t="s">
        <v>18</v>
      </c>
      <c r="G479" s="1">
        <v>43617</v>
      </c>
      <c r="H479" s="1">
        <v>43720</v>
      </c>
      <c r="I479" t="s">
        <v>1903</v>
      </c>
      <c r="K479" t="s">
        <v>37</v>
      </c>
      <c r="L479" t="s">
        <v>60</v>
      </c>
      <c r="M479" t="s">
        <v>3735</v>
      </c>
      <c r="N479" t="str">
        <f t="shared" si="28"/>
        <v>Flagged</v>
      </c>
      <c r="O479" t="str">
        <f t="shared" si="31"/>
        <v>Missing Account_Code</v>
      </c>
      <c r="P479" t="str">
        <f t="shared" si="29"/>
        <v>Flagged for Review</v>
      </c>
      <c r="Q479" t="str">
        <f t="shared" si="30"/>
        <v>Valid</v>
      </c>
    </row>
    <row r="480" spans="1:17" x14ac:dyDescent="0.3">
      <c r="A480" t="s">
        <v>1904</v>
      </c>
      <c r="B480" t="s">
        <v>1905</v>
      </c>
      <c r="C480" t="s">
        <v>46</v>
      </c>
      <c r="D480" t="s">
        <v>34</v>
      </c>
      <c r="E480" t="s">
        <v>26</v>
      </c>
      <c r="F480" t="s">
        <v>18</v>
      </c>
      <c r="G480" s="1">
        <v>45041</v>
      </c>
      <c r="H480" s="1">
        <v>45378</v>
      </c>
      <c r="I480" t="s">
        <v>1906</v>
      </c>
      <c r="J480" t="s">
        <v>1795</v>
      </c>
      <c r="K480" t="s">
        <v>21</v>
      </c>
      <c r="M480" t="s">
        <v>3735</v>
      </c>
      <c r="N480" t="str">
        <f t="shared" si="28"/>
        <v>Flagged</v>
      </c>
      <c r="O480" t="str">
        <f t="shared" si="31"/>
        <v>Missing Verified_By</v>
      </c>
      <c r="P480" t="str">
        <f t="shared" si="29"/>
        <v>Flagged for Review</v>
      </c>
      <c r="Q480" t="str">
        <f t="shared" si="30"/>
        <v>Valid</v>
      </c>
    </row>
    <row r="481" spans="1:17" x14ac:dyDescent="0.3">
      <c r="A481" t="s">
        <v>1907</v>
      </c>
      <c r="B481" t="s">
        <v>1908</v>
      </c>
      <c r="C481" t="s">
        <v>181</v>
      </c>
      <c r="D481" t="s">
        <v>67</v>
      </c>
      <c r="E481" t="s">
        <v>26</v>
      </c>
      <c r="F481" t="s">
        <v>18</v>
      </c>
      <c r="G481" s="1">
        <v>43568</v>
      </c>
      <c r="H481" s="1">
        <v>43775</v>
      </c>
      <c r="I481" t="s">
        <v>1909</v>
      </c>
      <c r="J481" t="s">
        <v>1910</v>
      </c>
      <c r="K481" t="s">
        <v>21</v>
      </c>
      <c r="L481" t="s">
        <v>116</v>
      </c>
      <c r="M481" t="s">
        <v>22</v>
      </c>
      <c r="N481" t="str">
        <f t="shared" si="28"/>
        <v>Clean</v>
      </c>
      <c r="O481" t="str">
        <f t="shared" si="31"/>
        <v/>
      </c>
      <c r="P481" t="str">
        <f t="shared" si="29"/>
        <v>Clean</v>
      </c>
      <c r="Q481" t="str">
        <f t="shared" si="30"/>
        <v>Valid</v>
      </c>
    </row>
    <row r="482" spans="1:17" x14ac:dyDescent="0.3">
      <c r="A482" t="s">
        <v>1911</v>
      </c>
      <c r="B482" t="s">
        <v>2807</v>
      </c>
      <c r="C482" t="s">
        <v>15</v>
      </c>
      <c r="D482" t="s">
        <v>77</v>
      </c>
      <c r="E482" t="s">
        <v>52</v>
      </c>
      <c r="F482" t="s">
        <v>160</v>
      </c>
      <c r="G482" s="1">
        <v>45581</v>
      </c>
      <c r="H482" s="1">
        <v>45772</v>
      </c>
      <c r="I482" t="s">
        <v>1913</v>
      </c>
      <c r="J482" t="s">
        <v>1914</v>
      </c>
      <c r="K482" t="s">
        <v>37</v>
      </c>
      <c r="L482" t="s">
        <v>60</v>
      </c>
      <c r="M482" t="s">
        <v>22</v>
      </c>
      <c r="N482" t="str">
        <f t="shared" si="28"/>
        <v>Clean</v>
      </c>
      <c r="O482" t="str">
        <f t="shared" si="31"/>
        <v/>
      </c>
      <c r="P482" t="str">
        <f t="shared" si="29"/>
        <v>Clean</v>
      </c>
      <c r="Q482" t="str">
        <f t="shared" si="30"/>
        <v>Valid</v>
      </c>
    </row>
    <row r="483" spans="1:17" x14ac:dyDescent="0.3">
      <c r="A483" t="s">
        <v>1915</v>
      </c>
      <c r="B483" t="s">
        <v>1916</v>
      </c>
      <c r="C483" t="s">
        <v>15</v>
      </c>
      <c r="D483" t="s">
        <v>41</v>
      </c>
      <c r="E483" t="s">
        <v>17</v>
      </c>
      <c r="F483" t="s">
        <v>18</v>
      </c>
      <c r="G483" s="1">
        <v>44308</v>
      </c>
      <c r="H483" s="1">
        <v>44466</v>
      </c>
      <c r="I483" t="s">
        <v>1917</v>
      </c>
      <c r="J483" t="s">
        <v>1918</v>
      </c>
      <c r="K483" t="s">
        <v>37</v>
      </c>
      <c r="L483" t="s">
        <v>91</v>
      </c>
      <c r="M483" t="s">
        <v>22</v>
      </c>
      <c r="N483" t="str">
        <f t="shared" si="28"/>
        <v>Clean</v>
      </c>
      <c r="O483" t="str">
        <f t="shared" si="31"/>
        <v/>
      </c>
      <c r="P483" t="str">
        <f t="shared" si="29"/>
        <v>Clean</v>
      </c>
      <c r="Q483" t="str">
        <f t="shared" si="30"/>
        <v>Valid</v>
      </c>
    </row>
    <row r="484" spans="1:17" x14ac:dyDescent="0.3">
      <c r="A484" t="s">
        <v>1919</v>
      </c>
      <c r="B484" t="s">
        <v>1920</v>
      </c>
      <c r="C484" t="s">
        <v>181</v>
      </c>
      <c r="D484" t="s">
        <v>67</v>
      </c>
      <c r="E484" t="s">
        <v>26</v>
      </c>
      <c r="F484" t="s">
        <v>18</v>
      </c>
      <c r="G484" s="1">
        <v>44252</v>
      </c>
      <c r="H484" s="1">
        <v>44569</v>
      </c>
      <c r="I484" t="s">
        <v>1921</v>
      </c>
      <c r="J484" t="s">
        <v>1922</v>
      </c>
      <c r="K484" t="s">
        <v>29</v>
      </c>
      <c r="L484" t="s">
        <v>116</v>
      </c>
      <c r="M484" t="s">
        <v>22</v>
      </c>
      <c r="N484" t="str">
        <f t="shared" si="28"/>
        <v>Clean</v>
      </c>
      <c r="O484" t="str">
        <f t="shared" si="31"/>
        <v/>
      </c>
      <c r="P484" t="str">
        <f t="shared" si="29"/>
        <v>Clean</v>
      </c>
      <c r="Q484" t="str">
        <f t="shared" si="30"/>
        <v>Valid</v>
      </c>
    </row>
    <row r="485" spans="1:17" x14ac:dyDescent="0.3">
      <c r="A485" t="s">
        <v>1923</v>
      </c>
      <c r="B485" t="s">
        <v>1924</v>
      </c>
      <c r="C485" t="s">
        <v>87</v>
      </c>
      <c r="D485" t="s">
        <v>34</v>
      </c>
      <c r="E485" t="s">
        <v>26</v>
      </c>
      <c r="F485" t="s">
        <v>18</v>
      </c>
      <c r="G485" s="1">
        <v>45247</v>
      </c>
      <c r="H485" s="1">
        <v>45515</v>
      </c>
      <c r="I485" t="s">
        <v>1925</v>
      </c>
      <c r="J485" t="s">
        <v>1926</v>
      </c>
      <c r="K485" t="s">
        <v>29</v>
      </c>
      <c r="L485" t="s">
        <v>30</v>
      </c>
      <c r="M485" t="s">
        <v>22</v>
      </c>
      <c r="N485" t="str">
        <f t="shared" si="28"/>
        <v>Clean</v>
      </c>
      <c r="O485" t="str">
        <f t="shared" si="31"/>
        <v/>
      </c>
      <c r="P485" t="str">
        <f t="shared" si="29"/>
        <v>Clean</v>
      </c>
      <c r="Q485" t="str">
        <f t="shared" si="30"/>
        <v>Valid</v>
      </c>
    </row>
    <row r="486" spans="1:17" x14ac:dyDescent="0.3">
      <c r="A486" t="s">
        <v>1927</v>
      </c>
      <c r="B486" t="s">
        <v>1928</v>
      </c>
      <c r="C486" t="s">
        <v>181</v>
      </c>
      <c r="D486" t="s">
        <v>77</v>
      </c>
      <c r="E486" t="s">
        <v>52</v>
      </c>
      <c r="F486" t="s">
        <v>18</v>
      </c>
      <c r="G486" s="1">
        <v>43711</v>
      </c>
      <c r="H486" s="1">
        <v>43783</v>
      </c>
      <c r="I486" t="s">
        <v>1929</v>
      </c>
      <c r="J486" t="s">
        <v>1930</v>
      </c>
      <c r="K486" t="s">
        <v>90</v>
      </c>
      <c r="L486" t="s">
        <v>55</v>
      </c>
      <c r="M486" t="s">
        <v>22</v>
      </c>
      <c r="N486" t="str">
        <f t="shared" si="28"/>
        <v>Clean</v>
      </c>
      <c r="O486" t="str">
        <f t="shared" si="31"/>
        <v/>
      </c>
      <c r="P486" t="str">
        <f t="shared" si="29"/>
        <v>Clean</v>
      </c>
      <c r="Q486" t="str">
        <f t="shared" si="30"/>
        <v>Valid</v>
      </c>
    </row>
    <row r="487" spans="1:17" x14ac:dyDescent="0.3">
      <c r="A487" t="s">
        <v>1931</v>
      </c>
      <c r="B487" t="s">
        <v>1932</v>
      </c>
      <c r="C487" t="s">
        <v>87</v>
      </c>
      <c r="D487" t="s">
        <v>77</v>
      </c>
      <c r="E487" t="s">
        <v>52</v>
      </c>
      <c r="F487" t="s">
        <v>18</v>
      </c>
      <c r="G487" s="1">
        <v>45275</v>
      </c>
      <c r="H487" s="1">
        <v>45315</v>
      </c>
      <c r="I487" t="s">
        <v>1933</v>
      </c>
      <c r="J487" t="s">
        <v>1934</v>
      </c>
      <c r="K487" t="s">
        <v>37</v>
      </c>
      <c r="L487" t="s">
        <v>91</v>
      </c>
      <c r="M487" t="s">
        <v>22</v>
      </c>
      <c r="N487" t="str">
        <f t="shared" si="28"/>
        <v>Clean</v>
      </c>
      <c r="O487" t="str">
        <f t="shared" si="31"/>
        <v/>
      </c>
      <c r="P487" t="str">
        <f t="shared" si="29"/>
        <v>Clean</v>
      </c>
      <c r="Q487" t="str">
        <f t="shared" si="30"/>
        <v>Valid</v>
      </c>
    </row>
    <row r="488" spans="1:17" x14ac:dyDescent="0.3">
      <c r="A488" t="s">
        <v>1935</v>
      </c>
      <c r="B488" t="s">
        <v>1936</v>
      </c>
      <c r="C488" t="s">
        <v>15</v>
      </c>
      <c r="D488" t="s">
        <v>25</v>
      </c>
      <c r="E488" t="s">
        <v>26</v>
      </c>
      <c r="F488" t="s">
        <v>151</v>
      </c>
      <c r="G488" s="1">
        <v>45647</v>
      </c>
      <c r="H488" s="1">
        <v>45711</v>
      </c>
      <c r="J488" t="s">
        <v>1937</v>
      </c>
      <c r="K488" t="s">
        <v>37</v>
      </c>
      <c r="L488" t="s">
        <v>116</v>
      </c>
      <c r="M488" t="s">
        <v>3735</v>
      </c>
      <c r="N488" t="str">
        <f t="shared" si="28"/>
        <v>Flagged</v>
      </c>
      <c r="O488" t="str">
        <f t="shared" si="31"/>
        <v>Missing Contact_Email</v>
      </c>
      <c r="P488" t="str">
        <f t="shared" si="29"/>
        <v>Flagged for Review</v>
      </c>
      <c r="Q488" t="str">
        <f t="shared" si="30"/>
        <v>Blank</v>
      </c>
    </row>
    <row r="489" spans="1:17" x14ac:dyDescent="0.3">
      <c r="A489" t="s">
        <v>1938</v>
      </c>
      <c r="B489" t="s">
        <v>1939</v>
      </c>
      <c r="C489" t="s">
        <v>15</v>
      </c>
      <c r="D489" t="s">
        <v>51</v>
      </c>
      <c r="E489" t="s">
        <v>52</v>
      </c>
      <c r="F489" t="s">
        <v>18</v>
      </c>
      <c r="G489" s="1">
        <v>45022</v>
      </c>
      <c r="H489" s="1">
        <v>45071</v>
      </c>
      <c r="I489" t="s">
        <v>1940</v>
      </c>
      <c r="J489" t="s">
        <v>1941</v>
      </c>
      <c r="K489" t="s">
        <v>29</v>
      </c>
      <c r="L489" t="s">
        <v>60</v>
      </c>
      <c r="M489" t="s">
        <v>22</v>
      </c>
      <c r="N489" t="str">
        <f t="shared" si="28"/>
        <v>Clean</v>
      </c>
      <c r="O489" t="str">
        <f t="shared" si="31"/>
        <v/>
      </c>
      <c r="P489" t="str">
        <f t="shared" si="29"/>
        <v>Clean</v>
      </c>
      <c r="Q489" t="str">
        <f t="shared" si="30"/>
        <v>Valid</v>
      </c>
    </row>
    <row r="490" spans="1:17" x14ac:dyDescent="0.3">
      <c r="A490" t="s">
        <v>1942</v>
      </c>
      <c r="B490" t="s">
        <v>1943</v>
      </c>
      <c r="C490" t="s">
        <v>76</v>
      </c>
      <c r="D490" t="s">
        <v>67</v>
      </c>
      <c r="E490" t="s">
        <v>26</v>
      </c>
      <c r="F490" t="s">
        <v>18</v>
      </c>
      <c r="G490" s="1">
        <v>44987</v>
      </c>
      <c r="H490" s="1">
        <v>45143</v>
      </c>
      <c r="I490" t="s">
        <v>1944</v>
      </c>
      <c r="J490" t="s">
        <v>1945</v>
      </c>
      <c r="K490" t="s">
        <v>29</v>
      </c>
      <c r="L490" t="s">
        <v>30</v>
      </c>
      <c r="M490" t="s">
        <v>22</v>
      </c>
      <c r="N490" t="str">
        <f t="shared" si="28"/>
        <v>Clean</v>
      </c>
      <c r="O490" t="str">
        <f t="shared" si="31"/>
        <v/>
      </c>
      <c r="P490" t="str">
        <f t="shared" si="29"/>
        <v>Clean</v>
      </c>
      <c r="Q490" t="str">
        <f t="shared" si="30"/>
        <v>Valid</v>
      </c>
    </row>
    <row r="491" spans="1:17" x14ac:dyDescent="0.3">
      <c r="A491" t="s">
        <v>1946</v>
      </c>
      <c r="B491" t="s">
        <v>1947</v>
      </c>
      <c r="C491" t="s">
        <v>33</v>
      </c>
      <c r="D491" t="s">
        <v>16</v>
      </c>
      <c r="E491" t="s">
        <v>17</v>
      </c>
      <c r="F491" t="s">
        <v>18</v>
      </c>
      <c r="G491" s="1">
        <v>45120</v>
      </c>
      <c r="H491" s="1">
        <v>45327</v>
      </c>
      <c r="I491" t="s">
        <v>1948</v>
      </c>
      <c r="J491" t="s">
        <v>1949</v>
      </c>
      <c r="K491" t="s">
        <v>21</v>
      </c>
      <c r="M491" t="s">
        <v>3735</v>
      </c>
      <c r="N491" t="str">
        <f t="shared" si="28"/>
        <v>Flagged</v>
      </c>
      <c r="O491" t="str">
        <f t="shared" si="31"/>
        <v>Missing Verified_By</v>
      </c>
      <c r="P491" t="str">
        <f t="shared" si="29"/>
        <v>Flagged for Review</v>
      </c>
      <c r="Q491" t="str">
        <f t="shared" si="30"/>
        <v>Valid</v>
      </c>
    </row>
    <row r="492" spans="1:17" x14ac:dyDescent="0.3">
      <c r="A492" t="s">
        <v>1950</v>
      </c>
      <c r="B492" t="s">
        <v>1951</v>
      </c>
      <c r="C492" t="s">
        <v>76</v>
      </c>
      <c r="D492" t="s">
        <v>25</v>
      </c>
      <c r="E492" t="s">
        <v>26</v>
      </c>
      <c r="F492" t="s">
        <v>18</v>
      </c>
      <c r="G492" s="1">
        <v>44591</v>
      </c>
      <c r="H492" s="1">
        <v>44865</v>
      </c>
      <c r="I492" t="s">
        <v>1952</v>
      </c>
      <c r="J492" t="s">
        <v>1953</v>
      </c>
      <c r="K492" t="s">
        <v>21</v>
      </c>
      <c r="L492" t="s">
        <v>55</v>
      </c>
      <c r="M492" t="s">
        <v>22</v>
      </c>
      <c r="N492" t="str">
        <f t="shared" si="28"/>
        <v>Clean</v>
      </c>
      <c r="O492" t="str">
        <f t="shared" si="31"/>
        <v/>
      </c>
      <c r="P492" t="str">
        <f t="shared" si="29"/>
        <v>Clean</v>
      </c>
      <c r="Q492" t="str">
        <f t="shared" si="30"/>
        <v>Valid</v>
      </c>
    </row>
    <row r="493" spans="1:17" x14ac:dyDescent="0.3">
      <c r="A493" t="s">
        <v>1954</v>
      </c>
      <c r="B493" t="s">
        <v>1955</v>
      </c>
      <c r="C493" t="s">
        <v>181</v>
      </c>
      <c r="D493" t="s">
        <v>25</v>
      </c>
      <c r="E493" t="s">
        <v>26</v>
      </c>
      <c r="F493" t="s">
        <v>151</v>
      </c>
      <c r="G493" s="1">
        <v>43556</v>
      </c>
      <c r="H493" s="1">
        <v>43651</v>
      </c>
      <c r="I493" t="s">
        <v>1956</v>
      </c>
      <c r="J493" t="s">
        <v>1957</v>
      </c>
      <c r="K493" t="s">
        <v>29</v>
      </c>
      <c r="L493" t="s">
        <v>55</v>
      </c>
      <c r="M493" t="s">
        <v>22</v>
      </c>
      <c r="N493" t="str">
        <f t="shared" si="28"/>
        <v>Clean</v>
      </c>
      <c r="O493" t="str">
        <f t="shared" si="31"/>
        <v/>
      </c>
      <c r="P493" t="str">
        <f t="shared" si="29"/>
        <v>Clean</v>
      </c>
      <c r="Q493" t="str">
        <f t="shared" si="30"/>
        <v>Valid</v>
      </c>
    </row>
    <row r="494" spans="1:17" x14ac:dyDescent="0.3">
      <c r="A494" t="s">
        <v>1958</v>
      </c>
      <c r="B494" t="s">
        <v>1959</v>
      </c>
      <c r="C494" t="s">
        <v>15</v>
      </c>
      <c r="D494" t="s">
        <v>25</v>
      </c>
      <c r="E494" t="s">
        <v>26</v>
      </c>
      <c r="F494" t="s">
        <v>18</v>
      </c>
      <c r="G494" s="1">
        <v>45449</v>
      </c>
      <c r="H494" s="1">
        <v>45669</v>
      </c>
      <c r="I494" t="s">
        <v>1960</v>
      </c>
      <c r="J494" t="s">
        <v>1961</v>
      </c>
      <c r="K494" t="s">
        <v>90</v>
      </c>
      <c r="L494" t="s">
        <v>60</v>
      </c>
      <c r="M494" t="s">
        <v>22</v>
      </c>
      <c r="N494" t="str">
        <f t="shared" si="28"/>
        <v>Clean</v>
      </c>
      <c r="O494" t="str">
        <f t="shared" si="31"/>
        <v/>
      </c>
      <c r="P494" t="str">
        <f t="shared" si="29"/>
        <v>Clean</v>
      </c>
      <c r="Q494" t="str">
        <f t="shared" si="30"/>
        <v>Valid</v>
      </c>
    </row>
    <row r="495" spans="1:17" x14ac:dyDescent="0.3">
      <c r="A495" t="s">
        <v>1962</v>
      </c>
      <c r="B495" t="s">
        <v>1963</v>
      </c>
      <c r="C495" t="s">
        <v>181</v>
      </c>
      <c r="D495" t="s">
        <v>34</v>
      </c>
      <c r="E495" t="s">
        <v>26</v>
      </c>
      <c r="F495" t="s">
        <v>18</v>
      </c>
      <c r="G495" s="1">
        <v>44285</v>
      </c>
      <c r="H495" s="1">
        <v>44477</v>
      </c>
      <c r="I495" t="s">
        <v>1964</v>
      </c>
      <c r="J495" t="s">
        <v>1965</v>
      </c>
      <c r="K495" t="s">
        <v>21</v>
      </c>
      <c r="L495" t="s">
        <v>91</v>
      </c>
      <c r="M495" t="s">
        <v>22</v>
      </c>
      <c r="N495" t="str">
        <f t="shared" si="28"/>
        <v>Clean</v>
      </c>
      <c r="O495" t="str">
        <f t="shared" si="31"/>
        <v/>
      </c>
      <c r="P495" t="str">
        <f t="shared" si="29"/>
        <v>Clean</v>
      </c>
      <c r="Q495" t="str">
        <f t="shared" si="30"/>
        <v>Valid</v>
      </c>
    </row>
    <row r="496" spans="1:17" x14ac:dyDescent="0.3">
      <c r="A496" t="s">
        <v>1966</v>
      </c>
      <c r="B496" t="s">
        <v>1967</v>
      </c>
      <c r="C496" t="s">
        <v>15</v>
      </c>
      <c r="D496" t="s">
        <v>25</v>
      </c>
      <c r="E496" t="s">
        <v>26</v>
      </c>
      <c r="F496" t="s">
        <v>18</v>
      </c>
      <c r="G496" s="1">
        <v>43787</v>
      </c>
      <c r="H496" s="1">
        <v>44133</v>
      </c>
      <c r="I496" t="s">
        <v>1968</v>
      </c>
      <c r="J496" t="s">
        <v>1969</v>
      </c>
      <c r="K496" t="s">
        <v>90</v>
      </c>
      <c r="L496" t="s">
        <v>30</v>
      </c>
      <c r="M496" t="s">
        <v>22</v>
      </c>
      <c r="N496" t="str">
        <f t="shared" si="28"/>
        <v>Clean</v>
      </c>
      <c r="O496" t="str">
        <f t="shared" si="31"/>
        <v/>
      </c>
      <c r="P496" t="str">
        <f t="shared" si="29"/>
        <v>Clean</v>
      </c>
      <c r="Q496" t="str">
        <f t="shared" si="30"/>
        <v>Valid</v>
      </c>
    </row>
    <row r="497" spans="1:17" x14ac:dyDescent="0.3">
      <c r="A497" t="s">
        <v>1970</v>
      </c>
      <c r="B497" t="s">
        <v>3724</v>
      </c>
      <c r="C497" t="s">
        <v>33</v>
      </c>
      <c r="D497" t="s">
        <v>51</v>
      </c>
      <c r="E497" t="s">
        <v>52</v>
      </c>
      <c r="F497" t="s">
        <v>18</v>
      </c>
      <c r="G497" s="1">
        <v>44689</v>
      </c>
      <c r="H497" s="1">
        <v>44785</v>
      </c>
      <c r="I497" t="s">
        <v>1972</v>
      </c>
      <c r="J497" t="s">
        <v>1973</v>
      </c>
      <c r="K497" t="s">
        <v>37</v>
      </c>
      <c r="L497" t="s">
        <v>60</v>
      </c>
      <c r="M497" t="s">
        <v>22</v>
      </c>
      <c r="N497" t="str">
        <f t="shared" si="28"/>
        <v>Clean</v>
      </c>
      <c r="O497" t="str">
        <f t="shared" si="31"/>
        <v/>
      </c>
      <c r="P497" t="str">
        <f t="shared" si="29"/>
        <v>Clean</v>
      </c>
      <c r="Q497" t="str">
        <f t="shared" si="30"/>
        <v>Valid</v>
      </c>
    </row>
    <row r="498" spans="1:17" x14ac:dyDescent="0.3">
      <c r="A498" t="s">
        <v>1974</v>
      </c>
      <c r="B498" t="s">
        <v>1975</v>
      </c>
      <c r="C498" t="s">
        <v>40</v>
      </c>
      <c r="D498" t="s">
        <v>51</v>
      </c>
      <c r="E498" t="s">
        <v>52</v>
      </c>
      <c r="F498" t="s">
        <v>18</v>
      </c>
      <c r="G498" s="1">
        <v>43927</v>
      </c>
      <c r="H498" s="1">
        <v>44096</v>
      </c>
      <c r="I498" t="s">
        <v>1976</v>
      </c>
      <c r="J498" t="s">
        <v>1977</v>
      </c>
      <c r="K498" t="s">
        <v>29</v>
      </c>
      <c r="M498" t="s">
        <v>3735</v>
      </c>
      <c r="N498" t="str">
        <f t="shared" si="28"/>
        <v>Flagged</v>
      </c>
      <c r="O498" t="str">
        <f t="shared" si="31"/>
        <v>Missing Verified_By</v>
      </c>
      <c r="P498" t="str">
        <f t="shared" si="29"/>
        <v>Flagged for Review</v>
      </c>
      <c r="Q498" t="str">
        <f t="shared" si="30"/>
        <v>Valid</v>
      </c>
    </row>
    <row r="499" spans="1:17" x14ac:dyDescent="0.3">
      <c r="A499" t="s">
        <v>1978</v>
      </c>
      <c r="B499" t="s">
        <v>1979</v>
      </c>
      <c r="C499" t="s">
        <v>76</v>
      </c>
      <c r="D499" t="s">
        <v>25</v>
      </c>
      <c r="E499" t="s">
        <v>26</v>
      </c>
      <c r="F499" t="s">
        <v>18</v>
      </c>
      <c r="G499" s="1">
        <v>44676</v>
      </c>
      <c r="H499" s="1">
        <v>44832</v>
      </c>
      <c r="I499" t="s">
        <v>1980</v>
      </c>
      <c r="J499" t="s">
        <v>1981</v>
      </c>
      <c r="K499" t="s">
        <v>37</v>
      </c>
      <c r="M499" t="s">
        <v>3735</v>
      </c>
      <c r="N499" t="str">
        <f t="shared" si="28"/>
        <v>Flagged</v>
      </c>
      <c r="O499" t="str">
        <f t="shared" si="31"/>
        <v>Missing Verified_By</v>
      </c>
      <c r="P499" t="str">
        <f t="shared" si="29"/>
        <v>Flagged for Review</v>
      </c>
      <c r="Q499" t="str">
        <f t="shared" si="30"/>
        <v>Valid</v>
      </c>
    </row>
    <row r="500" spans="1:17" x14ac:dyDescent="0.3">
      <c r="A500" t="s">
        <v>1982</v>
      </c>
      <c r="B500" t="s">
        <v>1983</v>
      </c>
      <c r="C500" t="s">
        <v>15</v>
      </c>
      <c r="D500" t="s">
        <v>77</v>
      </c>
      <c r="E500" t="s">
        <v>52</v>
      </c>
      <c r="F500" t="s">
        <v>18</v>
      </c>
      <c r="G500" s="1">
        <v>44749</v>
      </c>
      <c r="H500" s="1">
        <v>45054</v>
      </c>
      <c r="I500" t="s">
        <v>1984</v>
      </c>
      <c r="J500" t="s">
        <v>1985</v>
      </c>
      <c r="K500" t="s">
        <v>90</v>
      </c>
      <c r="L500" t="s">
        <v>116</v>
      </c>
      <c r="M500" t="s">
        <v>22</v>
      </c>
      <c r="N500" t="str">
        <f t="shared" si="28"/>
        <v>Clean</v>
      </c>
      <c r="O500" t="str">
        <f t="shared" si="31"/>
        <v/>
      </c>
      <c r="P500" t="str">
        <f t="shared" si="29"/>
        <v>Clean</v>
      </c>
      <c r="Q500" t="str">
        <f t="shared" si="30"/>
        <v>Valid</v>
      </c>
    </row>
    <row r="501" spans="1:17" x14ac:dyDescent="0.3">
      <c r="A501" t="s">
        <v>1986</v>
      </c>
      <c r="B501" t="s">
        <v>1987</v>
      </c>
      <c r="C501" t="s">
        <v>40</v>
      </c>
      <c r="D501" t="s">
        <v>41</v>
      </c>
      <c r="E501" t="s">
        <v>17</v>
      </c>
      <c r="F501" t="s">
        <v>18</v>
      </c>
      <c r="G501" s="1">
        <v>44246</v>
      </c>
      <c r="H501" s="1">
        <v>44419</v>
      </c>
      <c r="I501" t="s">
        <v>1988</v>
      </c>
      <c r="J501" t="s">
        <v>1989</v>
      </c>
      <c r="K501" t="s">
        <v>90</v>
      </c>
      <c r="M501" t="s">
        <v>3735</v>
      </c>
      <c r="N501" t="str">
        <f t="shared" si="28"/>
        <v>Flagged</v>
      </c>
      <c r="O501" t="str">
        <f t="shared" si="31"/>
        <v>Missing Verified_By</v>
      </c>
      <c r="P501" t="str">
        <f t="shared" si="29"/>
        <v>Flagged for Review</v>
      </c>
      <c r="Q501" t="str">
        <f t="shared" si="30"/>
        <v>Valid</v>
      </c>
    </row>
    <row r="502" spans="1:17" x14ac:dyDescent="0.3">
      <c r="A502" t="s">
        <v>1990</v>
      </c>
      <c r="B502" t="s">
        <v>1991</v>
      </c>
      <c r="C502" t="s">
        <v>87</v>
      </c>
      <c r="D502" t="s">
        <v>41</v>
      </c>
      <c r="E502" t="s">
        <v>17</v>
      </c>
      <c r="F502" t="s">
        <v>18</v>
      </c>
      <c r="G502" s="1">
        <v>44028</v>
      </c>
      <c r="H502" s="1">
        <v>44387</v>
      </c>
      <c r="I502" t="s">
        <v>1992</v>
      </c>
      <c r="J502" t="s">
        <v>1993</v>
      </c>
      <c r="K502" t="s">
        <v>21</v>
      </c>
      <c r="L502" t="s">
        <v>116</v>
      </c>
      <c r="M502" t="s">
        <v>22</v>
      </c>
      <c r="N502" t="str">
        <f t="shared" si="28"/>
        <v>Clean</v>
      </c>
      <c r="O502" t="str">
        <f t="shared" si="31"/>
        <v/>
      </c>
      <c r="P502" t="str">
        <f t="shared" si="29"/>
        <v>Clean</v>
      </c>
      <c r="Q502" t="str">
        <f t="shared" si="30"/>
        <v>Valid</v>
      </c>
    </row>
    <row r="503" spans="1:17" x14ac:dyDescent="0.3">
      <c r="A503" t="s">
        <v>1994</v>
      </c>
      <c r="B503" t="s">
        <v>1995</v>
      </c>
      <c r="C503" t="s">
        <v>87</v>
      </c>
      <c r="D503" t="s">
        <v>25</v>
      </c>
      <c r="E503" t="s">
        <v>26</v>
      </c>
      <c r="F503" t="s">
        <v>151</v>
      </c>
      <c r="G503" s="1">
        <v>45451</v>
      </c>
      <c r="H503" s="1">
        <v>45756</v>
      </c>
      <c r="I503" t="s">
        <v>1996</v>
      </c>
      <c r="J503" t="s">
        <v>1997</v>
      </c>
      <c r="K503" t="s">
        <v>37</v>
      </c>
      <c r="L503" t="s">
        <v>55</v>
      </c>
      <c r="M503" t="s">
        <v>22</v>
      </c>
      <c r="N503" t="str">
        <f t="shared" si="28"/>
        <v>Clean</v>
      </c>
      <c r="O503" t="str">
        <f t="shared" si="31"/>
        <v/>
      </c>
      <c r="P503" t="str">
        <f t="shared" si="29"/>
        <v>Clean</v>
      </c>
      <c r="Q503" t="str">
        <f t="shared" si="30"/>
        <v>Valid</v>
      </c>
    </row>
    <row r="504" spans="1:17" x14ac:dyDescent="0.3">
      <c r="A504" t="s">
        <v>1998</v>
      </c>
      <c r="B504" t="s">
        <v>1999</v>
      </c>
      <c r="C504" t="s">
        <v>181</v>
      </c>
      <c r="D504" t="s">
        <v>34</v>
      </c>
      <c r="E504" t="s">
        <v>26</v>
      </c>
      <c r="F504" t="s">
        <v>18</v>
      </c>
      <c r="G504" s="1">
        <v>44542</v>
      </c>
      <c r="H504" s="1">
        <v>44841</v>
      </c>
      <c r="I504" t="s">
        <v>2000</v>
      </c>
      <c r="J504" t="s">
        <v>2001</v>
      </c>
      <c r="K504" t="s">
        <v>29</v>
      </c>
      <c r="L504" t="s">
        <v>55</v>
      </c>
      <c r="M504" t="s">
        <v>22</v>
      </c>
      <c r="N504" t="str">
        <f t="shared" si="28"/>
        <v>Clean</v>
      </c>
      <c r="O504" t="str">
        <f t="shared" si="31"/>
        <v/>
      </c>
      <c r="P504" t="str">
        <f t="shared" si="29"/>
        <v>Clean</v>
      </c>
      <c r="Q504" t="str">
        <f t="shared" si="30"/>
        <v>Valid</v>
      </c>
    </row>
    <row r="505" spans="1:17" x14ac:dyDescent="0.3">
      <c r="A505" t="s">
        <v>2002</v>
      </c>
      <c r="B505" t="s">
        <v>2003</v>
      </c>
      <c r="C505" t="s">
        <v>40</v>
      </c>
      <c r="D505" t="s">
        <v>77</v>
      </c>
      <c r="E505" t="s">
        <v>52</v>
      </c>
      <c r="F505" t="s">
        <v>18</v>
      </c>
      <c r="G505" s="1">
        <v>44562</v>
      </c>
      <c r="H505" s="1">
        <v>45552</v>
      </c>
      <c r="I505" t="s">
        <v>2004</v>
      </c>
      <c r="J505" t="s">
        <v>2005</v>
      </c>
      <c r="K505" t="s">
        <v>29</v>
      </c>
      <c r="L505" t="s">
        <v>30</v>
      </c>
      <c r="M505" t="s">
        <v>22</v>
      </c>
      <c r="N505" t="str">
        <f t="shared" si="28"/>
        <v>Clean</v>
      </c>
      <c r="O505" t="str">
        <f t="shared" si="31"/>
        <v/>
      </c>
      <c r="P505" t="str">
        <f t="shared" si="29"/>
        <v>Clean</v>
      </c>
      <c r="Q505" t="str">
        <f t="shared" si="30"/>
        <v>Valid</v>
      </c>
    </row>
    <row r="506" spans="1:17" x14ac:dyDescent="0.3">
      <c r="A506" t="s">
        <v>2006</v>
      </c>
      <c r="B506" t="s">
        <v>2007</v>
      </c>
      <c r="C506" t="s">
        <v>181</v>
      </c>
      <c r="D506" t="s">
        <v>16</v>
      </c>
      <c r="E506" t="s">
        <v>17</v>
      </c>
      <c r="F506" t="s">
        <v>151</v>
      </c>
      <c r="G506" s="1">
        <v>45281</v>
      </c>
      <c r="H506" s="1">
        <v>45562</v>
      </c>
      <c r="I506" t="s">
        <v>2008</v>
      </c>
      <c r="J506" t="s">
        <v>2009</v>
      </c>
      <c r="K506" t="s">
        <v>90</v>
      </c>
      <c r="L506" t="s">
        <v>60</v>
      </c>
      <c r="M506" t="s">
        <v>22</v>
      </c>
      <c r="N506" t="str">
        <f t="shared" si="28"/>
        <v>Clean</v>
      </c>
      <c r="O506" t="str">
        <f t="shared" si="31"/>
        <v/>
      </c>
      <c r="P506" t="str">
        <f t="shared" si="29"/>
        <v>Clean</v>
      </c>
      <c r="Q506" t="str">
        <f t="shared" si="30"/>
        <v>Valid</v>
      </c>
    </row>
    <row r="507" spans="1:17" x14ac:dyDescent="0.3">
      <c r="A507" t="s">
        <v>2010</v>
      </c>
      <c r="B507" t="s">
        <v>2011</v>
      </c>
      <c r="C507" t="s">
        <v>15</v>
      </c>
      <c r="D507" t="s">
        <v>16</v>
      </c>
      <c r="E507" t="s">
        <v>17</v>
      </c>
      <c r="F507" t="s">
        <v>160</v>
      </c>
      <c r="G507" s="1">
        <v>43709</v>
      </c>
      <c r="H507" s="1">
        <v>43720</v>
      </c>
      <c r="I507" t="s">
        <v>2012</v>
      </c>
      <c r="J507" t="s">
        <v>2013</v>
      </c>
      <c r="K507" t="s">
        <v>90</v>
      </c>
      <c r="L507" t="s">
        <v>91</v>
      </c>
      <c r="M507" t="s">
        <v>22</v>
      </c>
      <c r="N507" t="str">
        <f t="shared" si="28"/>
        <v>Clean</v>
      </c>
      <c r="O507" t="str">
        <f t="shared" si="31"/>
        <v/>
      </c>
      <c r="P507" t="str">
        <f t="shared" si="29"/>
        <v>Clean</v>
      </c>
      <c r="Q507" t="str">
        <f t="shared" si="30"/>
        <v>Valid</v>
      </c>
    </row>
    <row r="508" spans="1:17" x14ac:dyDescent="0.3">
      <c r="A508" t="s">
        <v>2014</v>
      </c>
      <c r="B508" t="s">
        <v>2015</v>
      </c>
      <c r="C508" t="s">
        <v>46</v>
      </c>
      <c r="D508" t="s">
        <v>67</v>
      </c>
      <c r="E508" t="s">
        <v>26</v>
      </c>
      <c r="F508" t="s">
        <v>18</v>
      </c>
      <c r="G508" s="1">
        <v>44838</v>
      </c>
      <c r="H508" s="1">
        <v>44983</v>
      </c>
      <c r="I508" t="s">
        <v>2016</v>
      </c>
      <c r="J508" t="s">
        <v>2017</v>
      </c>
      <c r="K508" t="s">
        <v>21</v>
      </c>
      <c r="L508" t="s">
        <v>55</v>
      </c>
      <c r="M508" t="s">
        <v>22</v>
      </c>
      <c r="N508" t="str">
        <f t="shared" si="28"/>
        <v>Clean</v>
      </c>
      <c r="O508" t="str">
        <f t="shared" si="31"/>
        <v/>
      </c>
      <c r="P508" t="str">
        <f t="shared" si="29"/>
        <v>Clean</v>
      </c>
      <c r="Q508" t="str">
        <f t="shared" si="30"/>
        <v>Valid</v>
      </c>
    </row>
    <row r="509" spans="1:17" x14ac:dyDescent="0.3">
      <c r="A509" t="s">
        <v>2018</v>
      </c>
      <c r="B509" t="s">
        <v>2019</v>
      </c>
      <c r="C509" t="s">
        <v>87</v>
      </c>
      <c r="D509" t="s">
        <v>16</v>
      </c>
      <c r="E509" t="s">
        <v>17</v>
      </c>
      <c r="F509" t="s">
        <v>18</v>
      </c>
      <c r="G509" s="1">
        <v>45108</v>
      </c>
      <c r="H509" s="1">
        <v>45424</v>
      </c>
      <c r="I509" t="s">
        <v>2020</v>
      </c>
      <c r="J509" t="s">
        <v>2021</v>
      </c>
      <c r="K509" t="s">
        <v>37</v>
      </c>
      <c r="L509" t="s">
        <v>60</v>
      </c>
      <c r="M509" t="s">
        <v>22</v>
      </c>
      <c r="N509" t="str">
        <f t="shared" si="28"/>
        <v>Clean</v>
      </c>
      <c r="O509" t="str">
        <f t="shared" si="31"/>
        <v/>
      </c>
      <c r="P509" t="str">
        <f t="shared" si="29"/>
        <v>Clean</v>
      </c>
      <c r="Q509" t="str">
        <f t="shared" si="30"/>
        <v>Valid</v>
      </c>
    </row>
    <row r="510" spans="1:17" x14ac:dyDescent="0.3">
      <c r="A510" t="s">
        <v>2022</v>
      </c>
      <c r="B510" t="s">
        <v>2023</v>
      </c>
      <c r="C510" t="s">
        <v>181</v>
      </c>
      <c r="D510" t="s">
        <v>34</v>
      </c>
      <c r="E510" t="s">
        <v>26</v>
      </c>
      <c r="F510" t="s">
        <v>18</v>
      </c>
      <c r="G510" s="1">
        <v>44030</v>
      </c>
      <c r="H510" s="1">
        <v>44092</v>
      </c>
      <c r="I510" t="s">
        <v>2024</v>
      </c>
      <c r="J510" t="s">
        <v>2025</v>
      </c>
      <c r="K510" t="s">
        <v>21</v>
      </c>
      <c r="L510" t="s">
        <v>60</v>
      </c>
      <c r="M510" t="s">
        <v>22</v>
      </c>
      <c r="N510" t="str">
        <f t="shared" si="28"/>
        <v>Clean</v>
      </c>
      <c r="O510" t="str">
        <f t="shared" si="31"/>
        <v/>
      </c>
      <c r="P510" t="str">
        <f t="shared" si="29"/>
        <v>Clean</v>
      </c>
      <c r="Q510" t="str">
        <f t="shared" si="30"/>
        <v>Valid</v>
      </c>
    </row>
    <row r="511" spans="1:17" x14ac:dyDescent="0.3">
      <c r="A511" t="s">
        <v>2026</v>
      </c>
      <c r="B511" t="s">
        <v>2027</v>
      </c>
      <c r="C511" t="s">
        <v>46</v>
      </c>
      <c r="D511" t="s">
        <v>51</v>
      </c>
      <c r="E511" t="s">
        <v>52</v>
      </c>
      <c r="F511" t="s">
        <v>151</v>
      </c>
      <c r="G511" s="1">
        <v>44316</v>
      </c>
      <c r="H511" s="1">
        <v>44547</v>
      </c>
      <c r="I511" t="s">
        <v>2028</v>
      </c>
      <c r="J511" t="s">
        <v>2029</v>
      </c>
      <c r="K511" t="s">
        <v>29</v>
      </c>
      <c r="L511" t="s">
        <v>60</v>
      </c>
      <c r="M511" t="s">
        <v>22</v>
      </c>
      <c r="N511" t="str">
        <f t="shared" si="28"/>
        <v>Clean</v>
      </c>
      <c r="O511" t="str">
        <f t="shared" si="31"/>
        <v/>
      </c>
      <c r="P511" t="str">
        <f t="shared" si="29"/>
        <v>Clean</v>
      </c>
      <c r="Q511" t="str">
        <f t="shared" si="30"/>
        <v>Valid</v>
      </c>
    </row>
    <row r="512" spans="1:17" x14ac:dyDescent="0.3">
      <c r="A512" t="s">
        <v>2030</v>
      </c>
      <c r="B512" t="s">
        <v>2031</v>
      </c>
      <c r="C512" t="s">
        <v>87</v>
      </c>
      <c r="D512" t="s">
        <v>67</v>
      </c>
      <c r="E512" t="s">
        <v>26</v>
      </c>
      <c r="F512" t="s">
        <v>18</v>
      </c>
      <c r="G512" s="1">
        <v>44503</v>
      </c>
      <c r="H512" s="1">
        <v>44749</v>
      </c>
      <c r="I512" t="s">
        <v>2032</v>
      </c>
      <c r="J512" t="s">
        <v>2033</v>
      </c>
      <c r="K512" t="s">
        <v>29</v>
      </c>
      <c r="L512" t="s">
        <v>60</v>
      </c>
      <c r="M512" t="s">
        <v>22</v>
      </c>
      <c r="N512" t="str">
        <f t="shared" si="28"/>
        <v>Clean</v>
      </c>
      <c r="O512" t="str">
        <f t="shared" si="31"/>
        <v/>
      </c>
      <c r="P512" t="str">
        <f t="shared" si="29"/>
        <v>Clean</v>
      </c>
      <c r="Q512" t="str">
        <f t="shared" si="30"/>
        <v>Valid</v>
      </c>
    </row>
    <row r="513" spans="1:17" x14ac:dyDescent="0.3">
      <c r="A513" t="s">
        <v>2034</v>
      </c>
      <c r="B513" t="s">
        <v>2035</v>
      </c>
      <c r="C513" t="s">
        <v>33</v>
      </c>
      <c r="D513" t="s">
        <v>67</v>
      </c>
      <c r="E513" t="s">
        <v>26</v>
      </c>
      <c r="F513" t="s">
        <v>18</v>
      </c>
      <c r="G513" s="1">
        <v>45048</v>
      </c>
      <c r="H513" s="1">
        <v>45306</v>
      </c>
      <c r="I513" t="s">
        <v>2036</v>
      </c>
      <c r="J513" t="s">
        <v>2037</v>
      </c>
      <c r="K513" t="s">
        <v>90</v>
      </c>
      <c r="L513" t="s">
        <v>55</v>
      </c>
      <c r="M513" t="s">
        <v>22</v>
      </c>
      <c r="N513" t="str">
        <f t="shared" si="28"/>
        <v>Clean</v>
      </c>
      <c r="O513" t="str">
        <f t="shared" si="31"/>
        <v/>
      </c>
      <c r="P513" t="str">
        <f t="shared" si="29"/>
        <v>Clean</v>
      </c>
      <c r="Q513" t="str">
        <f t="shared" si="30"/>
        <v>Valid</v>
      </c>
    </row>
    <row r="514" spans="1:17" x14ac:dyDescent="0.3">
      <c r="A514" t="s">
        <v>2038</v>
      </c>
      <c r="B514" t="s">
        <v>2039</v>
      </c>
      <c r="C514" t="s">
        <v>76</v>
      </c>
      <c r="D514" t="s">
        <v>51</v>
      </c>
      <c r="E514" t="s">
        <v>52</v>
      </c>
      <c r="F514" t="s">
        <v>18</v>
      </c>
      <c r="G514" s="1">
        <v>43726</v>
      </c>
      <c r="H514" s="1">
        <v>43934</v>
      </c>
      <c r="I514" t="s">
        <v>2040</v>
      </c>
      <c r="J514" t="s">
        <v>2041</v>
      </c>
      <c r="K514" t="s">
        <v>21</v>
      </c>
      <c r="M514" t="s">
        <v>3735</v>
      </c>
      <c r="N514" t="str">
        <f t="shared" ref="N514:N577" si="32">IF(OR(B514="",H514="",I514="",J514="",L514="",Q514="Invalid"),"Flagged","Clean")</f>
        <v>Flagged</v>
      </c>
      <c r="O514" t="str">
        <f t="shared" si="31"/>
        <v>Missing Verified_By</v>
      </c>
      <c r="P514" t="str">
        <f t="shared" ref="P514:P577" si="33">IF(N514="Clean","Clean","Flagged for Review")</f>
        <v>Flagged for Review</v>
      </c>
      <c r="Q514" t="str">
        <f t="shared" ref="Q514:Q577" si="34">IF(I514="","Blank",IF(ISERROR(FIND("@",I514&amp;"")),"Invalid",IF(FIND("@",I514&amp;"")&lt;2,"Invalid",IF(LEN(I514&amp;"")-FIND("@",I514&amp;"")&lt;4,"Invalid","Valid"))))</f>
        <v>Valid</v>
      </c>
    </row>
    <row r="515" spans="1:17" x14ac:dyDescent="0.3">
      <c r="A515" t="s">
        <v>2042</v>
      </c>
      <c r="B515" t="s">
        <v>2043</v>
      </c>
      <c r="C515" t="s">
        <v>46</v>
      </c>
      <c r="D515" t="s">
        <v>77</v>
      </c>
      <c r="E515" t="s">
        <v>52</v>
      </c>
      <c r="F515" t="s">
        <v>160</v>
      </c>
      <c r="G515" s="1">
        <v>43930</v>
      </c>
      <c r="H515" s="1">
        <v>44166</v>
      </c>
      <c r="I515" t="s">
        <v>2044</v>
      </c>
      <c r="J515" t="s">
        <v>2045</v>
      </c>
      <c r="K515" t="s">
        <v>21</v>
      </c>
      <c r="M515" t="s">
        <v>3735</v>
      </c>
      <c r="N515" t="str">
        <f t="shared" si="32"/>
        <v>Flagged</v>
      </c>
      <c r="O515" t="str">
        <f t="shared" ref="O515:O578" si="35">TRIM(IF(B515="","Missing Vendor_Name ","")&amp;IF(I515="","Missing Contact_Email ","")&amp;IF(J515="","Missing Account_Code ","")&amp;IF(L515="","Missing Verified_By ","")&amp;IF(Q515="Invalid","Invalid Email Format ","")&amp;IF(H515="","Missing Last_Updated ",""))</f>
        <v>Missing Verified_By</v>
      </c>
      <c r="P515" t="str">
        <f t="shared" si="33"/>
        <v>Flagged for Review</v>
      </c>
      <c r="Q515" t="str">
        <f t="shared" si="34"/>
        <v>Valid</v>
      </c>
    </row>
    <row r="516" spans="1:17" x14ac:dyDescent="0.3">
      <c r="A516" t="s">
        <v>2046</v>
      </c>
      <c r="B516" t="s">
        <v>2047</v>
      </c>
      <c r="C516" t="s">
        <v>46</v>
      </c>
      <c r="D516" t="s">
        <v>16</v>
      </c>
      <c r="E516" t="s">
        <v>17</v>
      </c>
      <c r="F516" t="s">
        <v>18</v>
      </c>
      <c r="G516" s="1">
        <v>43748</v>
      </c>
      <c r="H516" s="1">
        <v>44019</v>
      </c>
      <c r="I516" t="s">
        <v>2048</v>
      </c>
      <c r="J516" t="s">
        <v>2049</v>
      </c>
      <c r="K516" t="s">
        <v>29</v>
      </c>
      <c r="L516" t="s">
        <v>116</v>
      </c>
      <c r="M516" t="s">
        <v>22</v>
      </c>
      <c r="N516" t="str">
        <f t="shared" si="32"/>
        <v>Clean</v>
      </c>
      <c r="O516" t="str">
        <f t="shared" si="35"/>
        <v/>
      </c>
      <c r="P516" t="str">
        <f t="shared" si="33"/>
        <v>Clean</v>
      </c>
      <c r="Q516" t="str">
        <f t="shared" si="34"/>
        <v>Valid</v>
      </c>
    </row>
    <row r="517" spans="1:17" x14ac:dyDescent="0.3">
      <c r="A517" t="s">
        <v>2050</v>
      </c>
      <c r="B517" t="s">
        <v>2051</v>
      </c>
      <c r="C517" t="s">
        <v>46</v>
      </c>
      <c r="D517" t="s">
        <v>67</v>
      </c>
      <c r="E517" t="s">
        <v>26</v>
      </c>
      <c r="F517" t="s">
        <v>18</v>
      </c>
      <c r="G517" s="1">
        <v>44471</v>
      </c>
      <c r="H517" s="1">
        <v>44515</v>
      </c>
      <c r="I517" t="s">
        <v>2052</v>
      </c>
      <c r="J517" t="s">
        <v>2053</v>
      </c>
      <c r="K517" t="s">
        <v>37</v>
      </c>
      <c r="L517" t="s">
        <v>30</v>
      </c>
      <c r="M517" t="s">
        <v>22</v>
      </c>
      <c r="N517" t="str">
        <f t="shared" si="32"/>
        <v>Clean</v>
      </c>
      <c r="O517" t="str">
        <f t="shared" si="35"/>
        <v/>
      </c>
      <c r="P517" t="str">
        <f t="shared" si="33"/>
        <v>Clean</v>
      </c>
      <c r="Q517" t="str">
        <f t="shared" si="34"/>
        <v>Valid</v>
      </c>
    </row>
    <row r="518" spans="1:17" x14ac:dyDescent="0.3">
      <c r="A518" t="s">
        <v>2054</v>
      </c>
      <c r="B518" t="s">
        <v>2055</v>
      </c>
      <c r="C518" t="s">
        <v>46</v>
      </c>
      <c r="D518" t="s">
        <v>41</v>
      </c>
      <c r="E518" t="s">
        <v>17</v>
      </c>
      <c r="F518" t="s">
        <v>160</v>
      </c>
      <c r="G518" s="1">
        <v>44258</v>
      </c>
      <c r="H518" s="1">
        <v>44258</v>
      </c>
      <c r="I518" t="s">
        <v>2056</v>
      </c>
      <c r="J518" t="s">
        <v>2057</v>
      </c>
      <c r="K518" t="s">
        <v>21</v>
      </c>
      <c r="M518" t="s">
        <v>3735</v>
      </c>
      <c r="N518" t="str">
        <f t="shared" si="32"/>
        <v>Flagged</v>
      </c>
      <c r="O518" t="str">
        <f t="shared" si="35"/>
        <v>Missing Verified_By</v>
      </c>
      <c r="P518" t="str">
        <f t="shared" si="33"/>
        <v>Flagged for Review</v>
      </c>
      <c r="Q518" t="str">
        <f t="shared" si="34"/>
        <v>Valid</v>
      </c>
    </row>
    <row r="519" spans="1:17" x14ac:dyDescent="0.3">
      <c r="A519" t="s">
        <v>2058</v>
      </c>
      <c r="B519" t="s">
        <v>2059</v>
      </c>
      <c r="C519" t="s">
        <v>33</v>
      </c>
      <c r="D519" t="s">
        <v>77</v>
      </c>
      <c r="E519" t="s">
        <v>52</v>
      </c>
      <c r="F519" t="s">
        <v>18</v>
      </c>
      <c r="G519" s="1">
        <v>45319</v>
      </c>
      <c r="H519" s="1">
        <v>45482</v>
      </c>
      <c r="I519" t="s">
        <v>2060</v>
      </c>
      <c r="J519" t="s">
        <v>2061</v>
      </c>
      <c r="K519" t="s">
        <v>90</v>
      </c>
      <c r="M519" t="s">
        <v>3735</v>
      </c>
      <c r="N519" t="str">
        <f t="shared" si="32"/>
        <v>Flagged</v>
      </c>
      <c r="O519" t="str">
        <f t="shared" si="35"/>
        <v>Missing Verified_By</v>
      </c>
      <c r="P519" t="str">
        <f t="shared" si="33"/>
        <v>Flagged for Review</v>
      </c>
      <c r="Q519" t="str">
        <f t="shared" si="34"/>
        <v>Valid</v>
      </c>
    </row>
    <row r="520" spans="1:17" x14ac:dyDescent="0.3">
      <c r="A520" t="s">
        <v>2062</v>
      </c>
      <c r="B520" t="s">
        <v>2063</v>
      </c>
      <c r="C520" t="s">
        <v>40</v>
      </c>
      <c r="D520" t="s">
        <v>51</v>
      </c>
      <c r="E520" t="s">
        <v>52</v>
      </c>
      <c r="F520" t="s">
        <v>18</v>
      </c>
      <c r="G520" s="1">
        <v>44430</v>
      </c>
      <c r="H520" s="1">
        <v>44582</v>
      </c>
      <c r="I520" t="s">
        <v>2064</v>
      </c>
      <c r="J520" t="s">
        <v>2065</v>
      </c>
      <c r="K520" t="s">
        <v>21</v>
      </c>
      <c r="M520" t="s">
        <v>3735</v>
      </c>
      <c r="N520" t="str">
        <f t="shared" si="32"/>
        <v>Flagged</v>
      </c>
      <c r="O520" t="str">
        <f t="shared" si="35"/>
        <v>Missing Verified_By</v>
      </c>
      <c r="P520" t="str">
        <f t="shared" si="33"/>
        <v>Flagged for Review</v>
      </c>
      <c r="Q520" t="str">
        <f t="shared" si="34"/>
        <v>Valid</v>
      </c>
    </row>
    <row r="521" spans="1:17" x14ac:dyDescent="0.3">
      <c r="A521" t="s">
        <v>2066</v>
      </c>
      <c r="B521" t="s">
        <v>2067</v>
      </c>
      <c r="C521" t="s">
        <v>87</v>
      </c>
      <c r="D521" t="s">
        <v>16</v>
      </c>
      <c r="E521" t="s">
        <v>17</v>
      </c>
      <c r="F521" t="s">
        <v>18</v>
      </c>
      <c r="G521" s="1">
        <v>45052</v>
      </c>
      <c r="H521" s="1">
        <v>45388</v>
      </c>
      <c r="I521" t="s">
        <v>2068</v>
      </c>
      <c r="J521" t="s">
        <v>2069</v>
      </c>
      <c r="K521" t="s">
        <v>21</v>
      </c>
      <c r="L521" t="s">
        <v>30</v>
      </c>
      <c r="M521" t="s">
        <v>22</v>
      </c>
      <c r="N521" t="str">
        <f t="shared" si="32"/>
        <v>Clean</v>
      </c>
      <c r="O521" t="str">
        <f t="shared" si="35"/>
        <v/>
      </c>
      <c r="P521" t="str">
        <f t="shared" si="33"/>
        <v>Clean</v>
      </c>
      <c r="Q521" t="str">
        <f t="shared" si="34"/>
        <v>Valid</v>
      </c>
    </row>
    <row r="522" spans="1:17" x14ac:dyDescent="0.3">
      <c r="A522" t="s">
        <v>2070</v>
      </c>
      <c r="B522" t="s">
        <v>2071</v>
      </c>
      <c r="C522" t="s">
        <v>40</v>
      </c>
      <c r="D522" t="s">
        <v>77</v>
      </c>
      <c r="E522" t="s">
        <v>52</v>
      </c>
      <c r="F522" t="s">
        <v>18</v>
      </c>
      <c r="G522" s="1">
        <v>44116</v>
      </c>
      <c r="H522" s="1">
        <v>44302</v>
      </c>
      <c r="I522" t="s">
        <v>2072</v>
      </c>
      <c r="J522" t="s">
        <v>2073</v>
      </c>
      <c r="K522" t="s">
        <v>21</v>
      </c>
      <c r="L522" t="s">
        <v>30</v>
      </c>
      <c r="M522" t="s">
        <v>22</v>
      </c>
      <c r="N522" t="str">
        <f t="shared" si="32"/>
        <v>Clean</v>
      </c>
      <c r="O522" t="str">
        <f t="shared" si="35"/>
        <v/>
      </c>
      <c r="P522" t="str">
        <f t="shared" si="33"/>
        <v>Clean</v>
      </c>
      <c r="Q522" t="str">
        <f t="shared" si="34"/>
        <v>Valid</v>
      </c>
    </row>
    <row r="523" spans="1:17" x14ac:dyDescent="0.3">
      <c r="A523" t="s">
        <v>2074</v>
      </c>
      <c r="B523" t="s">
        <v>2075</v>
      </c>
      <c r="C523" t="s">
        <v>46</v>
      </c>
      <c r="D523" t="s">
        <v>67</v>
      </c>
      <c r="E523" t="s">
        <v>26</v>
      </c>
      <c r="F523" t="s">
        <v>18</v>
      </c>
      <c r="G523" s="1">
        <v>43877</v>
      </c>
      <c r="H523" s="1">
        <v>43976</v>
      </c>
      <c r="I523" t="s">
        <v>2076</v>
      </c>
      <c r="J523" t="s">
        <v>2077</v>
      </c>
      <c r="K523" t="s">
        <v>29</v>
      </c>
      <c r="L523" t="s">
        <v>55</v>
      </c>
      <c r="M523" t="s">
        <v>22</v>
      </c>
      <c r="N523" t="str">
        <f t="shared" si="32"/>
        <v>Clean</v>
      </c>
      <c r="O523" t="str">
        <f t="shared" si="35"/>
        <v/>
      </c>
      <c r="P523" t="str">
        <f t="shared" si="33"/>
        <v>Clean</v>
      </c>
      <c r="Q523" t="str">
        <f t="shared" si="34"/>
        <v>Valid</v>
      </c>
    </row>
    <row r="524" spans="1:17" x14ac:dyDescent="0.3">
      <c r="A524" t="s">
        <v>2078</v>
      </c>
      <c r="B524" t="s">
        <v>2079</v>
      </c>
      <c r="C524" t="s">
        <v>33</v>
      </c>
      <c r="D524" t="s">
        <v>77</v>
      </c>
      <c r="E524" t="s">
        <v>52</v>
      </c>
      <c r="F524" t="s">
        <v>151</v>
      </c>
      <c r="G524" s="1">
        <v>44124</v>
      </c>
      <c r="H524" s="1">
        <v>44488</v>
      </c>
      <c r="I524" t="s">
        <v>2080</v>
      </c>
      <c r="J524" t="s">
        <v>2081</v>
      </c>
      <c r="K524" t="s">
        <v>37</v>
      </c>
      <c r="L524" t="s">
        <v>55</v>
      </c>
      <c r="M524" t="s">
        <v>22</v>
      </c>
      <c r="N524" t="str">
        <f t="shared" si="32"/>
        <v>Clean</v>
      </c>
      <c r="O524" t="str">
        <f t="shared" si="35"/>
        <v/>
      </c>
      <c r="P524" t="str">
        <f t="shared" si="33"/>
        <v>Clean</v>
      </c>
      <c r="Q524" t="str">
        <f t="shared" si="34"/>
        <v>Valid</v>
      </c>
    </row>
    <row r="525" spans="1:17" x14ac:dyDescent="0.3">
      <c r="A525" t="s">
        <v>2082</v>
      </c>
      <c r="B525" t="s">
        <v>2083</v>
      </c>
      <c r="C525" t="s">
        <v>181</v>
      </c>
      <c r="D525" t="s">
        <v>25</v>
      </c>
      <c r="E525" t="s">
        <v>26</v>
      </c>
      <c r="F525" t="s">
        <v>18</v>
      </c>
      <c r="G525" s="1">
        <v>44787</v>
      </c>
      <c r="H525" s="1">
        <v>45092</v>
      </c>
      <c r="I525" t="s">
        <v>2084</v>
      </c>
      <c r="J525" t="s">
        <v>2085</v>
      </c>
      <c r="K525" t="s">
        <v>21</v>
      </c>
      <c r="L525" t="s">
        <v>91</v>
      </c>
      <c r="M525" t="s">
        <v>22</v>
      </c>
      <c r="N525" t="str">
        <f t="shared" si="32"/>
        <v>Clean</v>
      </c>
      <c r="O525" t="str">
        <f t="shared" si="35"/>
        <v/>
      </c>
      <c r="P525" t="str">
        <f t="shared" si="33"/>
        <v>Clean</v>
      </c>
      <c r="Q525" t="str">
        <f t="shared" si="34"/>
        <v>Valid</v>
      </c>
    </row>
    <row r="526" spans="1:17" x14ac:dyDescent="0.3">
      <c r="A526" t="s">
        <v>2086</v>
      </c>
      <c r="B526" t="s">
        <v>2087</v>
      </c>
      <c r="C526" t="s">
        <v>181</v>
      </c>
      <c r="D526" t="s">
        <v>16</v>
      </c>
      <c r="E526" t="s">
        <v>17</v>
      </c>
      <c r="F526" t="s">
        <v>18</v>
      </c>
      <c r="G526" s="1">
        <v>44944</v>
      </c>
      <c r="H526" s="1">
        <v>45227</v>
      </c>
      <c r="I526" t="s">
        <v>2088</v>
      </c>
      <c r="J526" t="s">
        <v>2089</v>
      </c>
      <c r="K526" t="s">
        <v>21</v>
      </c>
      <c r="L526" t="s">
        <v>91</v>
      </c>
      <c r="M526" t="s">
        <v>22</v>
      </c>
      <c r="N526" t="str">
        <f t="shared" si="32"/>
        <v>Clean</v>
      </c>
      <c r="O526" t="str">
        <f t="shared" si="35"/>
        <v/>
      </c>
      <c r="P526" t="str">
        <f t="shared" si="33"/>
        <v>Clean</v>
      </c>
      <c r="Q526" t="str">
        <f t="shared" si="34"/>
        <v>Valid</v>
      </c>
    </row>
    <row r="527" spans="1:17" x14ac:dyDescent="0.3">
      <c r="A527" t="s">
        <v>2090</v>
      </c>
      <c r="B527" t="s">
        <v>2091</v>
      </c>
      <c r="C527" t="s">
        <v>33</v>
      </c>
      <c r="D527" t="s">
        <v>51</v>
      </c>
      <c r="E527" t="s">
        <v>52</v>
      </c>
      <c r="F527" t="s">
        <v>18</v>
      </c>
      <c r="G527" s="1">
        <v>43725</v>
      </c>
      <c r="H527" s="1">
        <v>43810</v>
      </c>
      <c r="I527" t="s">
        <v>2092</v>
      </c>
      <c r="J527" t="s">
        <v>2093</v>
      </c>
      <c r="K527" t="s">
        <v>21</v>
      </c>
      <c r="L527" t="s">
        <v>116</v>
      </c>
      <c r="M527" t="s">
        <v>22</v>
      </c>
      <c r="N527" t="str">
        <f t="shared" si="32"/>
        <v>Clean</v>
      </c>
      <c r="O527" t="str">
        <f t="shared" si="35"/>
        <v/>
      </c>
      <c r="P527" t="str">
        <f t="shared" si="33"/>
        <v>Clean</v>
      </c>
      <c r="Q527" t="str">
        <f t="shared" si="34"/>
        <v>Valid</v>
      </c>
    </row>
    <row r="528" spans="1:17" x14ac:dyDescent="0.3">
      <c r="A528" t="s">
        <v>2094</v>
      </c>
      <c r="B528" t="s">
        <v>2095</v>
      </c>
      <c r="C528" t="s">
        <v>181</v>
      </c>
      <c r="D528" t="s">
        <v>16</v>
      </c>
      <c r="E528" t="s">
        <v>17</v>
      </c>
      <c r="F528" t="s">
        <v>18</v>
      </c>
      <c r="G528" s="1">
        <v>43559</v>
      </c>
      <c r="H528" s="1">
        <v>43711</v>
      </c>
      <c r="I528" t="s">
        <v>2096</v>
      </c>
      <c r="J528" t="s">
        <v>2097</v>
      </c>
      <c r="K528" t="s">
        <v>21</v>
      </c>
      <c r="L528" t="s">
        <v>91</v>
      </c>
      <c r="M528" t="s">
        <v>22</v>
      </c>
      <c r="N528" t="str">
        <f t="shared" si="32"/>
        <v>Clean</v>
      </c>
      <c r="O528" t="str">
        <f t="shared" si="35"/>
        <v/>
      </c>
      <c r="P528" t="str">
        <f t="shared" si="33"/>
        <v>Clean</v>
      </c>
      <c r="Q528" t="str">
        <f t="shared" si="34"/>
        <v>Valid</v>
      </c>
    </row>
    <row r="529" spans="1:17" x14ac:dyDescent="0.3">
      <c r="A529" t="s">
        <v>2098</v>
      </c>
      <c r="B529" t="s">
        <v>2099</v>
      </c>
      <c r="C529" t="s">
        <v>40</v>
      </c>
      <c r="D529" t="s">
        <v>51</v>
      </c>
      <c r="E529" t="s">
        <v>52</v>
      </c>
      <c r="F529" t="s">
        <v>18</v>
      </c>
      <c r="G529" s="1">
        <v>43866</v>
      </c>
      <c r="H529" s="1">
        <v>44083</v>
      </c>
      <c r="I529" t="s">
        <v>2100</v>
      </c>
      <c r="J529" t="s">
        <v>2101</v>
      </c>
      <c r="K529" t="s">
        <v>21</v>
      </c>
      <c r="L529" t="s">
        <v>55</v>
      </c>
      <c r="M529" t="s">
        <v>22</v>
      </c>
      <c r="N529" t="str">
        <f t="shared" si="32"/>
        <v>Clean</v>
      </c>
      <c r="O529" t="str">
        <f t="shared" si="35"/>
        <v/>
      </c>
      <c r="P529" t="str">
        <f t="shared" si="33"/>
        <v>Clean</v>
      </c>
      <c r="Q529" t="str">
        <f t="shared" si="34"/>
        <v>Valid</v>
      </c>
    </row>
    <row r="530" spans="1:17" x14ac:dyDescent="0.3">
      <c r="A530" t="s">
        <v>2102</v>
      </c>
      <c r="B530" t="s">
        <v>2103</v>
      </c>
      <c r="C530" t="s">
        <v>181</v>
      </c>
      <c r="D530" t="s">
        <v>77</v>
      </c>
      <c r="E530" t="s">
        <v>52</v>
      </c>
      <c r="F530" t="s">
        <v>18</v>
      </c>
      <c r="G530" s="1">
        <v>45182</v>
      </c>
      <c r="H530" s="1">
        <v>45482</v>
      </c>
      <c r="I530" t="s">
        <v>2104</v>
      </c>
      <c r="J530" t="s">
        <v>2105</v>
      </c>
      <c r="K530" t="s">
        <v>90</v>
      </c>
      <c r="L530" t="s">
        <v>30</v>
      </c>
      <c r="M530" t="s">
        <v>22</v>
      </c>
      <c r="N530" t="str">
        <f t="shared" si="32"/>
        <v>Clean</v>
      </c>
      <c r="O530" t="str">
        <f t="shared" si="35"/>
        <v/>
      </c>
      <c r="P530" t="str">
        <f t="shared" si="33"/>
        <v>Clean</v>
      </c>
      <c r="Q530" t="str">
        <f t="shared" si="34"/>
        <v>Valid</v>
      </c>
    </row>
    <row r="531" spans="1:17" x14ac:dyDescent="0.3">
      <c r="A531" t="s">
        <v>2106</v>
      </c>
      <c r="B531" t="s">
        <v>2107</v>
      </c>
      <c r="C531" t="s">
        <v>46</v>
      </c>
      <c r="D531" t="s">
        <v>51</v>
      </c>
      <c r="E531" t="s">
        <v>52</v>
      </c>
      <c r="F531" t="s">
        <v>18</v>
      </c>
      <c r="G531" s="1">
        <v>43706</v>
      </c>
      <c r="H531" s="1">
        <v>43732</v>
      </c>
      <c r="I531" t="s">
        <v>2108</v>
      </c>
      <c r="J531" t="s">
        <v>2109</v>
      </c>
      <c r="K531" t="s">
        <v>21</v>
      </c>
      <c r="L531" t="s">
        <v>116</v>
      </c>
      <c r="M531" t="s">
        <v>22</v>
      </c>
      <c r="N531" t="str">
        <f t="shared" si="32"/>
        <v>Clean</v>
      </c>
      <c r="O531" t="str">
        <f t="shared" si="35"/>
        <v/>
      </c>
      <c r="P531" t="str">
        <f t="shared" si="33"/>
        <v>Clean</v>
      </c>
      <c r="Q531" t="str">
        <f t="shared" si="34"/>
        <v>Valid</v>
      </c>
    </row>
    <row r="532" spans="1:17" x14ac:dyDescent="0.3">
      <c r="A532" t="s">
        <v>2110</v>
      </c>
      <c r="B532" t="s">
        <v>3725</v>
      </c>
      <c r="C532" t="s">
        <v>33</v>
      </c>
      <c r="D532" t="s">
        <v>77</v>
      </c>
      <c r="E532" t="s">
        <v>52</v>
      </c>
      <c r="F532" t="s">
        <v>151</v>
      </c>
      <c r="G532" s="1">
        <v>44871</v>
      </c>
      <c r="H532" s="1">
        <v>45058</v>
      </c>
      <c r="I532" t="s">
        <v>2112</v>
      </c>
      <c r="J532" t="s">
        <v>2113</v>
      </c>
      <c r="K532" t="s">
        <v>21</v>
      </c>
      <c r="L532" t="s">
        <v>55</v>
      </c>
      <c r="M532" t="s">
        <v>22</v>
      </c>
      <c r="N532" t="str">
        <f t="shared" si="32"/>
        <v>Clean</v>
      </c>
      <c r="O532" t="str">
        <f t="shared" si="35"/>
        <v/>
      </c>
      <c r="P532" t="str">
        <f t="shared" si="33"/>
        <v>Clean</v>
      </c>
      <c r="Q532" t="str">
        <f t="shared" si="34"/>
        <v>Valid</v>
      </c>
    </row>
    <row r="533" spans="1:17" x14ac:dyDescent="0.3">
      <c r="A533" t="s">
        <v>2114</v>
      </c>
      <c r="B533" t="s">
        <v>2115</v>
      </c>
      <c r="C533" t="s">
        <v>15</v>
      </c>
      <c r="D533" t="s">
        <v>41</v>
      </c>
      <c r="E533" t="s">
        <v>17</v>
      </c>
      <c r="F533" t="s">
        <v>18</v>
      </c>
      <c r="G533" s="1">
        <v>43638</v>
      </c>
      <c r="H533" s="1">
        <v>43935</v>
      </c>
      <c r="I533" t="s">
        <v>2116</v>
      </c>
      <c r="J533" t="s">
        <v>2117</v>
      </c>
      <c r="K533" t="s">
        <v>29</v>
      </c>
      <c r="L533" t="s">
        <v>60</v>
      </c>
      <c r="M533" t="s">
        <v>22</v>
      </c>
      <c r="N533" t="str">
        <f t="shared" si="32"/>
        <v>Clean</v>
      </c>
      <c r="O533" t="str">
        <f t="shared" si="35"/>
        <v/>
      </c>
      <c r="P533" t="str">
        <f t="shared" si="33"/>
        <v>Clean</v>
      </c>
      <c r="Q533" t="str">
        <f t="shared" si="34"/>
        <v>Valid</v>
      </c>
    </row>
    <row r="534" spans="1:17" x14ac:dyDescent="0.3">
      <c r="A534" t="s">
        <v>2118</v>
      </c>
      <c r="B534" t="s">
        <v>2119</v>
      </c>
      <c r="C534" t="s">
        <v>40</v>
      </c>
      <c r="D534" t="s">
        <v>67</v>
      </c>
      <c r="E534" t="s">
        <v>26</v>
      </c>
      <c r="F534" t="s">
        <v>151</v>
      </c>
      <c r="G534" s="1">
        <v>43554</v>
      </c>
      <c r="H534" s="1">
        <v>43574</v>
      </c>
      <c r="I534" t="s">
        <v>2120</v>
      </c>
      <c r="J534" t="s">
        <v>2121</v>
      </c>
      <c r="K534" t="s">
        <v>29</v>
      </c>
      <c r="L534" t="s">
        <v>116</v>
      </c>
      <c r="M534" t="s">
        <v>22</v>
      </c>
      <c r="N534" t="str">
        <f t="shared" si="32"/>
        <v>Clean</v>
      </c>
      <c r="O534" t="str">
        <f t="shared" si="35"/>
        <v/>
      </c>
      <c r="P534" t="str">
        <f t="shared" si="33"/>
        <v>Clean</v>
      </c>
      <c r="Q534" t="str">
        <f t="shared" si="34"/>
        <v>Valid</v>
      </c>
    </row>
    <row r="535" spans="1:17" x14ac:dyDescent="0.3">
      <c r="A535" t="s">
        <v>2122</v>
      </c>
      <c r="B535" t="s">
        <v>2123</v>
      </c>
      <c r="C535" t="s">
        <v>40</v>
      </c>
      <c r="D535" t="s">
        <v>34</v>
      </c>
      <c r="E535" t="s">
        <v>26</v>
      </c>
      <c r="F535" t="s">
        <v>18</v>
      </c>
      <c r="G535" s="1">
        <v>45282</v>
      </c>
      <c r="H535" s="1">
        <v>45319</v>
      </c>
      <c r="I535" t="s">
        <v>2124</v>
      </c>
      <c r="J535" t="s">
        <v>1248</v>
      </c>
      <c r="K535" t="s">
        <v>37</v>
      </c>
      <c r="L535" t="s">
        <v>60</v>
      </c>
      <c r="M535" t="s">
        <v>22</v>
      </c>
      <c r="N535" t="str">
        <f t="shared" si="32"/>
        <v>Clean</v>
      </c>
      <c r="O535" t="str">
        <f t="shared" si="35"/>
        <v/>
      </c>
      <c r="P535" t="str">
        <f t="shared" si="33"/>
        <v>Clean</v>
      </c>
      <c r="Q535" t="str">
        <f t="shared" si="34"/>
        <v>Valid</v>
      </c>
    </row>
    <row r="536" spans="1:17" x14ac:dyDescent="0.3">
      <c r="A536" t="s">
        <v>2125</v>
      </c>
      <c r="B536" t="s">
        <v>2126</v>
      </c>
      <c r="C536" t="s">
        <v>40</v>
      </c>
      <c r="D536" t="s">
        <v>25</v>
      </c>
      <c r="E536" t="s">
        <v>26</v>
      </c>
      <c r="F536" t="s">
        <v>18</v>
      </c>
      <c r="G536" s="1">
        <v>43618</v>
      </c>
      <c r="H536" s="1">
        <v>43773</v>
      </c>
      <c r="I536" t="s">
        <v>2127</v>
      </c>
      <c r="J536" t="s">
        <v>2128</v>
      </c>
      <c r="K536" t="s">
        <v>90</v>
      </c>
      <c r="L536" t="s">
        <v>55</v>
      </c>
      <c r="M536" t="s">
        <v>22</v>
      </c>
      <c r="N536" t="str">
        <f t="shared" si="32"/>
        <v>Clean</v>
      </c>
      <c r="O536" t="str">
        <f t="shared" si="35"/>
        <v/>
      </c>
      <c r="P536" t="str">
        <f t="shared" si="33"/>
        <v>Clean</v>
      </c>
      <c r="Q536" t="str">
        <f t="shared" si="34"/>
        <v>Valid</v>
      </c>
    </row>
    <row r="537" spans="1:17" x14ac:dyDescent="0.3">
      <c r="A537" t="s">
        <v>2129</v>
      </c>
      <c r="B537" t="s">
        <v>2130</v>
      </c>
      <c r="C537" t="s">
        <v>33</v>
      </c>
      <c r="D537" t="s">
        <v>51</v>
      </c>
      <c r="E537" t="s">
        <v>52</v>
      </c>
      <c r="F537" t="s">
        <v>18</v>
      </c>
      <c r="G537" s="1">
        <v>44312</v>
      </c>
      <c r="H537" s="1">
        <v>44577</v>
      </c>
      <c r="I537" t="s">
        <v>2131</v>
      </c>
      <c r="J537" t="s">
        <v>2132</v>
      </c>
      <c r="K537" t="s">
        <v>21</v>
      </c>
      <c r="L537" t="s">
        <v>30</v>
      </c>
      <c r="M537" t="s">
        <v>22</v>
      </c>
      <c r="N537" t="str">
        <f t="shared" si="32"/>
        <v>Clean</v>
      </c>
      <c r="O537" t="str">
        <f t="shared" si="35"/>
        <v/>
      </c>
      <c r="P537" t="str">
        <f t="shared" si="33"/>
        <v>Clean</v>
      </c>
      <c r="Q537" t="str">
        <f t="shared" si="34"/>
        <v>Valid</v>
      </c>
    </row>
    <row r="538" spans="1:17" x14ac:dyDescent="0.3">
      <c r="A538" t="s">
        <v>2133</v>
      </c>
      <c r="B538" t="s">
        <v>2134</v>
      </c>
      <c r="C538" t="s">
        <v>40</v>
      </c>
      <c r="D538" t="s">
        <v>16</v>
      </c>
      <c r="E538" t="s">
        <v>17</v>
      </c>
      <c r="F538" t="s">
        <v>160</v>
      </c>
      <c r="G538" s="1">
        <v>45182</v>
      </c>
      <c r="H538" s="1">
        <v>45457</v>
      </c>
      <c r="I538" t="s">
        <v>2135</v>
      </c>
      <c r="J538" t="s">
        <v>2136</v>
      </c>
      <c r="K538" t="s">
        <v>21</v>
      </c>
      <c r="L538" t="s">
        <v>55</v>
      </c>
      <c r="M538" t="s">
        <v>22</v>
      </c>
      <c r="N538" t="str">
        <f t="shared" si="32"/>
        <v>Clean</v>
      </c>
      <c r="O538" t="str">
        <f t="shared" si="35"/>
        <v/>
      </c>
      <c r="P538" t="str">
        <f t="shared" si="33"/>
        <v>Clean</v>
      </c>
      <c r="Q538" t="str">
        <f t="shared" si="34"/>
        <v>Valid</v>
      </c>
    </row>
    <row r="539" spans="1:17" x14ac:dyDescent="0.3">
      <c r="A539" t="s">
        <v>2137</v>
      </c>
      <c r="B539" t="s">
        <v>2138</v>
      </c>
      <c r="C539" t="s">
        <v>40</v>
      </c>
      <c r="D539" t="s">
        <v>77</v>
      </c>
      <c r="E539" t="s">
        <v>52</v>
      </c>
      <c r="F539" t="s">
        <v>18</v>
      </c>
      <c r="G539" s="1">
        <v>43644</v>
      </c>
      <c r="H539" s="1">
        <v>43758</v>
      </c>
      <c r="I539" t="s">
        <v>2139</v>
      </c>
      <c r="J539" t="s">
        <v>2140</v>
      </c>
      <c r="K539" t="s">
        <v>21</v>
      </c>
      <c r="L539" t="s">
        <v>91</v>
      </c>
      <c r="M539" t="s">
        <v>22</v>
      </c>
      <c r="N539" t="str">
        <f t="shared" si="32"/>
        <v>Clean</v>
      </c>
      <c r="O539" t="str">
        <f t="shared" si="35"/>
        <v/>
      </c>
      <c r="P539" t="str">
        <f t="shared" si="33"/>
        <v>Clean</v>
      </c>
      <c r="Q539" t="str">
        <f t="shared" si="34"/>
        <v>Valid</v>
      </c>
    </row>
    <row r="540" spans="1:17" x14ac:dyDescent="0.3">
      <c r="A540" t="s">
        <v>2141</v>
      </c>
      <c r="B540" t="s">
        <v>2142</v>
      </c>
      <c r="C540" t="s">
        <v>87</v>
      </c>
      <c r="D540" t="s">
        <v>34</v>
      </c>
      <c r="E540" t="s">
        <v>26</v>
      </c>
      <c r="F540" t="s">
        <v>18</v>
      </c>
      <c r="G540" s="1">
        <v>44283</v>
      </c>
      <c r="H540" s="1">
        <v>44332</v>
      </c>
      <c r="I540" t="s">
        <v>2143</v>
      </c>
      <c r="J540" t="s">
        <v>2144</v>
      </c>
      <c r="K540" t="s">
        <v>37</v>
      </c>
      <c r="M540" t="s">
        <v>3735</v>
      </c>
      <c r="N540" t="str">
        <f t="shared" si="32"/>
        <v>Flagged</v>
      </c>
      <c r="O540" t="str">
        <f t="shared" si="35"/>
        <v>Missing Verified_By</v>
      </c>
      <c r="P540" t="str">
        <f t="shared" si="33"/>
        <v>Flagged for Review</v>
      </c>
      <c r="Q540" t="str">
        <f t="shared" si="34"/>
        <v>Valid</v>
      </c>
    </row>
    <row r="541" spans="1:17" x14ac:dyDescent="0.3">
      <c r="A541" t="s">
        <v>2145</v>
      </c>
      <c r="B541" t="s">
        <v>2146</v>
      </c>
      <c r="C541" t="s">
        <v>33</v>
      </c>
      <c r="D541" t="s">
        <v>77</v>
      </c>
      <c r="E541" t="s">
        <v>52</v>
      </c>
      <c r="F541" t="s">
        <v>18</v>
      </c>
      <c r="G541" s="1">
        <v>44570</v>
      </c>
      <c r="H541" s="1">
        <v>44622</v>
      </c>
      <c r="I541" t="s">
        <v>2147</v>
      </c>
      <c r="J541" t="s">
        <v>2148</v>
      </c>
      <c r="K541" t="s">
        <v>37</v>
      </c>
      <c r="L541" t="s">
        <v>30</v>
      </c>
      <c r="M541" t="s">
        <v>22</v>
      </c>
      <c r="N541" t="str">
        <f t="shared" si="32"/>
        <v>Clean</v>
      </c>
      <c r="O541" t="str">
        <f t="shared" si="35"/>
        <v/>
      </c>
      <c r="P541" t="str">
        <f t="shared" si="33"/>
        <v>Clean</v>
      </c>
      <c r="Q541" t="str">
        <f t="shared" si="34"/>
        <v>Valid</v>
      </c>
    </row>
    <row r="542" spans="1:17" x14ac:dyDescent="0.3">
      <c r="A542" t="s">
        <v>2149</v>
      </c>
      <c r="B542" t="s">
        <v>2150</v>
      </c>
      <c r="C542" t="s">
        <v>76</v>
      </c>
      <c r="D542" t="s">
        <v>51</v>
      </c>
      <c r="E542" t="s">
        <v>52</v>
      </c>
      <c r="F542" t="s">
        <v>18</v>
      </c>
      <c r="G542" s="1">
        <v>45226</v>
      </c>
      <c r="H542" s="1">
        <v>45522</v>
      </c>
      <c r="I542" t="s">
        <v>2151</v>
      </c>
      <c r="J542" t="s">
        <v>2152</v>
      </c>
      <c r="K542" t="s">
        <v>21</v>
      </c>
      <c r="L542" t="s">
        <v>30</v>
      </c>
      <c r="M542" t="s">
        <v>22</v>
      </c>
      <c r="N542" t="str">
        <f t="shared" si="32"/>
        <v>Clean</v>
      </c>
      <c r="O542" t="str">
        <f t="shared" si="35"/>
        <v/>
      </c>
      <c r="P542" t="str">
        <f t="shared" si="33"/>
        <v>Clean</v>
      </c>
      <c r="Q542" t="str">
        <f t="shared" si="34"/>
        <v>Valid</v>
      </c>
    </row>
    <row r="543" spans="1:17" x14ac:dyDescent="0.3">
      <c r="A543" t="s">
        <v>2153</v>
      </c>
      <c r="B543" t="s">
        <v>2154</v>
      </c>
      <c r="C543" t="s">
        <v>46</v>
      </c>
      <c r="D543" t="s">
        <v>41</v>
      </c>
      <c r="E543" t="s">
        <v>17</v>
      </c>
      <c r="F543" t="s">
        <v>18</v>
      </c>
      <c r="G543" s="1">
        <v>43545</v>
      </c>
      <c r="H543" s="1">
        <v>43740</v>
      </c>
      <c r="I543" t="s">
        <v>2155</v>
      </c>
      <c r="J543" t="s">
        <v>2156</v>
      </c>
      <c r="K543" t="s">
        <v>21</v>
      </c>
      <c r="L543" t="s">
        <v>116</v>
      </c>
      <c r="M543" t="s">
        <v>22</v>
      </c>
      <c r="N543" t="str">
        <f t="shared" si="32"/>
        <v>Clean</v>
      </c>
      <c r="O543" t="str">
        <f t="shared" si="35"/>
        <v/>
      </c>
      <c r="P543" t="str">
        <f t="shared" si="33"/>
        <v>Clean</v>
      </c>
      <c r="Q543" t="str">
        <f t="shared" si="34"/>
        <v>Valid</v>
      </c>
    </row>
    <row r="544" spans="1:17" x14ac:dyDescent="0.3">
      <c r="A544" t="s">
        <v>2157</v>
      </c>
      <c r="B544" t="s">
        <v>2158</v>
      </c>
      <c r="C544" t="s">
        <v>46</v>
      </c>
      <c r="D544" t="s">
        <v>77</v>
      </c>
      <c r="E544" t="s">
        <v>52</v>
      </c>
      <c r="F544" t="s">
        <v>18</v>
      </c>
      <c r="G544" s="1">
        <v>43590</v>
      </c>
      <c r="H544" s="1">
        <v>43844</v>
      </c>
      <c r="I544" t="s">
        <v>2159</v>
      </c>
      <c r="J544" t="s">
        <v>2160</v>
      </c>
      <c r="K544" t="s">
        <v>29</v>
      </c>
      <c r="L544" t="s">
        <v>30</v>
      </c>
      <c r="M544" t="s">
        <v>22</v>
      </c>
      <c r="N544" t="str">
        <f t="shared" si="32"/>
        <v>Clean</v>
      </c>
      <c r="O544" t="str">
        <f t="shared" si="35"/>
        <v/>
      </c>
      <c r="P544" t="str">
        <f t="shared" si="33"/>
        <v>Clean</v>
      </c>
      <c r="Q544" t="str">
        <f t="shared" si="34"/>
        <v>Valid</v>
      </c>
    </row>
    <row r="545" spans="1:17" x14ac:dyDescent="0.3">
      <c r="A545" t="s">
        <v>2161</v>
      </c>
      <c r="B545" t="s">
        <v>2162</v>
      </c>
      <c r="C545" t="s">
        <v>87</v>
      </c>
      <c r="D545" t="s">
        <v>34</v>
      </c>
      <c r="E545" t="s">
        <v>26</v>
      </c>
      <c r="F545" t="s">
        <v>18</v>
      </c>
      <c r="G545" s="1">
        <v>44943</v>
      </c>
      <c r="H545" s="1">
        <v>44977</v>
      </c>
      <c r="I545" t="s">
        <v>2163</v>
      </c>
      <c r="J545" t="s">
        <v>2164</v>
      </c>
      <c r="K545" t="s">
        <v>90</v>
      </c>
      <c r="L545" t="s">
        <v>30</v>
      </c>
      <c r="M545" t="s">
        <v>22</v>
      </c>
      <c r="N545" t="str">
        <f t="shared" si="32"/>
        <v>Clean</v>
      </c>
      <c r="O545" t="str">
        <f t="shared" si="35"/>
        <v/>
      </c>
      <c r="P545" t="str">
        <f t="shared" si="33"/>
        <v>Clean</v>
      </c>
      <c r="Q545" t="str">
        <f t="shared" si="34"/>
        <v>Valid</v>
      </c>
    </row>
    <row r="546" spans="1:17" x14ac:dyDescent="0.3">
      <c r="A546" t="s">
        <v>2165</v>
      </c>
      <c r="B546" t="s">
        <v>2166</v>
      </c>
      <c r="C546" t="s">
        <v>40</v>
      </c>
      <c r="D546" t="s">
        <v>77</v>
      </c>
      <c r="E546" t="s">
        <v>52</v>
      </c>
      <c r="F546" t="s">
        <v>18</v>
      </c>
      <c r="G546" s="1">
        <v>45198</v>
      </c>
      <c r="H546" s="1">
        <v>45244</v>
      </c>
      <c r="I546" t="s">
        <v>2167</v>
      </c>
      <c r="J546" t="s">
        <v>2168</v>
      </c>
      <c r="K546" t="s">
        <v>37</v>
      </c>
      <c r="L546" t="s">
        <v>30</v>
      </c>
      <c r="M546" t="s">
        <v>22</v>
      </c>
      <c r="N546" t="str">
        <f t="shared" si="32"/>
        <v>Clean</v>
      </c>
      <c r="O546" t="str">
        <f t="shared" si="35"/>
        <v/>
      </c>
      <c r="P546" t="str">
        <f t="shared" si="33"/>
        <v>Clean</v>
      </c>
      <c r="Q546" t="str">
        <f t="shared" si="34"/>
        <v>Valid</v>
      </c>
    </row>
    <row r="547" spans="1:17" x14ac:dyDescent="0.3">
      <c r="A547" t="s">
        <v>2169</v>
      </c>
      <c r="B547" t="s">
        <v>2170</v>
      </c>
      <c r="C547" t="s">
        <v>15</v>
      </c>
      <c r="D547" t="s">
        <v>67</v>
      </c>
      <c r="E547" t="s">
        <v>26</v>
      </c>
      <c r="F547" t="s">
        <v>160</v>
      </c>
      <c r="G547" s="1">
        <v>45276</v>
      </c>
      <c r="H547" s="1">
        <v>45449</v>
      </c>
      <c r="I547" t="s">
        <v>2171</v>
      </c>
      <c r="J547" t="s">
        <v>2172</v>
      </c>
      <c r="K547" t="s">
        <v>90</v>
      </c>
      <c r="L547" t="s">
        <v>55</v>
      </c>
      <c r="M547" t="s">
        <v>22</v>
      </c>
      <c r="N547" t="str">
        <f t="shared" si="32"/>
        <v>Clean</v>
      </c>
      <c r="O547" t="str">
        <f t="shared" si="35"/>
        <v/>
      </c>
      <c r="P547" t="str">
        <f t="shared" si="33"/>
        <v>Clean</v>
      </c>
      <c r="Q547" t="str">
        <f t="shared" si="34"/>
        <v>Valid</v>
      </c>
    </row>
    <row r="548" spans="1:17" x14ac:dyDescent="0.3">
      <c r="A548" t="s">
        <v>2173</v>
      </c>
      <c r="B548" t="s">
        <v>2174</v>
      </c>
      <c r="C548" t="s">
        <v>46</v>
      </c>
      <c r="D548" t="s">
        <v>41</v>
      </c>
      <c r="E548" t="s">
        <v>17</v>
      </c>
      <c r="F548" t="s">
        <v>18</v>
      </c>
      <c r="G548" s="1">
        <v>45059</v>
      </c>
      <c r="H548" s="1">
        <v>45405</v>
      </c>
      <c r="I548" t="s">
        <v>2175</v>
      </c>
      <c r="J548" t="s">
        <v>2176</v>
      </c>
      <c r="K548" t="s">
        <v>21</v>
      </c>
      <c r="M548" t="s">
        <v>3735</v>
      </c>
      <c r="N548" t="str">
        <f t="shared" si="32"/>
        <v>Flagged</v>
      </c>
      <c r="O548" t="str">
        <f t="shared" si="35"/>
        <v>Missing Verified_By</v>
      </c>
      <c r="P548" t="str">
        <f t="shared" si="33"/>
        <v>Flagged for Review</v>
      </c>
      <c r="Q548" t="str">
        <f t="shared" si="34"/>
        <v>Valid</v>
      </c>
    </row>
    <row r="549" spans="1:17" x14ac:dyDescent="0.3">
      <c r="A549" t="s">
        <v>2177</v>
      </c>
      <c r="B549" t="s">
        <v>2178</v>
      </c>
      <c r="C549" t="s">
        <v>87</v>
      </c>
      <c r="D549" t="s">
        <v>51</v>
      </c>
      <c r="E549" t="s">
        <v>52</v>
      </c>
      <c r="F549" t="s">
        <v>18</v>
      </c>
      <c r="G549" s="1">
        <v>45280</v>
      </c>
      <c r="H549" s="1">
        <v>45395</v>
      </c>
      <c r="I549" t="s">
        <v>2179</v>
      </c>
      <c r="K549" t="s">
        <v>37</v>
      </c>
      <c r="M549" t="s">
        <v>3735</v>
      </c>
      <c r="N549" t="str">
        <f t="shared" si="32"/>
        <v>Flagged</v>
      </c>
      <c r="O549" t="str">
        <f t="shared" si="35"/>
        <v>Missing Account_Code Missing Verified_By</v>
      </c>
      <c r="P549" t="str">
        <f t="shared" si="33"/>
        <v>Flagged for Review</v>
      </c>
      <c r="Q549" t="str">
        <f t="shared" si="34"/>
        <v>Valid</v>
      </c>
    </row>
    <row r="550" spans="1:17" x14ac:dyDescent="0.3">
      <c r="A550" t="s">
        <v>2180</v>
      </c>
      <c r="B550" t="s">
        <v>1774</v>
      </c>
      <c r="C550" t="s">
        <v>87</v>
      </c>
      <c r="D550" t="s">
        <v>16</v>
      </c>
      <c r="E550" t="s">
        <v>17</v>
      </c>
      <c r="F550" t="s">
        <v>18</v>
      </c>
      <c r="G550" s="1">
        <v>44573</v>
      </c>
      <c r="H550" s="1">
        <v>44709</v>
      </c>
      <c r="I550" t="s">
        <v>1775</v>
      </c>
      <c r="J550" t="s">
        <v>2181</v>
      </c>
      <c r="K550" t="s">
        <v>21</v>
      </c>
      <c r="L550" t="s">
        <v>30</v>
      </c>
      <c r="M550" t="s">
        <v>22</v>
      </c>
      <c r="N550" t="str">
        <f t="shared" si="32"/>
        <v>Clean</v>
      </c>
      <c r="O550" t="str">
        <f t="shared" si="35"/>
        <v/>
      </c>
      <c r="P550" t="str">
        <f t="shared" si="33"/>
        <v>Clean</v>
      </c>
      <c r="Q550" t="str">
        <f t="shared" si="34"/>
        <v>Valid</v>
      </c>
    </row>
    <row r="551" spans="1:17" x14ac:dyDescent="0.3">
      <c r="A551" t="s">
        <v>2182</v>
      </c>
      <c r="B551" t="s">
        <v>2183</v>
      </c>
      <c r="C551" t="s">
        <v>33</v>
      </c>
      <c r="D551" t="s">
        <v>34</v>
      </c>
      <c r="E551" t="s">
        <v>26</v>
      </c>
      <c r="F551" t="s">
        <v>151</v>
      </c>
      <c r="G551" s="1">
        <v>44977</v>
      </c>
      <c r="H551" s="1">
        <v>45209</v>
      </c>
      <c r="I551" t="s">
        <v>2184</v>
      </c>
      <c r="J551" t="s">
        <v>2185</v>
      </c>
      <c r="K551" t="s">
        <v>90</v>
      </c>
      <c r="M551" t="s">
        <v>3735</v>
      </c>
      <c r="N551" t="str">
        <f t="shared" si="32"/>
        <v>Flagged</v>
      </c>
      <c r="O551" t="str">
        <f t="shared" si="35"/>
        <v>Missing Verified_By</v>
      </c>
      <c r="P551" t="str">
        <f t="shared" si="33"/>
        <v>Flagged for Review</v>
      </c>
      <c r="Q551" t="str">
        <f t="shared" si="34"/>
        <v>Valid</v>
      </c>
    </row>
    <row r="552" spans="1:17" x14ac:dyDescent="0.3">
      <c r="A552" t="s">
        <v>2186</v>
      </c>
      <c r="B552" t="s">
        <v>2187</v>
      </c>
      <c r="C552" t="s">
        <v>15</v>
      </c>
      <c r="D552" t="s">
        <v>34</v>
      </c>
      <c r="E552" t="s">
        <v>26</v>
      </c>
      <c r="F552" t="s">
        <v>18</v>
      </c>
      <c r="G552" s="1">
        <v>43631</v>
      </c>
      <c r="H552" s="1">
        <v>43741</v>
      </c>
      <c r="I552" t="s">
        <v>2188</v>
      </c>
      <c r="J552" t="s">
        <v>2189</v>
      </c>
      <c r="K552" t="s">
        <v>90</v>
      </c>
      <c r="M552" t="s">
        <v>3735</v>
      </c>
      <c r="N552" t="str">
        <f t="shared" si="32"/>
        <v>Flagged</v>
      </c>
      <c r="O552" t="str">
        <f t="shared" si="35"/>
        <v>Missing Verified_By</v>
      </c>
      <c r="P552" t="str">
        <f t="shared" si="33"/>
        <v>Flagged for Review</v>
      </c>
      <c r="Q552" t="str">
        <f t="shared" si="34"/>
        <v>Valid</v>
      </c>
    </row>
    <row r="553" spans="1:17" x14ac:dyDescent="0.3">
      <c r="A553" t="s">
        <v>2190</v>
      </c>
      <c r="B553" t="s">
        <v>3726</v>
      </c>
      <c r="C553" t="s">
        <v>46</v>
      </c>
      <c r="D553" t="s">
        <v>25</v>
      </c>
      <c r="E553" t="s">
        <v>26</v>
      </c>
      <c r="F553" t="s">
        <v>18</v>
      </c>
      <c r="G553" s="1">
        <v>43974</v>
      </c>
      <c r="H553" s="1">
        <v>44247</v>
      </c>
      <c r="I553" t="s">
        <v>2192</v>
      </c>
      <c r="J553" t="s">
        <v>2193</v>
      </c>
      <c r="K553" t="s">
        <v>90</v>
      </c>
      <c r="M553" t="s">
        <v>3735</v>
      </c>
      <c r="N553" t="str">
        <f t="shared" si="32"/>
        <v>Flagged</v>
      </c>
      <c r="O553" t="str">
        <f t="shared" si="35"/>
        <v>Missing Verified_By</v>
      </c>
      <c r="P553" t="str">
        <f t="shared" si="33"/>
        <v>Flagged for Review</v>
      </c>
      <c r="Q553" t="str">
        <f t="shared" si="34"/>
        <v>Valid</v>
      </c>
    </row>
    <row r="554" spans="1:17" x14ac:dyDescent="0.3">
      <c r="A554" t="s">
        <v>2194</v>
      </c>
      <c r="B554" t="s">
        <v>2195</v>
      </c>
      <c r="C554" t="s">
        <v>87</v>
      </c>
      <c r="D554" t="s">
        <v>51</v>
      </c>
      <c r="E554" t="s">
        <v>52</v>
      </c>
      <c r="F554" t="s">
        <v>160</v>
      </c>
      <c r="G554" s="1">
        <v>43696</v>
      </c>
      <c r="H554" s="1">
        <v>43876</v>
      </c>
      <c r="I554" t="s">
        <v>2196</v>
      </c>
      <c r="J554" t="s">
        <v>2197</v>
      </c>
      <c r="K554" t="s">
        <v>29</v>
      </c>
      <c r="L554" t="s">
        <v>30</v>
      </c>
      <c r="M554" t="s">
        <v>22</v>
      </c>
      <c r="N554" t="str">
        <f t="shared" si="32"/>
        <v>Clean</v>
      </c>
      <c r="O554" t="str">
        <f t="shared" si="35"/>
        <v/>
      </c>
      <c r="P554" t="str">
        <f t="shared" si="33"/>
        <v>Clean</v>
      </c>
      <c r="Q554" t="str">
        <f t="shared" si="34"/>
        <v>Valid</v>
      </c>
    </row>
    <row r="555" spans="1:17" x14ac:dyDescent="0.3">
      <c r="A555" t="s">
        <v>2198</v>
      </c>
      <c r="B555" t="s">
        <v>2199</v>
      </c>
      <c r="C555" t="s">
        <v>76</v>
      </c>
      <c r="D555" t="s">
        <v>77</v>
      </c>
      <c r="E555" t="s">
        <v>52</v>
      </c>
      <c r="F555" t="s">
        <v>18</v>
      </c>
      <c r="G555" s="1">
        <v>44948</v>
      </c>
      <c r="H555" s="1">
        <v>45210</v>
      </c>
      <c r="I555" t="s">
        <v>2200</v>
      </c>
      <c r="J555" t="s">
        <v>2201</v>
      </c>
      <c r="K555" t="s">
        <v>21</v>
      </c>
      <c r="L555" t="s">
        <v>91</v>
      </c>
      <c r="M555" t="s">
        <v>22</v>
      </c>
      <c r="N555" t="str">
        <f t="shared" si="32"/>
        <v>Clean</v>
      </c>
      <c r="O555" t="str">
        <f t="shared" si="35"/>
        <v/>
      </c>
      <c r="P555" t="str">
        <f t="shared" si="33"/>
        <v>Clean</v>
      </c>
      <c r="Q555" t="str">
        <f t="shared" si="34"/>
        <v>Valid</v>
      </c>
    </row>
    <row r="556" spans="1:17" x14ac:dyDescent="0.3">
      <c r="A556" t="s">
        <v>2202</v>
      </c>
      <c r="B556" t="s">
        <v>2203</v>
      </c>
      <c r="C556" t="s">
        <v>40</v>
      </c>
      <c r="D556" t="s">
        <v>25</v>
      </c>
      <c r="E556" t="s">
        <v>26</v>
      </c>
      <c r="F556" t="s">
        <v>151</v>
      </c>
      <c r="G556" s="1">
        <v>43678</v>
      </c>
      <c r="H556" s="1">
        <v>43843</v>
      </c>
      <c r="I556" t="s">
        <v>2204</v>
      </c>
      <c r="J556" t="s">
        <v>2205</v>
      </c>
      <c r="K556" t="s">
        <v>29</v>
      </c>
      <c r="L556" t="s">
        <v>60</v>
      </c>
      <c r="M556" t="s">
        <v>22</v>
      </c>
      <c r="N556" t="str">
        <f t="shared" si="32"/>
        <v>Clean</v>
      </c>
      <c r="O556" t="str">
        <f t="shared" si="35"/>
        <v/>
      </c>
      <c r="P556" t="str">
        <f t="shared" si="33"/>
        <v>Clean</v>
      </c>
      <c r="Q556" t="str">
        <f t="shared" si="34"/>
        <v>Valid</v>
      </c>
    </row>
    <row r="557" spans="1:17" x14ac:dyDescent="0.3">
      <c r="A557" t="s">
        <v>2206</v>
      </c>
      <c r="B557" t="s">
        <v>2207</v>
      </c>
      <c r="C557" t="s">
        <v>181</v>
      </c>
      <c r="D557" t="s">
        <v>34</v>
      </c>
      <c r="E557" t="s">
        <v>26</v>
      </c>
      <c r="F557" t="s">
        <v>18</v>
      </c>
      <c r="G557" s="1">
        <v>43902</v>
      </c>
      <c r="H557" s="1">
        <v>44119</v>
      </c>
      <c r="I557" t="s">
        <v>2208</v>
      </c>
      <c r="J557" t="s">
        <v>2209</v>
      </c>
      <c r="K557" t="s">
        <v>21</v>
      </c>
      <c r="L557" t="s">
        <v>60</v>
      </c>
      <c r="M557" t="s">
        <v>22</v>
      </c>
      <c r="N557" t="str">
        <f t="shared" si="32"/>
        <v>Clean</v>
      </c>
      <c r="O557" t="str">
        <f t="shared" si="35"/>
        <v/>
      </c>
      <c r="P557" t="str">
        <f t="shared" si="33"/>
        <v>Clean</v>
      </c>
      <c r="Q557" t="str">
        <f t="shared" si="34"/>
        <v>Valid</v>
      </c>
    </row>
    <row r="558" spans="1:17" x14ac:dyDescent="0.3">
      <c r="A558" t="s">
        <v>2210</v>
      </c>
      <c r="B558" t="s">
        <v>2211</v>
      </c>
      <c r="C558" t="s">
        <v>33</v>
      </c>
      <c r="D558" t="s">
        <v>16</v>
      </c>
      <c r="E558" t="s">
        <v>17</v>
      </c>
      <c r="F558" t="s">
        <v>160</v>
      </c>
      <c r="G558" s="1">
        <v>44935</v>
      </c>
      <c r="H558" s="1">
        <v>45237</v>
      </c>
      <c r="I558" t="s">
        <v>2212</v>
      </c>
      <c r="J558" t="s">
        <v>2213</v>
      </c>
      <c r="K558" t="s">
        <v>37</v>
      </c>
      <c r="L558" t="s">
        <v>91</v>
      </c>
      <c r="M558" t="s">
        <v>22</v>
      </c>
      <c r="N558" t="str">
        <f t="shared" si="32"/>
        <v>Clean</v>
      </c>
      <c r="O558" t="str">
        <f t="shared" si="35"/>
        <v/>
      </c>
      <c r="P558" t="str">
        <f t="shared" si="33"/>
        <v>Clean</v>
      </c>
      <c r="Q558" t="str">
        <f t="shared" si="34"/>
        <v>Valid</v>
      </c>
    </row>
    <row r="559" spans="1:17" x14ac:dyDescent="0.3">
      <c r="A559" t="s">
        <v>2214</v>
      </c>
      <c r="B559" t="s">
        <v>2215</v>
      </c>
      <c r="C559" t="s">
        <v>76</v>
      </c>
      <c r="D559" t="s">
        <v>77</v>
      </c>
      <c r="E559" t="s">
        <v>52</v>
      </c>
      <c r="F559" t="s">
        <v>160</v>
      </c>
      <c r="G559" s="1">
        <v>43638</v>
      </c>
      <c r="H559" s="1">
        <v>43891</v>
      </c>
      <c r="I559" t="s">
        <v>2216</v>
      </c>
      <c r="J559" t="s">
        <v>2217</v>
      </c>
      <c r="K559" t="s">
        <v>37</v>
      </c>
      <c r="M559" t="s">
        <v>3735</v>
      </c>
      <c r="N559" t="str">
        <f t="shared" si="32"/>
        <v>Flagged</v>
      </c>
      <c r="O559" t="str">
        <f t="shared" si="35"/>
        <v>Missing Verified_By</v>
      </c>
      <c r="P559" t="str">
        <f t="shared" si="33"/>
        <v>Flagged for Review</v>
      </c>
      <c r="Q559" t="str">
        <f t="shared" si="34"/>
        <v>Valid</v>
      </c>
    </row>
    <row r="560" spans="1:17" x14ac:dyDescent="0.3">
      <c r="A560" t="s">
        <v>2218</v>
      </c>
      <c r="B560" t="s">
        <v>2219</v>
      </c>
      <c r="C560" t="s">
        <v>87</v>
      </c>
      <c r="D560" t="s">
        <v>25</v>
      </c>
      <c r="E560" t="s">
        <v>26</v>
      </c>
      <c r="F560" t="s">
        <v>18</v>
      </c>
      <c r="G560" s="1">
        <v>45349</v>
      </c>
      <c r="H560" s="1">
        <v>45388</v>
      </c>
      <c r="I560" t="s">
        <v>2220</v>
      </c>
      <c r="J560" t="s">
        <v>2221</v>
      </c>
      <c r="K560" t="s">
        <v>21</v>
      </c>
      <c r="M560" t="s">
        <v>3735</v>
      </c>
      <c r="N560" t="str">
        <f t="shared" si="32"/>
        <v>Flagged</v>
      </c>
      <c r="O560" t="str">
        <f t="shared" si="35"/>
        <v>Missing Verified_By</v>
      </c>
      <c r="P560" t="str">
        <f t="shared" si="33"/>
        <v>Flagged for Review</v>
      </c>
      <c r="Q560" t="str">
        <f t="shared" si="34"/>
        <v>Valid</v>
      </c>
    </row>
    <row r="561" spans="1:17" x14ac:dyDescent="0.3">
      <c r="A561" t="s">
        <v>2222</v>
      </c>
      <c r="B561" t="s">
        <v>2223</v>
      </c>
      <c r="C561" t="s">
        <v>33</v>
      </c>
      <c r="D561" t="s">
        <v>77</v>
      </c>
      <c r="E561" t="s">
        <v>52</v>
      </c>
      <c r="F561" t="s">
        <v>18</v>
      </c>
      <c r="G561" s="1">
        <v>44657</v>
      </c>
      <c r="H561" s="1">
        <v>44725</v>
      </c>
      <c r="I561" t="s">
        <v>2224</v>
      </c>
      <c r="J561" t="s">
        <v>2225</v>
      </c>
      <c r="K561" t="s">
        <v>90</v>
      </c>
      <c r="L561" t="s">
        <v>30</v>
      </c>
      <c r="M561" t="s">
        <v>22</v>
      </c>
      <c r="N561" t="str">
        <f t="shared" si="32"/>
        <v>Clean</v>
      </c>
      <c r="O561" t="str">
        <f t="shared" si="35"/>
        <v/>
      </c>
      <c r="P561" t="str">
        <f t="shared" si="33"/>
        <v>Clean</v>
      </c>
      <c r="Q561" t="str">
        <f t="shared" si="34"/>
        <v>Valid</v>
      </c>
    </row>
    <row r="562" spans="1:17" x14ac:dyDescent="0.3">
      <c r="A562" t="s">
        <v>2226</v>
      </c>
      <c r="B562" t="s">
        <v>2227</v>
      </c>
      <c r="C562" t="s">
        <v>15</v>
      </c>
      <c r="D562" t="s">
        <v>25</v>
      </c>
      <c r="E562" t="s">
        <v>26</v>
      </c>
      <c r="F562" t="s">
        <v>18</v>
      </c>
      <c r="G562" s="1">
        <v>43757</v>
      </c>
      <c r="H562" s="1">
        <v>43998</v>
      </c>
      <c r="I562" t="s">
        <v>2228</v>
      </c>
      <c r="J562" t="s">
        <v>2229</v>
      </c>
      <c r="K562" t="s">
        <v>90</v>
      </c>
      <c r="M562" t="s">
        <v>3735</v>
      </c>
      <c r="N562" t="str">
        <f t="shared" si="32"/>
        <v>Flagged</v>
      </c>
      <c r="O562" t="str">
        <f t="shared" si="35"/>
        <v>Missing Verified_By</v>
      </c>
      <c r="P562" t="str">
        <f t="shared" si="33"/>
        <v>Flagged for Review</v>
      </c>
      <c r="Q562" t="str">
        <f t="shared" si="34"/>
        <v>Valid</v>
      </c>
    </row>
    <row r="563" spans="1:17" x14ac:dyDescent="0.3">
      <c r="A563" t="s">
        <v>2230</v>
      </c>
      <c r="B563" t="s">
        <v>2231</v>
      </c>
      <c r="C563" t="s">
        <v>40</v>
      </c>
      <c r="D563" t="s">
        <v>77</v>
      </c>
      <c r="E563" t="s">
        <v>52</v>
      </c>
      <c r="F563" t="s">
        <v>151</v>
      </c>
      <c r="G563" s="1">
        <v>44278</v>
      </c>
      <c r="H563" s="1">
        <v>44316</v>
      </c>
      <c r="I563" t="s">
        <v>2232</v>
      </c>
      <c r="J563" t="s">
        <v>2233</v>
      </c>
      <c r="K563" t="s">
        <v>90</v>
      </c>
      <c r="M563" t="s">
        <v>3735</v>
      </c>
      <c r="N563" t="str">
        <f t="shared" si="32"/>
        <v>Flagged</v>
      </c>
      <c r="O563" t="str">
        <f t="shared" si="35"/>
        <v>Missing Verified_By</v>
      </c>
      <c r="P563" t="str">
        <f t="shared" si="33"/>
        <v>Flagged for Review</v>
      </c>
      <c r="Q563" t="str">
        <f t="shared" si="34"/>
        <v>Valid</v>
      </c>
    </row>
    <row r="564" spans="1:17" x14ac:dyDescent="0.3">
      <c r="A564" t="s">
        <v>2234</v>
      </c>
      <c r="B564" t="s">
        <v>2235</v>
      </c>
      <c r="C564" t="s">
        <v>76</v>
      </c>
      <c r="D564" t="s">
        <v>16</v>
      </c>
      <c r="E564" t="s">
        <v>17</v>
      </c>
      <c r="F564" t="s">
        <v>18</v>
      </c>
      <c r="G564" s="1">
        <v>44639</v>
      </c>
      <c r="H564" s="1">
        <v>44960</v>
      </c>
      <c r="I564" t="s">
        <v>2236</v>
      </c>
      <c r="J564" t="s">
        <v>2237</v>
      </c>
      <c r="K564" t="s">
        <v>21</v>
      </c>
      <c r="M564" t="s">
        <v>3735</v>
      </c>
      <c r="N564" t="str">
        <f t="shared" si="32"/>
        <v>Flagged</v>
      </c>
      <c r="O564" t="str">
        <f t="shared" si="35"/>
        <v>Missing Verified_By</v>
      </c>
      <c r="P564" t="str">
        <f t="shared" si="33"/>
        <v>Flagged for Review</v>
      </c>
      <c r="Q564" t="str">
        <f t="shared" si="34"/>
        <v>Valid</v>
      </c>
    </row>
    <row r="565" spans="1:17" x14ac:dyDescent="0.3">
      <c r="A565" t="s">
        <v>2238</v>
      </c>
      <c r="B565" t="s">
        <v>2239</v>
      </c>
      <c r="C565" t="s">
        <v>181</v>
      </c>
      <c r="D565" t="s">
        <v>67</v>
      </c>
      <c r="E565" t="s">
        <v>26</v>
      </c>
      <c r="F565" t="s">
        <v>18</v>
      </c>
      <c r="G565" s="1">
        <v>45402</v>
      </c>
      <c r="H565" s="1">
        <v>45526</v>
      </c>
      <c r="I565" t="s">
        <v>2240</v>
      </c>
      <c r="J565" t="s">
        <v>2241</v>
      </c>
      <c r="K565" t="s">
        <v>37</v>
      </c>
      <c r="L565" t="s">
        <v>60</v>
      </c>
      <c r="M565" t="s">
        <v>22</v>
      </c>
      <c r="N565" t="str">
        <f t="shared" si="32"/>
        <v>Clean</v>
      </c>
      <c r="O565" t="str">
        <f t="shared" si="35"/>
        <v/>
      </c>
      <c r="P565" t="str">
        <f t="shared" si="33"/>
        <v>Clean</v>
      </c>
      <c r="Q565" t="str">
        <f t="shared" si="34"/>
        <v>Valid</v>
      </c>
    </row>
    <row r="566" spans="1:17" x14ac:dyDescent="0.3">
      <c r="A566" t="s">
        <v>2242</v>
      </c>
      <c r="B566" t="s">
        <v>2243</v>
      </c>
      <c r="C566" t="s">
        <v>46</v>
      </c>
      <c r="D566" t="s">
        <v>34</v>
      </c>
      <c r="E566" t="s">
        <v>26</v>
      </c>
      <c r="F566" t="s">
        <v>151</v>
      </c>
      <c r="G566" s="1">
        <v>43998</v>
      </c>
      <c r="H566" s="1">
        <v>44302</v>
      </c>
      <c r="I566" t="s">
        <v>2244</v>
      </c>
      <c r="J566" t="s">
        <v>2245</v>
      </c>
      <c r="K566" t="s">
        <v>21</v>
      </c>
      <c r="L566" t="s">
        <v>30</v>
      </c>
      <c r="M566" t="s">
        <v>22</v>
      </c>
      <c r="N566" t="str">
        <f t="shared" si="32"/>
        <v>Clean</v>
      </c>
      <c r="O566" t="str">
        <f t="shared" si="35"/>
        <v/>
      </c>
      <c r="P566" t="str">
        <f t="shared" si="33"/>
        <v>Clean</v>
      </c>
      <c r="Q566" t="str">
        <f t="shared" si="34"/>
        <v>Valid</v>
      </c>
    </row>
    <row r="567" spans="1:17" x14ac:dyDescent="0.3">
      <c r="A567" t="s">
        <v>2247</v>
      </c>
      <c r="B567" t="s">
        <v>2248</v>
      </c>
      <c r="C567" t="s">
        <v>33</v>
      </c>
      <c r="D567" t="s">
        <v>67</v>
      </c>
      <c r="E567" t="s">
        <v>26</v>
      </c>
      <c r="F567" t="s">
        <v>18</v>
      </c>
      <c r="G567" s="1">
        <v>45280</v>
      </c>
      <c r="H567" s="1">
        <v>45422</v>
      </c>
      <c r="I567" t="s">
        <v>2249</v>
      </c>
      <c r="J567" t="s">
        <v>2250</v>
      </c>
      <c r="K567" t="s">
        <v>90</v>
      </c>
      <c r="L567" t="s">
        <v>91</v>
      </c>
      <c r="M567" t="s">
        <v>22</v>
      </c>
      <c r="N567" t="str">
        <f t="shared" si="32"/>
        <v>Clean</v>
      </c>
      <c r="O567" t="str">
        <f t="shared" si="35"/>
        <v/>
      </c>
      <c r="P567" t="str">
        <f t="shared" si="33"/>
        <v>Clean</v>
      </c>
      <c r="Q567" t="str">
        <f t="shared" si="34"/>
        <v>Valid</v>
      </c>
    </row>
    <row r="568" spans="1:17" x14ac:dyDescent="0.3">
      <c r="A568" t="s">
        <v>2251</v>
      </c>
      <c r="B568" t="s">
        <v>2252</v>
      </c>
      <c r="C568" t="s">
        <v>40</v>
      </c>
      <c r="D568" t="s">
        <v>51</v>
      </c>
      <c r="E568" t="s">
        <v>52</v>
      </c>
      <c r="F568" t="s">
        <v>160</v>
      </c>
      <c r="G568" s="1">
        <v>44141</v>
      </c>
      <c r="H568" s="1">
        <v>44347</v>
      </c>
      <c r="I568" t="s">
        <v>2253</v>
      </c>
      <c r="K568" t="s">
        <v>37</v>
      </c>
      <c r="M568" t="s">
        <v>3735</v>
      </c>
      <c r="N568" t="str">
        <f t="shared" si="32"/>
        <v>Flagged</v>
      </c>
      <c r="O568" t="str">
        <f t="shared" si="35"/>
        <v>Missing Account_Code Missing Verified_By</v>
      </c>
      <c r="P568" t="str">
        <f t="shared" si="33"/>
        <v>Flagged for Review</v>
      </c>
      <c r="Q568" t="str">
        <f t="shared" si="34"/>
        <v>Valid</v>
      </c>
    </row>
    <row r="569" spans="1:17" x14ac:dyDescent="0.3">
      <c r="A569" t="s">
        <v>2254</v>
      </c>
      <c r="B569" t="s">
        <v>2255</v>
      </c>
      <c r="C569" t="s">
        <v>15</v>
      </c>
      <c r="D569" t="s">
        <v>77</v>
      </c>
      <c r="E569" t="s">
        <v>52</v>
      </c>
      <c r="F569" t="s">
        <v>151</v>
      </c>
      <c r="G569" s="1">
        <v>45365</v>
      </c>
      <c r="H569" s="1">
        <v>45721</v>
      </c>
      <c r="I569" t="s">
        <v>2256</v>
      </c>
      <c r="J569" t="s">
        <v>2257</v>
      </c>
      <c r="K569" t="s">
        <v>90</v>
      </c>
      <c r="L569" t="s">
        <v>55</v>
      </c>
      <c r="M569" t="s">
        <v>22</v>
      </c>
      <c r="N569" t="str">
        <f t="shared" si="32"/>
        <v>Clean</v>
      </c>
      <c r="O569" t="str">
        <f t="shared" si="35"/>
        <v/>
      </c>
      <c r="P569" t="str">
        <f t="shared" si="33"/>
        <v>Clean</v>
      </c>
      <c r="Q569" t="str">
        <f t="shared" si="34"/>
        <v>Valid</v>
      </c>
    </row>
    <row r="570" spans="1:17" x14ac:dyDescent="0.3">
      <c r="A570" t="s">
        <v>2258</v>
      </c>
      <c r="B570" t="s">
        <v>2259</v>
      </c>
      <c r="C570" t="s">
        <v>40</v>
      </c>
      <c r="D570" t="s">
        <v>67</v>
      </c>
      <c r="E570" t="s">
        <v>26</v>
      </c>
      <c r="F570" t="s">
        <v>18</v>
      </c>
      <c r="G570" s="1">
        <v>43561</v>
      </c>
      <c r="H570" s="1">
        <v>43735</v>
      </c>
      <c r="I570" t="s">
        <v>2260</v>
      </c>
      <c r="J570" t="s">
        <v>2261</v>
      </c>
      <c r="K570" t="s">
        <v>21</v>
      </c>
      <c r="L570" t="s">
        <v>60</v>
      </c>
      <c r="M570" t="s">
        <v>22</v>
      </c>
      <c r="N570" t="str">
        <f t="shared" si="32"/>
        <v>Clean</v>
      </c>
      <c r="O570" t="str">
        <f t="shared" si="35"/>
        <v/>
      </c>
      <c r="P570" t="str">
        <f t="shared" si="33"/>
        <v>Clean</v>
      </c>
      <c r="Q570" t="str">
        <f t="shared" si="34"/>
        <v>Valid</v>
      </c>
    </row>
    <row r="571" spans="1:17" x14ac:dyDescent="0.3">
      <c r="A571" t="s">
        <v>2262</v>
      </c>
      <c r="B571" t="s">
        <v>2263</v>
      </c>
      <c r="C571" t="s">
        <v>33</v>
      </c>
      <c r="D571" t="s">
        <v>16</v>
      </c>
      <c r="E571" t="s">
        <v>17</v>
      </c>
      <c r="F571" t="s">
        <v>151</v>
      </c>
      <c r="G571" s="1">
        <v>44482</v>
      </c>
      <c r="H571" s="1">
        <v>44618</v>
      </c>
      <c r="I571" t="s">
        <v>2264</v>
      </c>
      <c r="J571" t="s">
        <v>347</v>
      </c>
      <c r="K571" t="s">
        <v>21</v>
      </c>
      <c r="L571" t="s">
        <v>60</v>
      </c>
      <c r="M571" t="s">
        <v>22</v>
      </c>
      <c r="N571" t="str">
        <f t="shared" si="32"/>
        <v>Clean</v>
      </c>
      <c r="O571" t="str">
        <f t="shared" si="35"/>
        <v/>
      </c>
      <c r="P571" t="str">
        <f t="shared" si="33"/>
        <v>Clean</v>
      </c>
      <c r="Q571" t="str">
        <f t="shared" si="34"/>
        <v>Valid</v>
      </c>
    </row>
    <row r="572" spans="1:17" x14ac:dyDescent="0.3">
      <c r="A572" t="s">
        <v>2265</v>
      </c>
      <c r="B572" t="s">
        <v>2266</v>
      </c>
      <c r="C572" t="s">
        <v>40</v>
      </c>
      <c r="D572" t="s">
        <v>25</v>
      </c>
      <c r="E572" t="s">
        <v>26</v>
      </c>
      <c r="F572" t="s">
        <v>18</v>
      </c>
      <c r="G572" s="1">
        <v>43645</v>
      </c>
      <c r="H572" s="1">
        <v>43747</v>
      </c>
      <c r="I572" t="s">
        <v>2267</v>
      </c>
      <c r="J572" t="s">
        <v>2268</v>
      </c>
      <c r="K572" t="s">
        <v>29</v>
      </c>
      <c r="L572" t="s">
        <v>91</v>
      </c>
      <c r="M572" t="s">
        <v>22</v>
      </c>
      <c r="N572" t="str">
        <f t="shared" si="32"/>
        <v>Clean</v>
      </c>
      <c r="O572" t="str">
        <f t="shared" si="35"/>
        <v/>
      </c>
      <c r="P572" t="str">
        <f t="shared" si="33"/>
        <v>Clean</v>
      </c>
      <c r="Q572" t="str">
        <f t="shared" si="34"/>
        <v>Valid</v>
      </c>
    </row>
    <row r="573" spans="1:17" x14ac:dyDescent="0.3">
      <c r="A573" t="s">
        <v>2269</v>
      </c>
      <c r="B573" t="s">
        <v>2270</v>
      </c>
      <c r="C573" t="s">
        <v>40</v>
      </c>
      <c r="D573" t="s">
        <v>16</v>
      </c>
      <c r="E573" t="s">
        <v>17</v>
      </c>
      <c r="F573" t="s">
        <v>18</v>
      </c>
      <c r="G573" s="1">
        <v>44246</v>
      </c>
      <c r="H573" s="1">
        <v>44272</v>
      </c>
      <c r="I573" t="s">
        <v>2271</v>
      </c>
      <c r="J573" t="s">
        <v>2272</v>
      </c>
      <c r="K573" t="s">
        <v>90</v>
      </c>
      <c r="L573" t="s">
        <v>60</v>
      </c>
      <c r="M573" t="s">
        <v>22</v>
      </c>
      <c r="N573" t="str">
        <f t="shared" si="32"/>
        <v>Clean</v>
      </c>
      <c r="O573" t="str">
        <f t="shared" si="35"/>
        <v/>
      </c>
      <c r="P573" t="str">
        <f t="shared" si="33"/>
        <v>Clean</v>
      </c>
      <c r="Q573" t="str">
        <f t="shared" si="34"/>
        <v>Valid</v>
      </c>
    </row>
    <row r="574" spans="1:17" x14ac:dyDescent="0.3">
      <c r="A574" t="s">
        <v>2273</v>
      </c>
      <c r="B574" t="s">
        <v>2274</v>
      </c>
      <c r="C574" t="s">
        <v>76</v>
      </c>
      <c r="D574" t="s">
        <v>77</v>
      </c>
      <c r="E574" t="s">
        <v>52</v>
      </c>
      <c r="F574" t="s">
        <v>18</v>
      </c>
      <c r="G574" s="1">
        <v>43900</v>
      </c>
      <c r="H574" s="1">
        <v>44065</v>
      </c>
      <c r="I574" t="s">
        <v>2275</v>
      </c>
      <c r="J574" t="s">
        <v>2276</v>
      </c>
      <c r="K574" t="s">
        <v>90</v>
      </c>
      <c r="L574" t="s">
        <v>30</v>
      </c>
      <c r="M574" t="s">
        <v>22</v>
      </c>
      <c r="N574" t="str">
        <f t="shared" si="32"/>
        <v>Clean</v>
      </c>
      <c r="O574" t="str">
        <f t="shared" si="35"/>
        <v/>
      </c>
      <c r="P574" t="str">
        <f t="shared" si="33"/>
        <v>Clean</v>
      </c>
      <c r="Q574" t="str">
        <f t="shared" si="34"/>
        <v>Valid</v>
      </c>
    </row>
    <row r="575" spans="1:17" x14ac:dyDescent="0.3">
      <c r="A575" t="s">
        <v>2277</v>
      </c>
      <c r="B575" t="s">
        <v>2278</v>
      </c>
      <c r="C575" t="s">
        <v>15</v>
      </c>
      <c r="D575" t="s">
        <v>51</v>
      </c>
      <c r="E575" t="s">
        <v>52</v>
      </c>
      <c r="F575" t="s">
        <v>18</v>
      </c>
      <c r="G575" s="1">
        <v>44562</v>
      </c>
      <c r="H575" s="1">
        <v>44756</v>
      </c>
      <c r="I575" t="s">
        <v>2279</v>
      </c>
      <c r="J575" t="s">
        <v>2280</v>
      </c>
      <c r="K575" t="s">
        <v>90</v>
      </c>
      <c r="L575" t="s">
        <v>91</v>
      </c>
      <c r="M575" t="s">
        <v>22</v>
      </c>
      <c r="N575" t="str">
        <f t="shared" si="32"/>
        <v>Clean</v>
      </c>
      <c r="O575" t="str">
        <f t="shared" si="35"/>
        <v/>
      </c>
      <c r="P575" t="str">
        <f t="shared" si="33"/>
        <v>Clean</v>
      </c>
      <c r="Q575" t="str">
        <f t="shared" si="34"/>
        <v>Valid</v>
      </c>
    </row>
    <row r="576" spans="1:17" x14ac:dyDescent="0.3">
      <c r="A576" t="s">
        <v>2281</v>
      </c>
      <c r="B576" t="s">
        <v>2282</v>
      </c>
      <c r="C576" t="s">
        <v>181</v>
      </c>
      <c r="D576" t="s">
        <v>25</v>
      </c>
      <c r="E576" t="s">
        <v>26</v>
      </c>
      <c r="F576" t="s">
        <v>18</v>
      </c>
      <c r="G576" s="1">
        <v>45527</v>
      </c>
      <c r="H576" s="1">
        <v>45640</v>
      </c>
      <c r="I576" t="s">
        <v>2283</v>
      </c>
      <c r="J576" t="s">
        <v>2284</v>
      </c>
      <c r="K576" t="s">
        <v>90</v>
      </c>
      <c r="L576" t="s">
        <v>30</v>
      </c>
      <c r="M576" t="s">
        <v>22</v>
      </c>
      <c r="N576" t="str">
        <f t="shared" si="32"/>
        <v>Clean</v>
      </c>
      <c r="O576" t="str">
        <f t="shared" si="35"/>
        <v/>
      </c>
      <c r="P576" t="str">
        <f t="shared" si="33"/>
        <v>Clean</v>
      </c>
      <c r="Q576" t="str">
        <f t="shared" si="34"/>
        <v>Valid</v>
      </c>
    </row>
    <row r="577" spans="1:17" x14ac:dyDescent="0.3">
      <c r="A577" t="s">
        <v>2285</v>
      </c>
      <c r="B577" t="s">
        <v>2286</v>
      </c>
      <c r="C577" t="s">
        <v>40</v>
      </c>
      <c r="D577" t="s">
        <v>67</v>
      </c>
      <c r="E577" t="s">
        <v>26</v>
      </c>
      <c r="F577" t="s">
        <v>18</v>
      </c>
      <c r="G577" s="1">
        <v>44998</v>
      </c>
      <c r="H577" s="1">
        <v>45128</v>
      </c>
      <c r="I577" t="s">
        <v>2287</v>
      </c>
      <c r="J577" t="s">
        <v>877</v>
      </c>
      <c r="K577" t="s">
        <v>37</v>
      </c>
      <c r="L577" t="s">
        <v>60</v>
      </c>
      <c r="M577" t="s">
        <v>22</v>
      </c>
      <c r="N577" t="str">
        <f t="shared" si="32"/>
        <v>Clean</v>
      </c>
      <c r="O577" t="str">
        <f t="shared" si="35"/>
        <v/>
      </c>
      <c r="P577" t="str">
        <f t="shared" si="33"/>
        <v>Clean</v>
      </c>
      <c r="Q577" t="str">
        <f t="shared" si="34"/>
        <v>Valid</v>
      </c>
    </row>
    <row r="578" spans="1:17" x14ac:dyDescent="0.3">
      <c r="A578" t="s">
        <v>2288</v>
      </c>
      <c r="B578" t="s">
        <v>2289</v>
      </c>
      <c r="C578" t="s">
        <v>87</v>
      </c>
      <c r="D578" t="s">
        <v>67</v>
      </c>
      <c r="E578" t="s">
        <v>26</v>
      </c>
      <c r="F578" t="s">
        <v>18</v>
      </c>
      <c r="G578" s="1">
        <v>44836</v>
      </c>
      <c r="H578" s="1">
        <v>44869</v>
      </c>
      <c r="I578" t="s">
        <v>2290</v>
      </c>
      <c r="J578" t="s">
        <v>2291</v>
      </c>
      <c r="K578" t="s">
        <v>21</v>
      </c>
      <c r="L578" t="s">
        <v>116</v>
      </c>
      <c r="M578" t="s">
        <v>22</v>
      </c>
      <c r="N578" t="str">
        <f t="shared" ref="N578:N641" si="36">IF(OR(B578="",H578="",I578="",J578="",L578="",Q578="Invalid"),"Flagged","Clean")</f>
        <v>Clean</v>
      </c>
      <c r="O578" t="str">
        <f t="shared" si="35"/>
        <v/>
      </c>
      <c r="P578" t="str">
        <f t="shared" ref="P578:P641" si="37">IF(N578="Clean","Clean","Flagged for Review")</f>
        <v>Clean</v>
      </c>
      <c r="Q578" t="str">
        <f t="shared" ref="Q578:Q641" si="38">IF(I578="","Blank",IF(ISERROR(FIND("@",I578&amp;"")),"Invalid",IF(FIND("@",I578&amp;"")&lt;2,"Invalid",IF(LEN(I578&amp;"")-FIND("@",I578&amp;"")&lt;4,"Invalid","Valid"))))</f>
        <v>Valid</v>
      </c>
    </row>
    <row r="579" spans="1:17" x14ac:dyDescent="0.3">
      <c r="A579" t="s">
        <v>2292</v>
      </c>
      <c r="B579" t="s">
        <v>2293</v>
      </c>
      <c r="C579" t="s">
        <v>181</v>
      </c>
      <c r="D579" t="s">
        <v>77</v>
      </c>
      <c r="E579" t="s">
        <v>52</v>
      </c>
      <c r="F579" t="s">
        <v>18</v>
      </c>
      <c r="G579" s="1">
        <v>45058</v>
      </c>
      <c r="H579" s="1">
        <v>45060</v>
      </c>
      <c r="I579" t="s">
        <v>2294</v>
      </c>
      <c r="J579" t="s">
        <v>2295</v>
      </c>
      <c r="K579" t="s">
        <v>29</v>
      </c>
      <c r="M579" t="s">
        <v>3735</v>
      </c>
      <c r="N579" t="str">
        <f t="shared" si="36"/>
        <v>Flagged</v>
      </c>
      <c r="O579" t="str">
        <f t="shared" ref="O579:O642" si="39">TRIM(IF(B579="","Missing Vendor_Name ","")&amp;IF(I579="","Missing Contact_Email ","")&amp;IF(J579="","Missing Account_Code ","")&amp;IF(L579="","Missing Verified_By ","")&amp;IF(Q579="Invalid","Invalid Email Format ","")&amp;IF(H579="","Missing Last_Updated ",""))</f>
        <v>Missing Verified_By</v>
      </c>
      <c r="P579" t="str">
        <f t="shared" si="37"/>
        <v>Flagged for Review</v>
      </c>
      <c r="Q579" t="str">
        <f t="shared" si="38"/>
        <v>Valid</v>
      </c>
    </row>
    <row r="580" spans="1:17" x14ac:dyDescent="0.3">
      <c r="A580" t="s">
        <v>2296</v>
      </c>
      <c r="B580" t="s">
        <v>2297</v>
      </c>
      <c r="C580" t="s">
        <v>87</v>
      </c>
      <c r="D580" t="s">
        <v>16</v>
      </c>
      <c r="E580" t="s">
        <v>17</v>
      </c>
      <c r="F580" t="s">
        <v>18</v>
      </c>
      <c r="G580" s="1">
        <v>43751</v>
      </c>
      <c r="H580" s="1">
        <v>43794</v>
      </c>
      <c r="I580" t="s">
        <v>2298</v>
      </c>
      <c r="J580" t="s">
        <v>2299</v>
      </c>
      <c r="K580" t="s">
        <v>21</v>
      </c>
      <c r="L580" t="s">
        <v>55</v>
      </c>
      <c r="M580" t="s">
        <v>22</v>
      </c>
      <c r="N580" t="str">
        <f t="shared" si="36"/>
        <v>Clean</v>
      </c>
      <c r="O580" t="str">
        <f t="shared" si="39"/>
        <v/>
      </c>
      <c r="P580" t="str">
        <f t="shared" si="37"/>
        <v>Clean</v>
      </c>
      <c r="Q580" t="str">
        <f t="shared" si="38"/>
        <v>Valid</v>
      </c>
    </row>
    <row r="581" spans="1:17" x14ac:dyDescent="0.3">
      <c r="A581" t="s">
        <v>2300</v>
      </c>
      <c r="B581" t="s">
        <v>2301</v>
      </c>
      <c r="C581" t="s">
        <v>33</v>
      </c>
      <c r="D581" t="s">
        <v>25</v>
      </c>
      <c r="E581" t="s">
        <v>26</v>
      </c>
      <c r="F581" t="s">
        <v>18</v>
      </c>
      <c r="G581" s="1">
        <v>43667</v>
      </c>
      <c r="H581" s="1">
        <v>43947</v>
      </c>
      <c r="I581" t="s">
        <v>2302</v>
      </c>
      <c r="J581" t="s">
        <v>2303</v>
      </c>
      <c r="K581" t="s">
        <v>90</v>
      </c>
      <c r="L581" t="s">
        <v>30</v>
      </c>
      <c r="M581" t="s">
        <v>22</v>
      </c>
      <c r="N581" t="str">
        <f t="shared" si="36"/>
        <v>Clean</v>
      </c>
      <c r="O581" t="str">
        <f t="shared" si="39"/>
        <v/>
      </c>
      <c r="P581" t="str">
        <f t="shared" si="37"/>
        <v>Clean</v>
      </c>
      <c r="Q581" t="str">
        <f t="shared" si="38"/>
        <v>Valid</v>
      </c>
    </row>
    <row r="582" spans="1:17" x14ac:dyDescent="0.3">
      <c r="A582" t="s">
        <v>2304</v>
      </c>
      <c r="B582" t="s">
        <v>2305</v>
      </c>
      <c r="C582" t="s">
        <v>40</v>
      </c>
      <c r="D582" t="s">
        <v>34</v>
      </c>
      <c r="E582" t="s">
        <v>26</v>
      </c>
      <c r="F582" t="s">
        <v>160</v>
      </c>
      <c r="G582" s="1">
        <v>44037</v>
      </c>
      <c r="H582" s="1">
        <v>44337</v>
      </c>
      <c r="I582" t="s">
        <v>2306</v>
      </c>
      <c r="J582" t="s">
        <v>2307</v>
      </c>
      <c r="K582" t="s">
        <v>37</v>
      </c>
      <c r="L582" t="s">
        <v>55</v>
      </c>
      <c r="M582" t="s">
        <v>22</v>
      </c>
      <c r="N582" t="str">
        <f t="shared" si="36"/>
        <v>Clean</v>
      </c>
      <c r="O582" t="str">
        <f t="shared" si="39"/>
        <v/>
      </c>
      <c r="P582" t="str">
        <f t="shared" si="37"/>
        <v>Clean</v>
      </c>
      <c r="Q582" t="str">
        <f t="shared" si="38"/>
        <v>Valid</v>
      </c>
    </row>
    <row r="583" spans="1:17" x14ac:dyDescent="0.3">
      <c r="A583" t="s">
        <v>2308</v>
      </c>
      <c r="B583" t="s">
        <v>2309</v>
      </c>
      <c r="C583" t="s">
        <v>40</v>
      </c>
      <c r="D583" t="s">
        <v>25</v>
      </c>
      <c r="E583" t="s">
        <v>26</v>
      </c>
      <c r="F583" t="s">
        <v>18</v>
      </c>
      <c r="G583" s="1">
        <v>43728</v>
      </c>
      <c r="H583" s="1">
        <v>43901</v>
      </c>
      <c r="I583" t="s">
        <v>2310</v>
      </c>
      <c r="J583" t="s">
        <v>2311</v>
      </c>
      <c r="K583" t="s">
        <v>37</v>
      </c>
      <c r="L583" t="s">
        <v>60</v>
      </c>
      <c r="M583" t="s">
        <v>22</v>
      </c>
      <c r="N583" t="str">
        <f t="shared" si="36"/>
        <v>Clean</v>
      </c>
      <c r="O583" t="str">
        <f t="shared" si="39"/>
        <v/>
      </c>
      <c r="P583" t="str">
        <f t="shared" si="37"/>
        <v>Clean</v>
      </c>
      <c r="Q583" t="str">
        <f t="shared" si="38"/>
        <v>Valid</v>
      </c>
    </row>
    <row r="584" spans="1:17" x14ac:dyDescent="0.3">
      <c r="A584" t="s">
        <v>2312</v>
      </c>
      <c r="B584" t="s">
        <v>2313</v>
      </c>
      <c r="C584" t="s">
        <v>46</v>
      </c>
      <c r="D584" t="s">
        <v>34</v>
      </c>
      <c r="E584" t="s">
        <v>26</v>
      </c>
      <c r="F584" t="s">
        <v>18</v>
      </c>
      <c r="G584" s="1">
        <v>45301</v>
      </c>
      <c r="H584" s="1">
        <v>44992</v>
      </c>
      <c r="I584" t="s">
        <v>2314</v>
      </c>
      <c r="J584" t="s">
        <v>2315</v>
      </c>
      <c r="K584" t="s">
        <v>29</v>
      </c>
      <c r="L584" t="s">
        <v>30</v>
      </c>
      <c r="M584" t="s">
        <v>22</v>
      </c>
      <c r="N584" t="str">
        <f t="shared" si="36"/>
        <v>Clean</v>
      </c>
      <c r="O584" t="str">
        <f t="shared" si="39"/>
        <v/>
      </c>
      <c r="P584" t="str">
        <f t="shared" si="37"/>
        <v>Clean</v>
      </c>
      <c r="Q584" t="str">
        <f t="shared" si="38"/>
        <v>Valid</v>
      </c>
    </row>
    <row r="585" spans="1:17" x14ac:dyDescent="0.3">
      <c r="A585" t="s">
        <v>2316</v>
      </c>
      <c r="B585" t="s">
        <v>2317</v>
      </c>
      <c r="C585" t="s">
        <v>15</v>
      </c>
      <c r="D585" t="s">
        <v>41</v>
      </c>
      <c r="E585" t="s">
        <v>17</v>
      </c>
      <c r="F585" t="s">
        <v>18</v>
      </c>
      <c r="G585" s="1">
        <v>45066</v>
      </c>
      <c r="H585" s="1">
        <v>45366</v>
      </c>
      <c r="I585" t="s">
        <v>2318</v>
      </c>
      <c r="J585" t="s">
        <v>2319</v>
      </c>
      <c r="K585" t="s">
        <v>21</v>
      </c>
      <c r="M585" t="s">
        <v>3735</v>
      </c>
      <c r="N585" t="str">
        <f t="shared" si="36"/>
        <v>Flagged</v>
      </c>
      <c r="O585" t="str">
        <f t="shared" si="39"/>
        <v>Missing Verified_By</v>
      </c>
      <c r="P585" t="str">
        <f t="shared" si="37"/>
        <v>Flagged for Review</v>
      </c>
      <c r="Q585" t="str">
        <f t="shared" si="38"/>
        <v>Valid</v>
      </c>
    </row>
    <row r="586" spans="1:17" x14ac:dyDescent="0.3">
      <c r="A586" t="s">
        <v>2320</v>
      </c>
      <c r="B586" t="s">
        <v>2321</v>
      </c>
      <c r="C586" t="s">
        <v>87</v>
      </c>
      <c r="D586" t="s">
        <v>34</v>
      </c>
      <c r="E586" t="s">
        <v>26</v>
      </c>
      <c r="F586" t="s">
        <v>151</v>
      </c>
      <c r="G586" s="1">
        <v>45445</v>
      </c>
      <c r="H586" s="1">
        <v>45782</v>
      </c>
      <c r="I586" t="s">
        <v>2322</v>
      </c>
      <c r="J586" t="s">
        <v>2323</v>
      </c>
      <c r="K586" t="s">
        <v>90</v>
      </c>
      <c r="L586" t="s">
        <v>91</v>
      </c>
      <c r="M586" t="s">
        <v>22</v>
      </c>
      <c r="N586" t="str">
        <f t="shared" si="36"/>
        <v>Clean</v>
      </c>
      <c r="O586" t="str">
        <f t="shared" si="39"/>
        <v/>
      </c>
      <c r="P586" t="str">
        <f t="shared" si="37"/>
        <v>Clean</v>
      </c>
      <c r="Q586" t="str">
        <f t="shared" si="38"/>
        <v>Valid</v>
      </c>
    </row>
    <row r="587" spans="1:17" x14ac:dyDescent="0.3">
      <c r="A587" t="s">
        <v>2324</v>
      </c>
      <c r="B587" t="s">
        <v>2325</v>
      </c>
      <c r="C587" t="s">
        <v>181</v>
      </c>
      <c r="D587" t="s">
        <v>51</v>
      </c>
      <c r="E587" t="s">
        <v>52</v>
      </c>
      <c r="F587" t="s">
        <v>18</v>
      </c>
      <c r="G587" s="1">
        <v>43752</v>
      </c>
      <c r="H587" s="1">
        <v>43984</v>
      </c>
      <c r="I587" t="s">
        <v>2326</v>
      </c>
      <c r="J587" t="s">
        <v>2327</v>
      </c>
      <c r="K587" t="s">
        <v>90</v>
      </c>
      <c r="L587" t="s">
        <v>55</v>
      </c>
      <c r="M587" t="s">
        <v>22</v>
      </c>
      <c r="N587" t="str">
        <f t="shared" si="36"/>
        <v>Clean</v>
      </c>
      <c r="O587" t="str">
        <f t="shared" si="39"/>
        <v/>
      </c>
      <c r="P587" t="str">
        <f t="shared" si="37"/>
        <v>Clean</v>
      </c>
      <c r="Q587" t="str">
        <f t="shared" si="38"/>
        <v>Valid</v>
      </c>
    </row>
    <row r="588" spans="1:17" x14ac:dyDescent="0.3">
      <c r="A588" t="s">
        <v>2328</v>
      </c>
      <c r="B588" t="s">
        <v>2329</v>
      </c>
      <c r="C588" t="s">
        <v>181</v>
      </c>
      <c r="D588" t="s">
        <v>77</v>
      </c>
      <c r="E588" t="s">
        <v>52</v>
      </c>
      <c r="F588" t="s">
        <v>18</v>
      </c>
      <c r="G588" s="1">
        <v>44492</v>
      </c>
      <c r="H588" s="1">
        <v>44550</v>
      </c>
      <c r="I588" t="s">
        <v>2330</v>
      </c>
      <c r="J588" t="s">
        <v>2331</v>
      </c>
      <c r="K588" t="s">
        <v>21</v>
      </c>
      <c r="L588" t="s">
        <v>30</v>
      </c>
      <c r="M588" t="s">
        <v>22</v>
      </c>
      <c r="N588" t="str">
        <f t="shared" si="36"/>
        <v>Clean</v>
      </c>
      <c r="O588" t="str">
        <f t="shared" si="39"/>
        <v/>
      </c>
      <c r="P588" t="str">
        <f t="shared" si="37"/>
        <v>Clean</v>
      </c>
      <c r="Q588" t="str">
        <f t="shared" si="38"/>
        <v>Valid</v>
      </c>
    </row>
    <row r="589" spans="1:17" x14ac:dyDescent="0.3">
      <c r="A589" t="s">
        <v>2332</v>
      </c>
      <c r="B589" t="s">
        <v>2333</v>
      </c>
      <c r="C589" t="s">
        <v>76</v>
      </c>
      <c r="D589" t="s">
        <v>77</v>
      </c>
      <c r="E589" t="s">
        <v>52</v>
      </c>
      <c r="F589" t="s">
        <v>18</v>
      </c>
      <c r="G589" s="1">
        <v>45585</v>
      </c>
      <c r="H589" s="1">
        <v>45761</v>
      </c>
      <c r="I589" t="s">
        <v>2334</v>
      </c>
      <c r="J589" t="s">
        <v>2335</v>
      </c>
      <c r="K589" t="s">
        <v>37</v>
      </c>
      <c r="L589" t="s">
        <v>30</v>
      </c>
      <c r="M589" t="s">
        <v>22</v>
      </c>
      <c r="N589" t="str">
        <f t="shared" si="36"/>
        <v>Clean</v>
      </c>
      <c r="O589" t="str">
        <f t="shared" si="39"/>
        <v/>
      </c>
      <c r="P589" t="str">
        <f t="shared" si="37"/>
        <v>Clean</v>
      </c>
      <c r="Q589" t="str">
        <f t="shared" si="38"/>
        <v>Valid</v>
      </c>
    </row>
    <row r="590" spans="1:17" x14ac:dyDescent="0.3">
      <c r="A590" t="s">
        <v>2336</v>
      </c>
      <c r="B590" t="s">
        <v>1617</v>
      </c>
      <c r="C590" t="s">
        <v>40</v>
      </c>
      <c r="D590" t="s">
        <v>25</v>
      </c>
      <c r="E590" t="s">
        <v>26</v>
      </c>
      <c r="F590" t="s">
        <v>18</v>
      </c>
      <c r="G590" s="1">
        <v>44809</v>
      </c>
      <c r="H590" s="1">
        <v>45121</v>
      </c>
      <c r="I590" t="s">
        <v>2337</v>
      </c>
      <c r="J590" t="s">
        <v>2338</v>
      </c>
      <c r="K590" t="s">
        <v>21</v>
      </c>
      <c r="M590" t="s">
        <v>3735</v>
      </c>
      <c r="N590" t="str">
        <f t="shared" si="36"/>
        <v>Flagged</v>
      </c>
      <c r="O590" t="str">
        <f t="shared" si="39"/>
        <v>Missing Verified_By</v>
      </c>
      <c r="P590" t="str">
        <f t="shared" si="37"/>
        <v>Flagged for Review</v>
      </c>
      <c r="Q590" t="str">
        <f t="shared" si="38"/>
        <v>Valid</v>
      </c>
    </row>
    <row r="591" spans="1:17" x14ac:dyDescent="0.3">
      <c r="A591" t="s">
        <v>2339</v>
      </c>
      <c r="B591" t="s">
        <v>2340</v>
      </c>
      <c r="C591" t="s">
        <v>181</v>
      </c>
      <c r="D591" t="s">
        <v>16</v>
      </c>
      <c r="E591" t="s">
        <v>17</v>
      </c>
      <c r="F591" t="s">
        <v>18</v>
      </c>
      <c r="G591" s="1">
        <v>44688</v>
      </c>
      <c r="H591" s="1">
        <v>44857</v>
      </c>
      <c r="I591" t="s">
        <v>2341</v>
      </c>
      <c r="J591" t="s">
        <v>2342</v>
      </c>
      <c r="K591" t="s">
        <v>90</v>
      </c>
      <c r="L591" t="s">
        <v>30</v>
      </c>
      <c r="M591" t="s">
        <v>22</v>
      </c>
      <c r="N591" t="str">
        <f t="shared" si="36"/>
        <v>Clean</v>
      </c>
      <c r="O591" t="str">
        <f t="shared" si="39"/>
        <v/>
      </c>
      <c r="P591" t="str">
        <f t="shared" si="37"/>
        <v>Clean</v>
      </c>
      <c r="Q591" t="str">
        <f t="shared" si="38"/>
        <v>Valid</v>
      </c>
    </row>
    <row r="592" spans="1:17" x14ac:dyDescent="0.3">
      <c r="A592" t="s">
        <v>2343</v>
      </c>
      <c r="B592" t="s">
        <v>2344</v>
      </c>
      <c r="C592" t="s">
        <v>40</v>
      </c>
      <c r="D592" t="s">
        <v>25</v>
      </c>
      <c r="E592" t="s">
        <v>26</v>
      </c>
      <c r="F592" t="s">
        <v>160</v>
      </c>
      <c r="G592" s="1">
        <v>44910</v>
      </c>
      <c r="H592" s="1">
        <v>45224</v>
      </c>
      <c r="I592" t="s">
        <v>2345</v>
      </c>
      <c r="J592" t="s">
        <v>2346</v>
      </c>
      <c r="K592" t="s">
        <v>90</v>
      </c>
      <c r="L592" t="s">
        <v>60</v>
      </c>
      <c r="M592" t="s">
        <v>22</v>
      </c>
      <c r="N592" t="str">
        <f t="shared" si="36"/>
        <v>Clean</v>
      </c>
      <c r="O592" t="str">
        <f t="shared" si="39"/>
        <v/>
      </c>
      <c r="P592" t="str">
        <f t="shared" si="37"/>
        <v>Clean</v>
      </c>
      <c r="Q592" t="str">
        <f t="shared" si="38"/>
        <v>Valid</v>
      </c>
    </row>
    <row r="593" spans="1:17" x14ac:dyDescent="0.3">
      <c r="A593" t="s">
        <v>2347</v>
      </c>
      <c r="B593" t="s">
        <v>2348</v>
      </c>
      <c r="C593" t="s">
        <v>33</v>
      </c>
      <c r="D593" t="s">
        <v>34</v>
      </c>
      <c r="E593" t="s">
        <v>26</v>
      </c>
      <c r="F593" t="s">
        <v>18</v>
      </c>
      <c r="G593" s="1">
        <v>44561</v>
      </c>
      <c r="H593" s="1">
        <v>44824</v>
      </c>
      <c r="I593" t="s">
        <v>2349</v>
      </c>
      <c r="J593" t="s">
        <v>2350</v>
      </c>
      <c r="K593" t="s">
        <v>21</v>
      </c>
      <c r="L593" t="s">
        <v>60</v>
      </c>
      <c r="M593" t="s">
        <v>22</v>
      </c>
      <c r="N593" t="str">
        <f t="shared" si="36"/>
        <v>Clean</v>
      </c>
      <c r="O593" t="str">
        <f t="shared" si="39"/>
        <v/>
      </c>
      <c r="P593" t="str">
        <f t="shared" si="37"/>
        <v>Clean</v>
      </c>
      <c r="Q593" t="str">
        <f t="shared" si="38"/>
        <v>Valid</v>
      </c>
    </row>
    <row r="594" spans="1:17" x14ac:dyDescent="0.3">
      <c r="A594" t="s">
        <v>2351</v>
      </c>
      <c r="B594" t="s">
        <v>2352</v>
      </c>
      <c r="C594" t="s">
        <v>76</v>
      </c>
      <c r="D594" t="s">
        <v>67</v>
      </c>
      <c r="E594" t="s">
        <v>26</v>
      </c>
      <c r="F594" t="s">
        <v>18</v>
      </c>
      <c r="G594" s="1">
        <v>44966</v>
      </c>
      <c r="H594" s="1">
        <v>45144</v>
      </c>
      <c r="I594" t="s">
        <v>2353</v>
      </c>
      <c r="J594" t="s">
        <v>2354</v>
      </c>
      <c r="K594" t="s">
        <v>29</v>
      </c>
      <c r="L594" t="s">
        <v>30</v>
      </c>
      <c r="M594" t="s">
        <v>22</v>
      </c>
      <c r="N594" t="str">
        <f t="shared" si="36"/>
        <v>Clean</v>
      </c>
      <c r="O594" t="str">
        <f t="shared" si="39"/>
        <v/>
      </c>
      <c r="P594" t="str">
        <f t="shared" si="37"/>
        <v>Clean</v>
      </c>
      <c r="Q594" t="str">
        <f t="shared" si="38"/>
        <v>Valid</v>
      </c>
    </row>
    <row r="595" spans="1:17" x14ac:dyDescent="0.3">
      <c r="A595" t="s">
        <v>2355</v>
      </c>
      <c r="B595" t="s">
        <v>2356</v>
      </c>
      <c r="C595" t="s">
        <v>40</v>
      </c>
      <c r="D595" t="s">
        <v>77</v>
      </c>
      <c r="E595" t="s">
        <v>52</v>
      </c>
      <c r="F595" t="s">
        <v>18</v>
      </c>
      <c r="G595" s="1">
        <v>43919</v>
      </c>
      <c r="H595" s="1">
        <v>43985</v>
      </c>
      <c r="I595" t="s">
        <v>2357</v>
      </c>
      <c r="J595" t="s">
        <v>2358</v>
      </c>
      <c r="K595" t="s">
        <v>21</v>
      </c>
      <c r="M595" t="s">
        <v>3735</v>
      </c>
      <c r="N595" t="str">
        <f t="shared" si="36"/>
        <v>Flagged</v>
      </c>
      <c r="O595" t="str">
        <f t="shared" si="39"/>
        <v>Missing Verified_By</v>
      </c>
      <c r="P595" t="str">
        <f t="shared" si="37"/>
        <v>Flagged for Review</v>
      </c>
      <c r="Q595" t="str">
        <f t="shared" si="38"/>
        <v>Valid</v>
      </c>
    </row>
    <row r="596" spans="1:17" x14ac:dyDescent="0.3">
      <c r="A596" t="s">
        <v>2359</v>
      </c>
      <c r="B596" t="s">
        <v>2360</v>
      </c>
      <c r="C596" t="s">
        <v>87</v>
      </c>
      <c r="D596" t="s">
        <v>16</v>
      </c>
      <c r="E596" t="s">
        <v>17</v>
      </c>
      <c r="F596" t="s">
        <v>18</v>
      </c>
      <c r="G596" s="1">
        <v>44663</v>
      </c>
      <c r="H596" s="1">
        <v>44894</v>
      </c>
      <c r="I596" t="s">
        <v>2361</v>
      </c>
      <c r="J596" t="s">
        <v>2362</v>
      </c>
      <c r="K596" t="s">
        <v>90</v>
      </c>
      <c r="L596" t="s">
        <v>55</v>
      </c>
      <c r="M596" t="s">
        <v>22</v>
      </c>
      <c r="N596" t="str">
        <f t="shared" si="36"/>
        <v>Clean</v>
      </c>
      <c r="O596" t="str">
        <f t="shared" si="39"/>
        <v/>
      </c>
      <c r="P596" t="str">
        <f t="shared" si="37"/>
        <v>Clean</v>
      </c>
      <c r="Q596" t="str">
        <f t="shared" si="38"/>
        <v>Valid</v>
      </c>
    </row>
    <row r="597" spans="1:17" x14ac:dyDescent="0.3">
      <c r="A597" t="s">
        <v>2363</v>
      </c>
      <c r="B597" t="s">
        <v>2364</v>
      </c>
      <c r="C597" t="s">
        <v>76</v>
      </c>
      <c r="D597" t="s">
        <v>34</v>
      </c>
      <c r="E597" t="s">
        <v>26</v>
      </c>
      <c r="F597" t="s">
        <v>18</v>
      </c>
      <c r="G597" s="1">
        <v>44086</v>
      </c>
      <c r="H597" s="1">
        <v>44444</v>
      </c>
      <c r="I597" t="s">
        <v>2365</v>
      </c>
      <c r="J597" t="s">
        <v>2366</v>
      </c>
      <c r="K597" t="s">
        <v>90</v>
      </c>
      <c r="L597" t="s">
        <v>91</v>
      </c>
      <c r="M597" t="s">
        <v>22</v>
      </c>
      <c r="N597" t="str">
        <f t="shared" si="36"/>
        <v>Clean</v>
      </c>
      <c r="O597" t="str">
        <f t="shared" si="39"/>
        <v/>
      </c>
      <c r="P597" t="str">
        <f t="shared" si="37"/>
        <v>Clean</v>
      </c>
      <c r="Q597" t="str">
        <f t="shared" si="38"/>
        <v>Valid</v>
      </c>
    </row>
    <row r="598" spans="1:17" x14ac:dyDescent="0.3">
      <c r="A598" t="s">
        <v>2367</v>
      </c>
      <c r="B598" t="s">
        <v>2368</v>
      </c>
      <c r="C598" t="s">
        <v>40</v>
      </c>
      <c r="D598" t="s">
        <v>67</v>
      </c>
      <c r="E598" t="s">
        <v>26</v>
      </c>
      <c r="F598" t="s">
        <v>18</v>
      </c>
      <c r="G598" s="1">
        <v>43603</v>
      </c>
      <c r="H598" s="1">
        <v>43622</v>
      </c>
      <c r="I598" t="s">
        <v>2369</v>
      </c>
      <c r="J598" t="s">
        <v>2370</v>
      </c>
      <c r="K598" t="s">
        <v>29</v>
      </c>
      <c r="L598" t="s">
        <v>60</v>
      </c>
      <c r="M598" t="s">
        <v>22</v>
      </c>
      <c r="N598" t="str">
        <f t="shared" si="36"/>
        <v>Clean</v>
      </c>
      <c r="O598" t="str">
        <f t="shared" si="39"/>
        <v/>
      </c>
      <c r="P598" t="str">
        <f t="shared" si="37"/>
        <v>Clean</v>
      </c>
      <c r="Q598" t="str">
        <f t="shared" si="38"/>
        <v>Valid</v>
      </c>
    </row>
    <row r="599" spans="1:17" x14ac:dyDescent="0.3">
      <c r="A599" t="s">
        <v>2371</v>
      </c>
      <c r="B599" t="s">
        <v>2372</v>
      </c>
      <c r="C599" t="s">
        <v>76</v>
      </c>
      <c r="D599" t="s">
        <v>41</v>
      </c>
      <c r="E599" t="s">
        <v>17</v>
      </c>
      <c r="F599" t="s">
        <v>160</v>
      </c>
      <c r="G599" s="1">
        <v>45417</v>
      </c>
      <c r="H599" s="1">
        <v>45739</v>
      </c>
      <c r="I599" t="s">
        <v>2373</v>
      </c>
      <c r="K599" t="s">
        <v>29</v>
      </c>
      <c r="L599" t="s">
        <v>116</v>
      </c>
      <c r="M599" t="s">
        <v>3735</v>
      </c>
      <c r="N599" t="str">
        <f t="shared" si="36"/>
        <v>Flagged</v>
      </c>
      <c r="O599" t="str">
        <f t="shared" si="39"/>
        <v>Missing Account_Code</v>
      </c>
      <c r="P599" t="str">
        <f t="shared" si="37"/>
        <v>Flagged for Review</v>
      </c>
      <c r="Q599" t="str">
        <f t="shared" si="38"/>
        <v>Valid</v>
      </c>
    </row>
    <row r="600" spans="1:17" x14ac:dyDescent="0.3">
      <c r="A600" t="s">
        <v>2374</v>
      </c>
      <c r="B600" t="s">
        <v>3721</v>
      </c>
      <c r="C600" t="s">
        <v>33</v>
      </c>
      <c r="D600" t="s">
        <v>67</v>
      </c>
      <c r="E600" t="s">
        <v>26</v>
      </c>
      <c r="F600" t="s">
        <v>18</v>
      </c>
      <c r="G600" s="1">
        <v>45188</v>
      </c>
      <c r="H600" s="1">
        <v>45528</v>
      </c>
      <c r="I600" t="s">
        <v>2375</v>
      </c>
      <c r="J600" t="s">
        <v>2376</v>
      </c>
      <c r="K600" t="s">
        <v>29</v>
      </c>
      <c r="L600" t="s">
        <v>30</v>
      </c>
      <c r="M600" t="s">
        <v>3735</v>
      </c>
      <c r="N600" t="str">
        <f t="shared" si="36"/>
        <v>Flagged</v>
      </c>
      <c r="O600" t="str">
        <f t="shared" si="39"/>
        <v>Missing Vendor_Name</v>
      </c>
      <c r="P600" t="str">
        <f t="shared" si="37"/>
        <v>Flagged for Review</v>
      </c>
      <c r="Q600" t="str">
        <f t="shared" si="38"/>
        <v>Valid</v>
      </c>
    </row>
    <row r="601" spans="1:17" x14ac:dyDescent="0.3">
      <c r="A601" t="s">
        <v>2377</v>
      </c>
      <c r="B601" t="s">
        <v>2378</v>
      </c>
      <c r="C601" t="s">
        <v>40</v>
      </c>
      <c r="D601" t="s">
        <v>41</v>
      </c>
      <c r="E601" t="s">
        <v>17</v>
      </c>
      <c r="F601" t="s">
        <v>18</v>
      </c>
      <c r="G601" s="1">
        <v>44184</v>
      </c>
      <c r="H601" s="1">
        <v>44217</v>
      </c>
      <c r="I601" t="s">
        <v>2379</v>
      </c>
      <c r="J601" t="s">
        <v>2380</v>
      </c>
      <c r="K601" t="s">
        <v>90</v>
      </c>
      <c r="L601" t="s">
        <v>55</v>
      </c>
      <c r="M601" t="s">
        <v>22</v>
      </c>
      <c r="N601" t="str">
        <f t="shared" si="36"/>
        <v>Clean</v>
      </c>
      <c r="O601" t="str">
        <f t="shared" si="39"/>
        <v/>
      </c>
      <c r="P601" t="str">
        <f t="shared" si="37"/>
        <v>Clean</v>
      </c>
      <c r="Q601" t="str">
        <f t="shared" si="38"/>
        <v>Valid</v>
      </c>
    </row>
    <row r="602" spans="1:17" x14ac:dyDescent="0.3">
      <c r="A602" t="s">
        <v>2381</v>
      </c>
      <c r="B602" t="s">
        <v>2382</v>
      </c>
      <c r="C602" t="s">
        <v>15</v>
      </c>
      <c r="D602" t="s">
        <v>34</v>
      </c>
      <c r="E602" t="s">
        <v>26</v>
      </c>
      <c r="F602" t="s">
        <v>151</v>
      </c>
      <c r="G602" s="1">
        <v>45622</v>
      </c>
      <c r="H602" s="1">
        <v>45669</v>
      </c>
      <c r="I602" t="s">
        <v>2383</v>
      </c>
      <c r="J602" t="s">
        <v>2384</v>
      </c>
      <c r="K602" t="s">
        <v>29</v>
      </c>
      <c r="L602" t="s">
        <v>60</v>
      </c>
      <c r="M602" t="s">
        <v>22</v>
      </c>
      <c r="N602" t="str">
        <f t="shared" si="36"/>
        <v>Clean</v>
      </c>
      <c r="O602" t="str">
        <f t="shared" si="39"/>
        <v/>
      </c>
      <c r="P602" t="str">
        <f t="shared" si="37"/>
        <v>Clean</v>
      </c>
      <c r="Q602" t="str">
        <f t="shared" si="38"/>
        <v>Valid</v>
      </c>
    </row>
    <row r="603" spans="1:17" x14ac:dyDescent="0.3">
      <c r="A603" t="s">
        <v>2385</v>
      </c>
      <c r="B603" t="s">
        <v>2386</v>
      </c>
      <c r="C603" t="s">
        <v>15</v>
      </c>
      <c r="D603" t="s">
        <v>34</v>
      </c>
      <c r="E603" t="s">
        <v>26</v>
      </c>
      <c r="F603" t="s">
        <v>151</v>
      </c>
      <c r="G603" s="1">
        <v>43977</v>
      </c>
      <c r="H603" s="1">
        <v>44213</v>
      </c>
      <c r="I603" t="s">
        <v>2387</v>
      </c>
      <c r="J603" t="s">
        <v>2388</v>
      </c>
      <c r="K603" t="s">
        <v>21</v>
      </c>
      <c r="L603" t="s">
        <v>60</v>
      </c>
      <c r="M603" t="s">
        <v>22</v>
      </c>
      <c r="N603" t="str">
        <f t="shared" si="36"/>
        <v>Clean</v>
      </c>
      <c r="O603" t="str">
        <f t="shared" si="39"/>
        <v/>
      </c>
      <c r="P603" t="str">
        <f t="shared" si="37"/>
        <v>Clean</v>
      </c>
      <c r="Q603" t="str">
        <f t="shared" si="38"/>
        <v>Valid</v>
      </c>
    </row>
    <row r="604" spans="1:17" x14ac:dyDescent="0.3">
      <c r="A604" t="s">
        <v>2389</v>
      </c>
      <c r="B604" t="s">
        <v>2390</v>
      </c>
      <c r="C604" t="s">
        <v>46</v>
      </c>
      <c r="D604" t="s">
        <v>77</v>
      </c>
      <c r="E604" t="s">
        <v>52</v>
      </c>
      <c r="F604" t="s">
        <v>151</v>
      </c>
      <c r="G604" s="1">
        <v>44289</v>
      </c>
      <c r="H604" s="1">
        <v>44654</v>
      </c>
      <c r="I604" t="s">
        <v>2391</v>
      </c>
      <c r="J604" t="s">
        <v>2392</v>
      </c>
      <c r="K604" t="s">
        <v>29</v>
      </c>
      <c r="L604" t="s">
        <v>30</v>
      </c>
      <c r="M604" t="s">
        <v>22</v>
      </c>
      <c r="N604" t="str">
        <f t="shared" si="36"/>
        <v>Clean</v>
      </c>
      <c r="O604" t="str">
        <f t="shared" si="39"/>
        <v/>
      </c>
      <c r="P604" t="str">
        <f t="shared" si="37"/>
        <v>Clean</v>
      </c>
      <c r="Q604" t="str">
        <f t="shared" si="38"/>
        <v>Valid</v>
      </c>
    </row>
    <row r="605" spans="1:17" x14ac:dyDescent="0.3">
      <c r="A605" t="s">
        <v>2393</v>
      </c>
      <c r="B605" t="s">
        <v>2394</v>
      </c>
      <c r="C605" t="s">
        <v>33</v>
      </c>
      <c r="D605" t="s">
        <v>41</v>
      </c>
      <c r="E605" t="s">
        <v>17</v>
      </c>
      <c r="F605" t="s">
        <v>18</v>
      </c>
      <c r="G605" s="1">
        <v>43878</v>
      </c>
      <c r="H605" s="1">
        <v>44044</v>
      </c>
      <c r="I605" t="s">
        <v>2395</v>
      </c>
      <c r="J605" t="s">
        <v>2396</v>
      </c>
      <c r="K605" t="s">
        <v>37</v>
      </c>
      <c r="L605" t="s">
        <v>91</v>
      </c>
      <c r="M605" t="s">
        <v>22</v>
      </c>
      <c r="N605" t="str">
        <f t="shared" si="36"/>
        <v>Clean</v>
      </c>
      <c r="O605" t="str">
        <f t="shared" si="39"/>
        <v/>
      </c>
      <c r="P605" t="str">
        <f t="shared" si="37"/>
        <v>Clean</v>
      </c>
      <c r="Q605" t="str">
        <f t="shared" si="38"/>
        <v>Valid</v>
      </c>
    </row>
    <row r="606" spans="1:17" x14ac:dyDescent="0.3">
      <c r="A606" t="s">
        <v>2397</v>
      </c>
      <c r="B606" t="s">
        <v>2398</v>
      </c>
      <c r="C606" t="s">
        <v>15</v>
      </c>
      <c r="D606" t="s">
        <v>41</v>
      </c>
      <c r="E606" t="s">
        <v>17</v>
      </c>
      <c r="F606" t="s">
        <v>18</v>
      </c>
      <c r="G606" s="1">
        <v>44386</v>
      </c>
      <c r="H606" s="1">
        <v>44487</v>
      </c>
      <c r="I606" t="s">
        <v>2399</v>
      </c>
      <c r="J606" t="s">
        <v>2400</v>
      </c>
      <c r="K606" t="s">
        <v>90</v>
      </c>
      <c r="L606" t="s">
        <v>55</v>
      </c>
      <c r="M606" t="s">
        <v>22</v>
      </c>
      <c r="N606" t="str">
        <f t="shared" si="36"/>
        <v>Clean</v>
      </c>
      <c r="O606" t="str">
        <f t="shared" si="39"/>
        <v/>
      </c>
      <c r="P606" t="str">
        <f t="shared" si="37"/>
        <v>Clean</v>
      </c>
      <c r="Q606" t="str">
        <f t="shared" si="38"/>
        <v>Valid</v>
      </c>
    </row>
    <row r="607" spans="1:17" x14ac:dyDescent="0.3">
      <c r="A607" t="s">
        <v>2401</v>
      </c>
      <c r="B607" t="s">
        <v>2402</v>
      </c>
      <c r="C607" t="s">
        <v>87</v>
      </c>
      <c r="D607" t="s">
        <v>51</v>
      </c>
      <c r="E607" t="s">
        <v>52</v>
      </c>
      <c r="F607" t="s">
        <v>18</v>
      </c>
      <c r="G607" s="1">
        <v>45329</v>
      </c>
      <c r="H607" s="1">
        <v>45672</v>
      </c>
      <c r="I607" t="s">
        <v>2403</v>
      </c>
      <c r="J607" t="s">
        <v>2404</v>
      </c>
      <c r="K607" t="s">
        <v>29</v>
      </c>
      <c r="L607" t="s">
        <v>55</v>
      </c>
      <c r="M607" t="s">
        <v>22</v>
      </c>
      <c r="N607" t="str">
        <f t="shared" si="36"/>
        <v>Clean</v>
      </c>
      <c r="O607" t="str">
        <f t="shared" si="39"/>
        <v/>
      </c>
      <c r="P607" t="str">
        <f t="shared" si="37"/>
        <v>Clean</v>
      </c>
      <c r="Q607" t="str">
        <f t="shared" si="38"/>
        <v>Valid</v>
      </c>
    </row>
    <row r="608" spans="1:17" x14ac:dyDescent="0.3">
      <c r="A608" t="s">
        <v>2405</v>
      </c>
      <c r="B608" t="s">
        <v>2406</v>
      </c>
      <c r="C608" t="s">
        <v>87</v>
      </c>
      <c r="D608" t="s">
        <v>41</v>
      </c>
      <c r="E608" t="s">
        <v>17</v>
      </c>
      <c r="F608" t="s">
        <v>18</v>
      </c>
      <c r="G608" s="1">
        <v>43891</v>
      </c>
      <c r="H608" s="1">
        <v>43595</v>
      </c>
      <c r="I608" t="s">
        <v>2407</v>
      </c>
      <c r="J608" t="s">
        <v>2408</v>
      </c>
      <c r="K608" t="s">
        <v>37</v>
      </c>
      <c r="M608" t="s">
        <v>3735</v>
      </c>
      <c r="N608" t="str">
        <f t="shared" si="36"/>
        <v>Flagged</v>
      </c>
      <c r="O608" t="str">
        <f t="shared" si="39"/>
        <v>Missing Verified_By</v>
      </c>
      <c r="P608" t="str">
        <f t="shared" si="37"/>
        <v>Flagged for Review</v>
      </c>
      <c r="Q608" t="str">
        <f t="shared" si="38"/>
        <v>Valid</v>
      </c>
    </row>
    <row r="609" spans="1:17" x14ac:dyDescent="0.3">
      <c r="A609" t="s">
        <v>2409</v>
      </c>
      <c r="B609" t="s">
        <v>2410</v>
      </c>
      <c r="C609" t="s">
        <v>40</v>
      </c>
      <c r="D609" t="s">
        <v>77</v>
      </c>
      <c r="E609" t="s">
        <v>52</v>
      </c>
      <c r="F609" t="s">
        <v>18</v>
      </c>
      <c r="G609" s="1">
        <v>45120</v>
      </c>
      <c r="H609" s="1">
        <v>45155</v>
      </c>
      <c r="I609" t="s">
        <v>2411</v>
      </c>
      <c r="J609" t="s">
        <v>2412</v>
      </c>
      <c r="K609" t="s">
        <v>90</v>
      </c>
      <c r="L609" t="s">
        <v>30</v>
      </c>
      <c r="M609" t="s">
        <v>22</v>
      </c>
      <c r="N609" t="str">
        <f t="shared" si="36"/>
        <v>Clean</v>
      </c>
      <c r="O609" t="str">
        <f t="shared" si="39"/>
        <v/>
      </c>
      <c r="P609" t="str">
        <f t="shared" si="37"/>
        <v>Clean</v>
      </c>
      <c r="Q609" t="str">
        <f t="shared" si="38"/>
        <v>Valid</v>
      </c>
    </row>
    <row r="610" spans="1:17" x14ac:dyDescent="0.3">
      <c r="A610" t="s">
        <v>2413</v>
      </c>
      <c r="B610" t="s">
        <v>2414</v>
      </c>
      <c r="C610" t="s">
        <v>46</v>
      </c>
      <c r="D610" t="s">
        <v>41</v>
      </c>
      <c r="E610" t="s">
        <v>17</v>
      </c>
      <c r="F610" t="s">
        <v>18</v>
      </c>
      <c r="G610" s="1">
        <v>44523</v>
      </c>
      <c r="H610" s="1">
        <v>44615</v>
      </c>
      <c r="I610" t="s">
        <v>2415</v>
      </c>
      <c r="J610" t="s">
        <v>2416</v>
      </c>
      <c r="K610" t="s">
        <v>90</v>
      </c>
      <c r="M610" t="s">
        <v>3735</v>
      </c>
      <c r="N610" t="str">
        <f t="shared" si="36"/>
        <v>Flagged</v>
      </c>
      <c r="O610" t="str">
        <f t="shared" si="39"/>
        <v>Missing Verified_By</v>
      </c>
      <c r="P610" t="str">
        <f t="shared" si="37"/>
        <v>Flagged for Review</v>
      </c>
      <c r="Q610" t="str">
        <f t="shared" si="38"/>
        <v>Valid</v>
      </c>
    </row>
    <row r="611" spans="1:17" x14ac:dyDescent="0.3">
      <c r="A611" t="s">
        <v>2417</v>
      </c>
      <c r="B611" t="s">
        <v>2418</v>
      </c>
      <c r="C611" t="s">
        <v>76</v>
      </c>
      <c r="D611" t="s">
        <v>25</v>
      </c>
      <c r="E611" t="s">
        <v>26</v>
      </c>
      <c r="F611" t="s">
        <v>160</v>
      </c>
      <c r="G611" s="1">
        <v>44046</v>
      </c>
      <c r="H611" s="1">
        <v>44224</v>
      </c>
      <c r="I611" t="s">
        <v>2419</v>
      </c>
      <c r="J611" t="s">
        <v>2420</v>
      </c>
      <c r="K611" t="s">
        <v>21</v>
      </c>
      <c r="L611" t="s">
        <v>55</v>
      </c>
      <c r="M611" t="s">
        <v>22</v>
      </c>
      <c r="N611" t="str">
        <f t="shared" si="36"/>
        <v>Clean</v>
      </c>
      <c r="O611" t="str">
        <f t="shared" si="39"/>
        <v/>
      </c>
      <c r="P611" t="str">
        <f t="shared" si="37"/>
        <v>Clean</v>
      </c>
      <c r="Q611" t="str">
        <f t="shared" si="38"/>
        <v>Valid</v>
      </c>
    </row>
    <row r="612" spans="1:17" x14ac:dyDescent="0.3">
      <c r="A612" t="s">
        <v>2421</v>
      </c>
      <c r="B612" t="s">
        <v>2422</v>
      </c>
      <c r="C612" t="s">
        <v>33</v>
      </c>
      <c r="D612" t="s">
        <v>67</v>
      </c>
      <c r="E612" t="s">
        <v>26</v>
      </c>
      <c r="F612" t="s">
        <v>18</v>
      </c>
      <c r="G612" s="1">
        <v>45210</v>
      </c>
      <c r="H612" s="1">
        <v>45348</v>
      </c>
      <c r="I612" t="s">
        <v>2423</v>
      </c>
      <c r="J612" t="s">
        <v>2424</v>
      </c>
      <c r="K612" t="s">
        <v>37</v>
      </c>
      <c r="M612" t="s">
        <v>3735</v>
      </c>
      <c r="N612" t="str">
        <f t="shared" si="36"/>
        <v>Flagged</v>
      </c>
      <c r="O612" t="str">
        <f t="shared" si="39"/>
        <v>Missing Verified_By</v>
      </c>
      <c r="P612" t="str">
        <f t="shared" si="37"/>
        <v>Flagged for Review</v>
      </c>
      <c r="Q612" t="str">
        <f t="shared" si="38"/>
        <v>Valid</v>
      </c>
    </row>
    <row r="613" spans="1:17" x14ac:dyDescent="0.3">
      <c r="A613" t="s">
        <v>2425</v>
      </c>
      <c r="B613" t="s">
        <v>373</v>
      </c>
      <c r="C613" t="s">
        <v>46</v>
      </c>
      <c r="D613" t="s">
        <v>25</v>
      </c>
      <c r="E613" t="s">
        <v>26</v>
      </c>
      <c r="F613" t="s">
        <v>18</v>
      </c>
      <c r="G613" s="1">
        <v>45257</v>
      </c>
      <c r="H613" s="1">
        <v>45297</v>
      </c>
      <c r="I613" t="s">
        <v>374</v>
      </c>
      <c r="J613" t="s">
        <v>2426</v>
      </c>
      <c r="K613" t="s">
        <v>37</v>
      </c>
      <c r="L613" t="s">
        <v>55</v>
      </c>
      <c r="M613" t="s">
        <v>22</v>
      </c>
      <c r="N613" t="str">
        <f t="shared" si="36"/>
        <v>Clean</v>
      </c>
      <c r="O613" t="str">
        <f t="shared" si="39"/>
        <v/>
      </c>
      <c r="P613" t="str">
        <f t="shared" si="37"/>
        <v>Clean</v>
      </c>
      <c r="Q613" t="str">
        <f t="shared" si="38"/>
        <v>Valid</v>
      </c>
    </row>
    <row r="614" spans="1:17" x14ac:dyDescent="0.3">
      <c r="A614" t="s">
        <v>2427</v>
      </c>
      <c r="B614" t="s">
        <v>2428</v>
      </c>
      <c r="C614" t="s">
        <v>40</v>
      </c>
      <c r="D614" t="s">
        <v>16</v>
      </c>
      <c r="E614" t="s">
        <v>17</v>
      </c>
      <c r="F614" t="s">
        <v>18</v>
      </c>
      <c r="G614" s="1">
        <v>44816</v>
      </c>
      <c r="H614" s="1">
        <v>44970</v>
      </c>
      <c r="J614" t="s">
        <v>2429</v>
      </c>
      <c r="K614" t="s">
        <v>29</v>
      </c>
      <c r="M614" t="s">
        <v>3735</v>
      </c>
      <c r="N614" t="str">
        <f t="shared" si="36"/>
        <v>Flagged</v>
      </c>
      <c r="O614" t="str">
        <f t="shared" si="39"/>
        <v>Missing Contact_Email Missing Verified_By</v>
      </c>
      <c r="P614" t="str">
        <f t="shared" si="37"/>
        <v>Flagged for Review</v>
      </c>
      <c r="Q614" t="str">
        <f t="shared" si="38"/>
        <v>Blank</v>
      </c>
    </row>
    <row r="615" spans="1:17" x14ac:dyDescent="0.3">
      <c r="A615" t="s">
        <v>2430</v>
      </c>
      <c r="B615" t="s">
        <v>2431</v>
      </c>
      <c r="C615" t="s">
        <v>46</v>
      </c>
      <c r="D615" t="s">
        <v>41</v>
      </c>
      <c r="E615" t="s">
        <v>17</v>
      </c>
      <c r="F615" t="s">
        <v>18</v>
      </c>
      <c r="G615" s="1">
        <v>45546</v>
      </c>
      <c r="H615" s="1">
        <v>45587</v>
      </c>
      <c r="I615" t="s">
        <v>2432</v>
      </c>
      <c r="J615" t="s">
        <v>2433</v>
      </c>
      <c r="K615" t="s">
        <v>90</v>
      </c>
      <c r="M615" t="s">
        <v>3735</v>
      </c>
      <c r="N615" t="str">
        <f t="shared" si="36"/>
        <v>Flagged</v>
      </c>
      <c r="O615" t="str">
        <f t="shared" si="39"/>
        <v>Missing Verified_By</v>
      </c>
      <c r="P615" t="str">
        <f t="shared" si="37"/>
        <v>Flagged for Review</v>
      </c>
      <c r="Q615" t="str">
        <f t="shared" si="38"/>
        <v>Valid</v>
      </c>
    </row>
    <row r="616" spans="1:17" x14ac:dyDescent="0.3">
      <c r="A616" t="s">
        <v>2434</v>
      </c>
      <c r="B616" t="s">
        <v>2435</v>
      </c>
      <c r="C616" t="s">
        <v>40</v>
      </c>
      <c r="D616" t="s">
        <v>34</v>
      </c>
      <c r="E616" t="s">
        <v>26</v>
      </c>
      <c r="F616" t="s">
        <v>160</v>
      </c>
      <c r="G616" s="1">
        <v>45574</v>
      </c>
      <c r="H616" s="1">
        <v>45789</v>
      </c>
      <c r="I616" t="s">
        <v>2436</v>
      </c>
      <c r="J616" t="s">
        <v>2437</v>
      </c>
      <c r="K616" t="s">
        <v>21</v>
      </c>
      <c r="L616" t="s">
        <v>91</v>
      </c>
      <c r="M616" t="s">
        <v>22</v>
      </c>
      <c r="N616" t="str">
        <f t="shared" si="36"/>
        <v>Clean</v>
      </c>
      <c r="O616" t="str">
        <f t="shared" si="39"/>
        <v/>
      </c>
      <c r="P616" t="str">
        <f t="shared" si="37"/>
        <v>Clean</v>
      </c>
      <c r="Q616" t="str">
        <f t="shared" si="38"/>
        <v>Valid</v>
      </c>
    </row>
    <row r="617" spans="1:17" x14ac:dyDescent="0.3">
      <c r="A617" t="s">
        <v>2438</v>
      </c>
      <c r="B617" t="s">
        <v>2439</v>
      </c>
      <c r="C617" t="s">
        <v>33</v>
      </c>
      <c r="D617" t="s">
        <v>34</v>
      </c>
      <c r="E617" t="s">
        <v>26</v>
      </c>
      <c r="F617" t="s">
        <v>18</v>
      </c>
      <c r="G617" s="1">
        <v>44009</v>
      </c>
      <c r="H617" s="1">
        <v>44372</v>
      </c>
      <c r="I617" t="s">
        <v>2440</v>
      </c>
      <c r="J617" t="s">
        <v>2441</v>
      </c>
      <c r="K617" t="s">
        <v>29</v>
      </c>
      <c r="M617" t="s">
        <v>3735</v>
      </c>
      <c r="N617" t="str">
        <f t="shared" si="36"/>
        <v>Flagged</v>
      </c>
      <c r="O617" t="str">
        <f t="shared" si="39"/>
        <v>Missing Verified_By</v>
      </c>
      <c r="P617" t="str">
        <f t="shared" si="37"/>
        <v>Flagged for Review</v>
      </c>
      <c r="Q617" t="str">
        <f t="shared" si="38"/>
        <v>Valid</v>
      </c>
    </row>
    <row r="618" spans="1:17" x14ac:dyDescent="0.3">
      <c r="A618" t="s">
        <v>2442</v>
      </c>
      <c r="B618" t="s">
        <v>2443</v>
      </c>
      <c r="C618" t="s">
        <v>33</v>
      </c>
      <c r="D618" t="s">
        <v>67</v>
      </c>
      <c r="E618" t="s">
        <v>26</v>
      </c>
      <c r="F618" t="s">
        <v>18</v>
      </c>
      <c r="G618" s="1">
        <v>45067</v>
      </c>
      <c r="H618" s="1">
        <v>45262</v>
      </c>
      <c r="I618" t="s">
        <v>2444</v>
      </c>
      <c r="J618" t="s">
        <v>2445</v>
      </c>
      <c r="K618" t="s">
        <v>90</v>
      </c>
      <c r="L618" t="s">
        <v>91</v>
      </c>
      <c r="M618" t="s">
        <v>22</v>
      </c>
      <c r="N618" t="str">
        <f t="shared" si="36"/>
        <v>Clean</v>
      </c>
      <c r="O618" t="str">
        <f t="shared" si="39"/>
        <v/>
      </c>
      <c r="P618" t="str">
        <f t="shared" si="37"/>
        <v>Clean</v>
      </c>
      <c r="Q618" t="str">
        <f t="shared" si="38"/>
        <v>Valid</v>
      </c>
    </row>
    <row r="619" spans="1:17" x14ac:dyDescent="0.3">
      <c r="A619" t="s">
        <v>2446</v>
      </c>
      <c r="B619" t="s">
        <v>2447</v>
      </c>
      <c r="C619" t="s">
        <v>46</v>
      </c>
      <c r="D619" t="s">
        <v>34</v>
      </c>
      <c r="E619" t="s">
        <v>26</v>
      </c>
      <c r="F619" t="s">
        <v>160</v>
      </c>
      <c r="G619" s="1">
        <v>44389</v>
      </c>
      <c r="H619" s="1">
        <v>44472</v>
      </c>
      <c r="I619" t="s">
        <v>2448</v>
      </c>
      <c r="J619" t="s">
        <v>2449</v>
      </c>
      <c r="K619" t="s">
        <v>90</v>
      </c>
      <c r="L619" t="s">
        <v>116</v>
      </c>
      <c r="M619" t="s">
        <v>22</v>
      </c>
      <c r="N619" t="str">
        <f t="shared" si="36"/>
        <v>Clean</v>
      </c>
      <c r="O619" t="str">
        <f t="shared" si="39"/>
        <v/>
      </c>
      <c r="P619" t="str">
        <f t="shared" si="37"/>
        <v>Clean</v>
      </c>
      <c r="Q619" t="str">
        <f t="shared" si="38"/>
        <v>Valid</v>
      </c>
    </row>
    <row r="620" spans="1:17" x14ac:dyDescent="0.3">
      <c r="A620" t="s">
        <v>2450</v>
      </c>
      <c r="B620" t="s">
        <v>2451</v>
      </c>
      <c r="C620" t="s">
        <v>87</v>
      </c>
      <c r="D620" t="s">
        <v>51</v>
      </c>
      <c r="E620" t="s">
        <v>52</v>
      </c>
      <c r="F620" t="s">
        <v>18</v>
      </c>
      <c r="G620" s="1">
        <v>43925</v>
      </c>
      <c r="H620" s="1">
        <v>43956</v>
      </c>
      <c r="I620" t="s">
        <v>2452</v>
      </c>
      <c r="J620" t="s">
        <v>2453</v>
      </c>
      <c r="K620" t="s">
        <v>37</v>
      </c>
      <c r="L620" t="s">
        <v>91</v>
      </c>
      <c r="M620" t="s">
        <v>22</v>
      </c>
      <c r="N620" t="str">
        <f t="shared" si="36"/>
        <v>Clean</v>
      </c>
      <c r="O620" t="str">
        <f t="shared" si="39"/>
        <v/>
      </c>
      <c r="P620" t="str">
        <f t="shared" si="37"/>
        <v>Clean</v>
      </c>
      <c r="Q620" t="str">
        <f t="shared" si="38"/>
        <v>Valid</v>
      </c>
    </row>
    <row r="621" spans="1:17" x14ac:dyDescent="0.3">
      <c r="A621" t="s">
        <v>2454</v>
      </c>
      <c r="B621" t="s">
        <v>2455</v>
      </c>
      <c r="C621" t="s">
        <v>15</v>
      </c>
      <c r="D621" t="s">
        <v>77</v>
      </c>
      <c r="E621" t="s">
        <v>52</v>
      </c>
      <c r="F621" t="s">
        <v>151</v>
      </c>
      <c r="G621" s="1">
        <v>44099</v>
      </c>
      <c r="H621" s="1">
        <v>44220</v>
      </c>
      <c r="I621" t="s">
        <v>2456</v>
      </c>
      <c r="J621" t="s">
        <v>2457</v>
      </c>
      <c r="K621" t="s">
        <v>21</v>
      </c>
      <c r="L621" t="s">
        <v>60</v>
      </c>
      <c r="M621" t="s">
        <v>22</v>
      </c>
      <c r="N621" t="str">
        <f t="shared" si="36"/>
        <v>Clean</v>
      </c>
      <c r="O621" t="str">
        <f t="shared" si="39"/>
        <v/>
      </c>
      <c r="P621" t="str">
        <f t="shared" si="37"/>
        <v>Clean</v>
      </c>
      <c r="Q621" t="str">
        <f t="shared" si="38"/>
        <v>Valid</v>
      </c>
    </row>
    <row r="622" spans="1:17" x14ac:dyDescent="0.3">
      <c r="A622" t="s">
        <v>2458</v>
      </c>
      <c r="B622" t="s">
        <v>2459</v>
      </c>
      <c r="C622" t="s">
        <v>76</v>
      </c>
      <c r="D622" t="s">
        <v>67</v>
      </c>
      <c r="E622" t="s">
        <v>26</v>
      </c>
      <c r="F622" t="s">
        <v>18</v>
      </c>
      <c r="G622" s="1">
        <v>45258</v>
      </c>
      <c r="H622" s="1">
        <v>45329</v>
      </c>
      <c r="I622" t="s">
        <v>2460</v>
      </c>
      <c r="J622" t="s">
        <v>2461</v>
      </c>
      <c r="K622" t="s">
        <v>37</v>
      </c>
      <c r="L622" t="s">
        <v>55</v>
      </c>
      <c r="M622" t="s">
        <v>22</v>
      </c>
      <c r="N622" t="str">
        <f t="shared" si="36"/>
        <v>Clean</v>
      </c>
      <c r="O622" t="str">
        <f t="shared" si="39"/>
        <v/>
      </c>
      <c r="P622" t="str">
        <f t="shared" si="37"/>
        <v>Clean</v>
      </c>
      <c r="Q622" t="str">
        <f t="shared" si="38"/>
        <v>Valid</v>
      </c>
    </row>
    <row r="623" spans="1:17" x14ac:dyDescent="0.3">
      <c r="A623" t="s">
        <v>2462</v>
      </c>
      <c r="B623" t="s">
        <v>2463</v>
      </c>
      <c r="C623" t="s">
        <v>40</v>
      </c>
      <c r="D623" t="s">
        <v>51</v>
      </c>
      <c r="E623" t="s">
        <v>52</v>
      </c>
      <c r="F623" t="s">
        <v>18</v>
      </c>
      <c r="G623" s="1">
        <v>43608</v>
      </c>
      <c r="H623" s="1">
        <v>43865</v>
      </c>
      <c r="I623" t="s">
        <v>2464</v>
      </c>
      <c r="J623" t="s">
        <v>2465</v>
      </c>
      <c r="K623" t="s">
        <v>37</v>
      </c>
      <c r="L623" t="s">
        <v>60</v>
      </c>
      <c r="M623" t="s">
        <v>22</v>
      </c>
      <c r="N623" t="str">
        <f t="shared" si="36"/>
        <v>Clean</v>
      </c>
      <c r="O623" t="str">
        <f t="shared" si="39"/>
        <v/>
      </c>
      <c r="P623" t="str">
        <f t="shared" si="37"/>
        <v>Clean</v>
      </c>
      <c r="Q623" t="str">
        <f t="shared" si="38"/>
        <v>Valid</v>
      </c>
    </row>
    <row r="624" spans="1:17" x14ac:dyDescent="0.3">
      <c r="A624" t="s">
        <v>2466</v>
      </c>
      <c r="B624" t="s">
        <v>2467</v>
      </c>
      <c r="C624" t="s">
        <v>15</v>
      </c>
      <c r="D624" t="s">
        <v>67</v>
      </c>
      <c r="E624" t="s">
        <v>26</v>
      </c>
      <c r="F624" t="s">
        <v>18</v>
      </c>
      <c r="G624" s="1">
        <v>43616</v>
      </c>
      <c r="H624" s="1">
        <v>43898</v>
      </c>
      <c r="J624" t="s">
        <v>2468</v>
      </c>
      <c r="K624" t="s">
        <v>21</v>
      </c>
      <c r="M624" t="s">
        <v>3735</v>
      </c>
      <c r="N624" t="str">
        <f t="shared" si="36"/>
        <v>Flagged</v>
      </c>
      <c r="O624" t="str">
        <f t="shared" si="39"/>
        <v>Missing Contact_Email Missing Verified_By</v>
      </c>
      <c r="P624" t="str">
        <f t="shared" si="37"/>
        <v>Flagged for Review</v>
      </c>
      <c r="Q624" t="str">
        <f t="shared" si="38"/>
        <v>Blank</v>
      </c>
    </row>
    <row r="625" spans="1:17" x14ac:dyDescent="0.3">
      <c r="A625" t="s">
        <v>2469</v>
      </c>
      <c r="B625" t="s">
        <v>2470</v>
      </c>
      <c r="C625" t="s">
        <v>87</v>
      </c>
      <c r="D625" t="s">
        <v>51</v>
      </c>
      <c r="E625" t="s">
        <v>52</v>
      </c>
      <c r="F625" t="s">
        <v>18</v>
      </c>
      <c r="G625" s="1">
        <v>44932</v>
      </c>
      <c r="H625" s="1">
        <v>45023</v>
      </c>
      <c r="I625" t="s">
        <v>2471</v>
      </c>
      <c r="J625" t="s">
        <v>2472</v>
      </c>
      <c r="K625" t="s">
        <v>37</v>
      </c>
      <c r="L625" t="s">
        <v>30</v>
      </c>
      <c r="M625" t="s">
        <v>22</v>
      </c>
      <c r="N625" t="str">
        <f t="shared" si="36"/>
        <v>Clean</v>
      </c>
      <c r="O625" t="str">
        <f t="shared" si="39"/>
        <v/>
      </c>
      <c r="P625" t="str">
        <f t="shared" si="37"/>
        <v>Clean</v>
      </c>
      <c r="Q625" t="str">
        <f t="shared" si="38"/>
        <v>Valid</v>
      </c>
    </row>
    <row r="626" spans="1:17" x14ac:dyDescent="0.3">
      <c r="A626" t="s">
        <v>2473</v>
      </c>
      <c r="B626" t="s">
        <v>2474</v>
      </c>
      <c r="C626" t="s">
        <v>46</v>
      </c>
      <c r="D626" t="s">
        <v>25</v>
      </c>
      <c r="E626" t="s">
        <v>26</v>
      </c>
      <c r="F626" t="s">
        <v>18</v>
      </c>
      <c r="G626" s="1">
        <v>45174</v>
      </c>
      <c r="H626" s="1">
        <v>45416</v>
      </c>
      <c r="I626" t="s">
        <v>2475</v>
      </c>
      <c r="J626" t="s">
        <v>2476</v>
      </c>
      <c r="K626" t="s">
        <v>29</v>
      </c>
      <c r="L626" t="s">
        <v>30</v>
      </c>
      <c r="M626" t="s">
        <v>22</v>
      </c>
      <c r="N626" t="str">
        <f t="shared" si="36"/>
        <v>Clean</v>
      </c>
      <c r="O626" t="str">
        <f t="shared" si="39"/>
        <v/>
      </c>
      <c r="P626" t="str">
        <f t="shared" si="37"/>
        <v>Clean</v>
      </c>
      <c r="Q626" t="str">
        <f t="shared" si="38"/>
        <v>Valid</v>
      </c>
    </row>
    <row r="627" spans="1:17" x14ac:dyDescent="0.3">
      <c r="A627" t="s">
        <v>2477</v>
      </c>
      <c r="B627" t="s">
        <v>2478</v>
      </c>
      <c r="C627" t="s">
        <v>181</v>
      </c>
      <c r="D627" t="s">
        <v>77</v>
      </c>
      <c r="E627" t="s">
        <v>52</v>
      </c>
      <c r="F627" t="s">
        <v>18</v>
      </c>
      <c r="G627" s="1">
        <v>44302</v>
      </c>
      <c r="H627" s="1">
        <v>44568</v>
      </c>
      <c r="I627" t="s">
        <v>2479</v>
      </c>
      <c r="J627" t="s">
        <v>2480</v>
      </c>
      <c r="K627" t="s">
        <v>21</v>
      </c>
      <c r="M627" t="s">
        <v>3735</v>
      </c>
      <c r="N627" t="str">
        <f t="shared" si="36"/>
        <v>Flagged</v>
      </c>
      <c r="O627" t="str">
        <f t="shared" si="39"/>
        <v>Missing Verified_By</v>
      </c>
      <c r="P627" t="str">
        <f t="shared" si="37"/>
        <v>Flagged for Review</v>
      </c>
      <c r="Q627" t="str">
        <f t="shared" si="38"/>
        <v>Valid</v>
      </c>
    </row>
    <row r="628" spans="1:17" x14ac:dyDescent="0.3">
      <c r="A628" t="s">
        <v>2481</v>
      </c>
      <c r="B628" t="s">
        <v>3721</v>
      </c>
      <c r="C628" t="s">
        <v>87</v>
      </c>
      <c r="D628" t="s">
        <v>67</v>
      </c>
      <c r="E628" t="s">
        <v>26</v>
      </c>
      <c r="F628" t="s">
        <v>18</v>
      </c>
      <c r="G628" s="1">
        <v>43634</v>
      </c>
      <c r="H628" s="1">
        <v>43648</v>
      </c>
      <c r="I628" t="s">
        <v>2482</v>
      </c>
      <c r="J628" t="s">
        <v>36</v>
      </c>
      <c r="K628" t="s">
        <v>29</v>
      </c>
      <c r="M628" t="s">
        <v>3735</v>
      </c>
      <c r="N628" t="str">
        <f t="shared" si="36"/>
        <v>Flagged</v>
      </c>
      <c r="O628" t="str">
        <f t="shared" si="39"/>
        <v>Missing Vendor_Name Missing Verified_By</v>
      </c>
      <c r="P628" t="str">
        <f t="shared" si="37"/>
        <v>Flagged for Review</v>
      </c>
      <c r="Q628" t="str">
        <f t="shared" si="38"/>
        <v>Valid</v>
      </c>
    </row>
    <row r="629" spans="1:17" x14ac:dyDescent="0.3">
      <c r="A629" t="s">
        <v>2483</v>
      </c>
      <c r="B629" t="s">
        <v>2484</v>
      </c>
      <c r="C629" t="s">
        <v>33</v>
      </c>
      <c r="D629" t="s">
        <v>16</v>
      </c>
      <c r="E629" t="s">
        <v>17</v>
      </c>
      <c r="F629" t="s">
        <v>18</v>
      </c>
      <c r="G629" s="1">
        <v>44129</v>
      </c>
      <c r="H629" s="1">
        <v>44447</v>
      </c>
      <c r="I629" t="s">
        <v>2485</v>
      </c>
      <c r="J629" t="s">
        <v>2486</v>
      </c>
      <c r="K629" t="s">
        <v>90</v>
      </c>
      <c r="M629" t="s">
        <v>3735</v>
      </c>
      <c r="N629" t="str">
        <f t="shared" si="36"/>
        <v>Flagged</v>
      </c>
      <c r="O629" t="str">
        <f t="shared" si="39"/>
        <v>Missing Verified_By</v>
      </c>
      <c r="P629" t="str">
        <f t="shared" si="37"/>
        <v>Flagged for Review</v>
      </c>
      <c r="Q629" t="str">
        <f t="shared" si="38"/>
        <v>Valid</v>
      </c>
    </row>
    <row r="630" spans="1:17" x14ac:dyDescent="0.3">
      <c r="A630" t="s">
        <v>2487</v>
      </c>
      <c r="B630" t="s">
        <v>2488</v>
      </c>
      <c r="C630" t="s">
        <v>40</v>
      </c>
      <c r="D630" t="s">
        <v>77</v>
      </c>
      <c r="E630" t="s">
        <v>52</v>
      </c>
      <c r="F630" t="s">
        <v>151</v>
      </c>
      <c r="G630" s="1">
        <v>45580</v>
      </c>
      <c r="H630" s="1">
        <v>45929</v>
      </c>
      <c r="I630" t="s">
        <v>2489</v>
      </c>
      <c r="J630" t="s">
        <v>2490</v>
      </c>
      <c r="K630" t="s">
        <v>21</v>
      </c>
      <c r="L630" t="s">
        <v>55</v>
      </c>
      <c r="M630" t="s">
        <v>22</v>
      </c>
      <c r="N630" t="str">
        <f t="shared" si="36"/>
        <v>Clean</v>
      </c>
      <c r="O630" t="str">
        <f t="shared" si="39"/>
        <v/>
      </c>
      <c r="P630" t="str">
        <f t="shared" si="37"/>
        <v>Clean</v>
      </c>
      <c r="Q630" t="str">
        <f t="shared" si="38"/>
        <v>Valid</v>
      </c>
    </row>
    <row r="631" spans="1:17" x14ac:dyDescent="0.3">
      <c r="A631" t="s">
        <v>2491</v>
      </c>
      <c r="B631" t="s">
        <v>3727</v>
      </c>
      <c r="C631" t="s">
        <v>40</v>
      </c>
      <c r="D631" t="s">
        <v>34</v>
      </c>
      <c r="E631" t="s">
        <v>26</v>
      </c>
      <c r="F631" t="s">
        <v>160</v>
      </c>
      <c r="G631" s="1">
        <v>44368</v>
      </c>
      <c r="H631" s="1">
        <v>44714</v>
      </c>
      <c r="I631" t="s">
        <v>2493</v>
      </c>
      <c r="J631" t="s">
        <v>2494</v>
      </c>
      <c r="K631" t="s">
        <v>21</v>
      </c>
      <c r="L631" t="s">
        <v>116</v>
      </c>
      <c r="M631" t="s">
        <v>22</v>
      </c>
      <c r="N631" t="str">
        <f t="shared" si="36"/>
        <v>Clean</v>
      </c>
      <c r="O631" t="str">
        <f t="shared" si="39"/>
        <v/>
      </c>
      <c r="P631" t="str">
        <f t="shared" si="37"/>
        <v>Clean</v>
      </c>
      <c r="Q631" t="str">
        <f t="shared" si="38"/>
        <v>Valid</v>
      </c>
    </row>
    <row r="632" spans="1:17" x14ac:dyDescent="0.3">
      <c r="A632" t="s">
        <v>2495</v>
      </c>
      <c r="B632" t="s">
        <v>2496</v>
      </c>
      <c r="C632" t="s">
        <v>46</v>
      </c>
      <c r="D632" t="s">
        <v>25</v>
      </c>
      <c r="E632" t="s">
        <v>26</v>
      </c>
      <c r="F632" t="s">
        <v>151</v>
      </c>
      <c r="G632" s="1">
        <v>45016</v>
      </c>
      <c r="H632" s="1">
        <v>45056</v>
      </c>
      <c r="I632" t="s">
        <v>2497</v>
      </c>
      <c r="J632" t="s">
        <v>2480</v>
      </c>
      <c r="K632" t="s">
        <v>29</v>
      </c>
      <c r="L632" t="s">
        <v>91</v>
      </c>
      <c r="M632" t="s">
        <v>22</v>
      </c>
      <c r="N632" t="str">
        <f t="shared" si="36"/>
        <v>Clean</v>
      </c>
      <c r="O632" t="str">
        <f t="shared" si="39"/>
        <v/>
      </c>
      <c r="P632" t="str">
        <f t="shared" si="37"/>
        <v>Clean</v>
      </c>
      <c r="Q632" t="str">
        <f t="shared" si="38"/>
        <v>Valid</v>
      </c>
    </row>
    <row r="633" spans="1:17" x14ac:dyDescent="0.3">
      <c r="A633" t="s">
        <v>2498</v>
      </c>
      <c r="B633" t="s">
        <v>2499</v>
      </c>
      <c r="C633" t="s">
        <v>40</v>
      </c>
      <c r="D633" t="s">
        <v>51</v>
      </c>
      <c r="E633" t="s">
        <v>52</v>
      </c>
      <c r="F633" t="s">
        <v>151</v>
      </c>
      <c r="G633" s="1">
        <v>43995</v>
      </c>
      <c r="H633" s="1">
        <v>44103</v>
      </c>
      <c r="I633" t="s">
        <v>2500</v>
      </c>
      <c r="J633" t="s">
        <v>2501</v>
      </c>
      <c r="K633" t="s">
        <v>29</v>
      </c>
      <c r="L633" t="s">
        <v>60</v>
      </c>
      <c r="M633" t="s">
        <v>22</v>
      </c>
      <c r="N633" t="str">
        <f t="shared" si="36"/>
        <v>Clean</v>
      </c>
      <c r="O633" t="str">
        <f t="shared" si="39"/>
        <v/>
      </c>
      <c r="P633" t="str">
        <f t="shared" si="37"/>
        <v>Clean</v>
      </c>
      <c r="Q633" t="str">
        <f t="shared" si="38"/>
        <v>Valid</v>
      </c>
    </row>
    <row r="634" spans="1:17" x14ac:dyDescent="0.3">
      <c r="A634" t="s">
        <v>2502</v>
      </c>
      <c r="B634" t="s">
        <v>2503</v>
      </c>
      <c r="C634" t="s">
        <v>87</v>
      </c>
      <c r="D634" t="s">
        <v>16</v>
      </c>
      <c r="E634" t="s">
        <v>17</v>
      </c>
      <c r="F634" t="s">
        <v>151</v>
      </c>
      <c r="G634" s="1">
        <v>44941</v>
      </c>
      <c r="H634" s="1">
        <v>44996</v>
      </c>
      <c r="I634" t="s">
        <v>2504</v>
      </c>
      <c r="J634" t="s">
        <v>2505</v>
      </c>
      <c r="K634" t="s">
        <v>21</v>
      </c>
      <c r="L634" t="s">
        <v>55</v>
      </c>
      <c r="M634" t="s">
        <v>22</v>
      </c>
      <c r="N634" t="str">
        <f t="shared" si="36"/>
        <v>Clean</v>
      </c>
      <c r="O634" t="str">
        <f t="shared" si="39"/>
        <v/>
      </c>
      <c r="P634" t="str">
        <f t="shared" si="37"/>
        <v>Clean</v>
      </c>
      <c r="Q634" t="str">
        <f t="shared" si="38"/>
        <v>Valid</v>
      </c>
    </row>
    <row r="635" spans="1:17" x14ac:dyDescent="0.3">
      <c r="A635" t="s">
        <v>2506</v>
      </c>
      <c r="B635" t="s">
        <v>2507</v>
      </c>
      <c r="C635" t="s">
        <v>15</v>
      </c>
      <c r="D635" t="s">
        <v>34</v>
      </c>
      <c r="E635" t="s">
        <v>26</v>
      </c>
      <c r="F635" t="s">
        <v>160</v>
      </c>
      <c r="G635" s="1">
        <v>43887</v>
      </c>
      <c r="H635" s="1">
        <v>44086</v>
      </c>
      <c r="I635" t="s">
        <v>2508</v>
      </c>
      <c r="J635" t="s">
        <v>2509</v>
      </c>
      <c r="K635" t="s">
        <v>90</v>
      </c>
      <c r="L635" t="s">
        <v>91</v>
      </c>
      <c r="M635" t="s">
        <v>22</v>
      </c>
      <c r="N635" t="str">
        <f t="shared" si="36"/>
        <v>Clean</v>
      </c>
      <c r="O635" t="str">
        <f t="shared" si="39"/>
        <v/>
      </c>
      <c r="P635" t="str">
        <f t="shared" si="37"/>
        <v>Clean</v>
      </c>
      <c r="Q635" t="str">
        <f t="shared" si="38"/>
        <v>Valid</v>
      </c>
    </row>
    <row r="636" spans="1:17" x14ac:dyDescent="0.3">
      <c r="A636" t="s">
        <v>2510</v>
      </c>
      <c r="B636" t="s">
        <v>2511</v>
      </c>
      <c r="C636" t="s">
        <v>181</v>
      </c>
      <c r="D636" t="s">
        <v>51</v>
      </c>
      <c r="E636" t="s">
        <v>52</v>
      </c>
      <c r="F636" t="s">
        <v>18</v>
      </c>
      <c r="G636" s="1">
        <v>45270</v>
      </c>
      <c r="H636" s="1">
        <v>45506</v>
      </c>
      <c r="I636" t="s">
        <v>2512</v>
      </c>
      <c r="J636" t="s">
        <v>2513</v>
      </c>
      <c r="K636" t="s">
        <v>21</v>
      </c>
      <c r="L636" t="s">
        <v>55</v>
      </c>
      <c r="M636" t="s">
        <v>22</v>
      </c>
      <c r="N636" t="str">
        <f t="shared" si="36"/>
        <v>Clean</v>
      </c>
      <c r="O636" t="str">
        <f t="shared" si="39"/>
        <v/>
      </c>
      <c r="P636" t="str">
        <f t="shared" si="37"/>
        <v>Clean</v>
      </c>
      <c r="Q636" t="str">
        <f t="shared" si="38"/>
        <v>Valid</v>
      </c>
    </row>
    <row r="637" spans="1:17" x14ac:dyDescent="0.3">
      <c r="A637" t="s">
        <v>2514</v>
      </c>
      <c r="B637" t="s">
        <v>2515</v>
      </c>
      <c r="C637" t="s">
        <v>46</v>
      </c>
      <c r="D637" t="s">
        <v>51</v>
      </c>
      <c r="E637" t="s">
        <v>52</v>
      </c>
      <c r="F637" t="s">
        <v>160</v>
      </c>
      <c r="G637" s="1">
        <v>45544</v>
      </c>
      <c r="H637" s="1">
        <v>45656</v>
      </c>
      <c r="I637" t="s">
        <v>2516</v>
      </c>
      <c r="J637" t="s">
        <v>2517</v>
      </c>
      <c r="K637" t="s">
        <v>29</v>
      </c>
      <c r="L637" t="s">
        <v>60</v>
      </c>
      <c r="M637" t="s">
        <v>22</v>
      </c>
      <c r="N637" t="str">
        <f t="shared" si="36"/>
        <v>Clean</v>
      </c>
      <c r="O637" t="str">
        <f t="shared" si="39"/>
        <v/>
      </c>
      <c r="P637" t="str">
        <f t="shared" si="37"/>
        <v>Clean</v>
      </c>
      <c r="Q637" t="str">
        <f t="shared" si="38"/>
        <v>Valid</v>
      </c>
    </row>
    <row r="638" spans="1:17" x14ac:dyDescent="0.3">
      <c r="A638" t="s">
        <v>2518</v>
      </c>
      <c r="B638" t="s">
        <v>2519</v>
      </c>
      <c r="C638" t="s">
        <v>76</v>
      </c>
      <c r="D638" t="s">
        <v>77</v>
      </c>
      <c r="E638" t="s">
        <v>52</v>
      </c>
      <c r="F638" t="s">
        <v>18</v>
      </c>
      <c r="G638" s="1">
        <v>44872</v>
      </c>
      <c r="H638" s="1">
        <v>45237</v>
      </c>
      <c r="I638" t="s">
        <v>2520</v>
      </c>
      <c r="J638" t="s">
        <v>2521</v>
      </c>
      <c r="K638" t="s">
        <v>37</v>
      </c>
      <c r="L638" t="s">
        <v>60</v>
      </c>
      <c r="M638" t="s">
        <v>22</v>
      </c>
      <c r="N638" t="str">
        <f t="shared" si="36"/>
        <v>Clean</v>
      </c>
      <c r="O638" t="str">
        <f t="shared" si="39"/>
        <v/>
      </c>
      <c r="P638" t="str">
        <f t="shared" si="37"/>
        <v>Clean</v>
      </c>
      <c r="Q638" t="str">
        <f t="shared" si="38"/>
        <v>Valid</v>
      </c>
    </row>
    <row r="639" spans="1:17" x14ac:dyDescent="0.3">
      <c r="A639" t="s">
        <v>2522</v>
      </c>
      <c r="B639" t="s">
        <v>2523</v>
      </c>
      <c r="C639" t="s">
        <v>15</v>
      </c>
      <c r="D639" t="s">
        <v>16</v>
      </c>
      <c r="E639" t="s">
        <v>17</v>
      </c>
      <c r="F639" t="s">
        <v>18</v>
      </c>
      <c r="G639" s="1">
        <v>44129</v>
      </c>
      <c r="H639" s="1">
        <v>44166</v>
      </c>
      <c r="I639" t="s">
        <v>2524</v>
      </c>
      <c r="J639" t="s">
        <v>2525</v>
      </c>
      <c r="K639" t="s">
        <v>21</v>
      </c>
      <c r="L639" t="s">
        <v>30</v>
      </c>
      <c r="M639" t="s">
        <v>22</v>
      </c>
      <c r="N639" t="str">
        <f t="shared" si="36"/>
        <v>Clean</v>
      </c>
      <c r="O639" t="str">
        <f t="shared" si="39"/>
        <v/>
      </c>
      <c r="P639" t="str">
        <f t="shared" si="37"/>
        <v>Clean</v>
      </c>
      <c r="Q639" t="str">
        <f t="shared" si="38"/>
        <v>Valid</v>
      </c>
    </row>
    <row r="640" spans="1:17" x14ac:dyDescent="0.3">
      <c r="A640" t="s">
        <v>2526</v>
      </c>
      <c r="B640" t="s">
        <v>2503</v>
      </c>
      <c r="C640" t="s">
        <v>46</v>
      </c>
      <c r="D640" t="s">
        <v>77</v>
      </c>
      <c r="E640" t="s">
        <v>52</v>
      </c>
      <c r="F640" t="s">
        <v>18</v>
      </c>
      <c r="G640" s="1">
        <v>44180</v>
      </c>
      <c r="H640" s="1">
        <v>44492</v>
      </c>
      <c r="I640" t="s">
        <v>2504</v>
      </c>
      <c r="J640" t="s">
        <v>2527</v>
      </c>
      <c r="K640" t="s">
        <v>21</v>
      </c>
      <c r="L640" t="s">
        <v>91</v>
      </c>
      <c r="M640" t="s">
        <v>22</v>
      </c>
      <c r="N640" t="str">
        <f t="shared" si="36"/>
        <v>Clean</v>
      </c>
      <c r="O640" t="str">
        <f t="shared" si="39"/>
        <v/>
      </c>
      <c r="P640" t="str">
        <f t="shared" si="37"/>
        <v>Clean</v>
      </c>
      <c r="Q640" t="str">
        <f t="shared" si="38"/>
        <v>Valid</v>
      </c>
    </row>
    <row r="641" spans="1:17" x14ac:dyDescent="0.3">
      <c r="A641" t="s">
        <v>2528</v>
      </c>
      <c r="B641" t="s">
        <v>2529</v>
      </c>
      <c r="C641" t="s">
        <v>76</v>
      </c>
      <c r="D641" t="s">
        <v>25</v>
      </c>
      <c r="E641" t="s">
        <v>26</v>
      </c>
      <c r="F641" t="s">
        <v>160</v>
      </c>
      <c r="G641" s="1">
        <v>43537</v>
      </c>
      <c r="H641" s="1">
        <v>43782</v>
      </c>
      <c r="I641" t="s">
        <v>2530</v>
      </c>
      <c r="J641" t="s">
        <v>2531</v>
      </c>
      <c r="K641" t="s">
        <v>29</v>
      </c>
      <c r="L641" t="s">
        <v>55</v>
      </c>
      <c r="M641" t="s">
        <v>22</v>
      </c>
      <c r="N641" t="str">
        <f t="shared" si="36"/>
        <v>Clean</v>
      </c>
      <c r="O641" t="str">
        <f t="shared" si="39"/>
        <v/>
      </c>
      <c r="P641" t="str">
        <f t="shared" si="37"/>
        <v>Clean</v>
      </c>
      <c r="Q641" t="str">
        <f t="shared" si="38"/>
        <v>Valid</v>
      </c>
    </row>
    <row r="642" spans="1:17" x14ac:dyDescent="0.3">
      <c r="A642" t="s">
        <v>2532</v>
      </c>
      <c r="B642" t="s">
        <v>2533</v>
      </c>
      <c r="C642" t="s">
        <v>33</v>
      </c>
      <c r="D642" t="s">
        <v>34</v>
      </c>
      <c r="E642" t="s">
        <v>26</v>
      </c>
      <c r="F642" t="s">
        <v>18</v>
      </c>
      <c r="G642" s="1">
        <v>44674</v>
      </c>
      <c r="H642" s="1">
        <v>44841</v>
      </c>
      <c r="I642" t="s">
        <v>2534</v>
      </c>
      <c r="J642" t="s">
        <v>2535</v>
      </c>
      <c r="K642" t="s">
        <v>37</v>
      </c>
      <c r="L642" t="s">
        <v>55</v>
      </c>
      <c r="M642" t="s">
        <v>22</v>
      </c>
      <c r="N642" t="str">
        <f t="shared" ref="N642:N705" si="40">IF(OR(B642="",H642="",I642="",J642="",L642="",Q642="Invalid"),"Flagged","Clean")</f>
        <v>Clean</v>
      </c>
      <c r="O642" t="str">
        <f t="shared" si="39"/>
        <v/>
      </c>
      <c r="P642" t="str">
        <f t="shared" ref="P642:P705" si="41">IF(N642="Clean","Clean","Flagged for Review")</f>
        <v>Clean</v>
      </c>
      <c r="Q642" t="str">
        <f t="shared" ref="Q642:Q705" si="42">IF(I642="","Blank",IF(ISERROR(FIND("@",I642&amp;"")),"Invalid",IF(FIND("@",I642&amp;"")&lt;2,"Invalid",IF(LEN(I642&amp;"")-FIND("@",I642&amp;"")&lt;4,"Invalid","Valid"))))</f>
        <v>Valid</v>
      </c>
    </row>
    <row r="643" spans="1:17" x14ac:dyDescent="0.3">
      <c r="A643" t="s">
        <v>2536</v>
      </c>
      <c r="B643" t="s">
        <v>2537</v>
      </c>
      <c r="C643" t="s">
        <v>181</v>
      </c>
      <c r="D643" t="s">
        <v>25</v>
      </c>
      <c r="E643" t="s">
        <v>26</v>
      </c>
      <c r="F643" t="s">
        <v>18</v>
      </c>
      <c r="G643" s="1">
        <v>45372</v>
      </c>
      <c r="H643" s="1">
        <v>45529</v>
      </c>
      <c r="I643" t="s">
        <v>2538</v>
      </c>
      <c r="J643" t="s">
        <v>2416</v>
      </c>
      <c r="K643" t="s">
        <v>29</v>
      </c>
      <c r="M643" t="s">
        <v>3735</v>
      </c>
      <c r="N643" t="str">
        <f t="shared" si="40"/>
        <v>Flagged</v>
      </c>
      <c r="O643" t="str">
        <f t="shared" ref="O643:O706" si="43">TRIM(IF(B643="","Missing Vendor_Name ","")&amp;IF(I643="","Missing Contact_Email ","")&amp;IF(J643="","Missing Account_Code ","")&amp;IF(L643="","Missing Verified_By ","")&amp;IF(Q643="Invalid","Invalid Email Format ","")&amp;IF(H643="","Missing Last_Updated ",""))</f>
        <v>Missing Verified_By</v>
      </c>
      <c r="P643" t="str">
        <f t="shared" si="41"/>
        <v>Flagged for Review</v>
      </c>
      <c r="Q643" t="str">
        <f t="shared" si="42"/>
        <v>Valid</v>
      </c>
    </row>
    <row r="644" spans="1:17" x14ac:dyDescent="0.3">
      <c r="A644" t="s">
        <v>2539</v>
      </c>
      <c r="B644" t="s">
        <v>134</v>
      </c>
      <c r="C644" t="s">
        <v>33</v>
      </c>
      <c r="D644" t="s">
        <v>67</v>
      </c>
      <c r="E644" t="s">
        <v>26</v>
      </c>
      <c r="F644" t="s">
        <v>160</v>
      </c>
      <c r="G644" s="1">
        <v>44858</v>
      </c>
      <c r="H644" s="1">
        <v>44899</v>
      </c>
      <c r="I644" t="s">
        <v>135</v>
      </c>
      <c r="J644" t="s">
        <v>2540</v>
      </c>
      <c r="K644" t="s">
        <v>37</v>
      </c>
      <c r="L644" t="s">
        <v>55</v>
      </c>
      <c r="M644" t="s">
        <v>22</v>
      </c>
      <c r="N644" t="str">
        <f t="shared" si="40"/>
        <v>Clean</v>
      </c>
      <c r="O644" t="str">
        <f t="shared" si="43"/>
        <v/>
      </c>
      <c r="P644" t="str">
        <f t="shared" si="41"/>
        <v>Clean</v>
      </c>
      <c r="Q644" t="str">
        <f t="shared" si="42"/>
        <v>Valid</v>
      </c>
    </row>
    <row r="645" spans="1:17" x14ac:dyDescent="0.3">
      <c r="A645" t="s">
        <v>2541</v>
      </c>
      <c r="B645" t="s">
        <v>2542</v>
      </c>
      <c r="C645" t="s">
        <v>33</v>
      </c>
      <c r="D645" t="s">
        <v>25</v>
      </c>
      <c r="E645" t="s">
        <v>26</v>
      </c>
      <c r="F645" t="s">
        <v>18</v>
      </c>
      <c r="G645" s="1">
        <v>43695</v>
      </c>
      <c r="H645" s="1">
        <v>43845</v>
      </c>
      <c r="I645" t="s">
        <v>2543</v>
      </c>
      <c r="J645" t="s">
        <v>2544</v>
      </c>
      <c r="K645" t="s">
        <v>21</v>
      </c>
      <c r="L645" t="s">
        <v>55</v>
      </c>
      <c r="M645" t="s">
        <v>22</v>
      </c>
      <c r="N645" t="str">
        <f t="shared" si="40"/>
        <v>Clean</v>
      </c>
      <c r="O645" t="str">
        <f t="shared" si="43"/>
        <v/>
      </c>
      <c r="P645" t="str">
        <f t="shared" si="41"/>
        <v>Clean</v>
      </c>
      <c r="Q645" t="str">
        <f t="shared" si="42"/>
        <v>Valid</v>
      </c>
    </row>
    <row r="646" spans="1:17" x14ac:dyDescent="0.3">
      <c r="A646" t="s">
        <v>2545</v>
      </c>
      <c r="B646" t="s">
        <v>2546</v>
      </c>
      <c r="C646" t="s">
        <v>40</v>
      </c>
      <c r="D646" t="s">
        <v>77</v>
      </c>
      <c r="E646" t="s">
        <v>52</v>
      </c>
      <c r="F646" t="s">
        <v>18</v>
      </c>
      <c r="G646" s="1">
        <v>44537</v>
      </c>
      <c r="H646" s="1">
        <v>44872</v>
      </c>
      <c r="I646" t="s">
        <v>2547</v>
      </c>
      <c r="J646" t="s">
        <v>2548</v>
      </c>
      <c r="K646" t="s">
        <v>37</v>
      </c>
      <c r="M646" t="s">
        <v>3735</v>
      </c>
      <c r="N646" t="str">
        <f t="shared" si="40"/>
        <v>Flagged</v>
      </c>
      <c r="O646" t="str">
        <f t="shared" si="43"/>
        <v>Missing Verified_By</v>
      </c>
      <c r="P646" t="str">
        <f t="shared" si="41"/>
        <v>Flagged for Review</v>
      </c>
      <c r="Q646" t="str">
        <f t="shared" si="42"/>
        <v>Valid</v>
      </c>
    </row>
    <row r="647" spans="1:17" x14ac:dyDescent="0.3">
      <c r="A647" t="s">
        <v>2549</v>
      </c>
      <c r="B647" t="s">
        <v>2154</v>
      </c>
      <c r="C647" t="s">
        <v>181</v>
      </c>
      <c r="D647" t="s">
        <v>25</v>
      </c>
      <c r="E647" t="s">
        <v>26</v>
      </c>
      <c r="F647" t="s">
        <v>18</v>
      </c>
      <c r="G647" s="1">
        <v>43706</v>
      </c>
      <c r="H647" s="1">
        <v>43787</v>
      </c>
      <c r="I647" t="s">
        <v>2550</v>
      </c>
      <c r="J647" t="s">
        <v>2551</v>
      </c>
      <c r="K647" t="s">
        <v>21</v>
      </c>
      <c r="L647" t="s">
        <v>91</v>
      </c>
      <c r="M647" t="s">
        <v>22</v>
      </c>
      <c r="N647" t="str">
        <f t="shared" si="40"/>
        <v>Clean</v>
      </c>
      <c r="O647" t="str">
        <f t="shared" si="43"/>
        <v/>
      </c>
      <c r="P647" t="str">
        <f t="shared" si="41"/>
        <v>Clean</v>
      </c>
      <c r="Q647" t="str">
        <f t="shared" si="42"/>
        <v>Valid</v>
      </c>
    </row>
    <row r="648" spans="1:17" x14ac:dyDescent="0.3">
      <c r="A648" t="s">
        <v>2552</v>
      </c>
      <c r="B648" t="s">
        <v>2553</v>
      </c>
      <c r="C648" t="s">
        <v>181</v>
      </c>
      <c r="D648" t="s">
        <v>51</v>
      </c>
      <c r="E648" t="s">
        <v>52</v>
      </c>
      <c r="F648" t="s">
        <v>18</v>
      </c>
      <c r="G648" s="1">
        <v>44020</v>
      </c>
      <c r="H648" s="1">
        <v>44202</v>
      </c>
      <c r="I648" t="s">
        <v>2554</v>
      </c>
      <c r="J648" t="s">
        <v>2555</v>
      </c>
      <c r="K648" t="s">
        <v>29</v>
      </c>
      <c r="L648" t="s">
        <v>116</v>
      </c>
      <c r="M648" t="s">
        <v>22</v>
      </c>
      <c r="N648" t="str">
        <f t="shared" si="40"/>
        <v>Clean</v>
      </c>
      <c r="O648" t="str">
        <f t="shared" si="43"/>
        <v/>
      </c>
      <c r="P648" t="str">
        <f t="shared" si="41"/>
        <v>Clean</v>
      </c>
      <c r="Q648" t="str">
        <f t="shared" si="42"/>
        <v>Valid</v>
      </c>
    </row>
    <row r="649" spans="1:17" x14ac:dyDescent="0.3">
      <c r="A649" t="s">
        <v>2556</v>
      </c>
      <c r="B649" t="s">
        <v>2557</v>
      </c>
      <c r="C649" t="s">
        <v>87</v>
      </c>
      <c r="D649" t="s">
        <v>67</v>
      </c>
      <c r="E649" t="s">
        <v>26</v>
      </c>
      <c r="F649" t="s">
        <v>151</v>
      </c>
      <c r="G649" s="1">
        <v>45227</v>
      </c>
      <c r="H649" s="1">
        <v>45301</v>
      </c>
      <c r="I649" t="s">
        <v>2558</v>
      </c>
      <c r="J649" t="s">
        <v>1074</v>
      </c>
      <c r="K649" t="s">
        <v>29</v>
      </c>
      <c r="L649" t="s">
        <v>60</v>
      </c>
      <c r="M649" t="s">
        <v>22</v>
      </c>
      <c r="N649" t="str">
        <f t="shared" si="40"/>
        <v>Clean</v>
      </c>
      <c r="O649" t="str">
        <f t="shared" si="43"/>
        <v/>
      </c>
      <c r="P649" t="str">
        <f t="shared" si="41"/>
        <v>Clean</v>
      </c>
      <c r="Q649" t="str">
        <f t="shared" si="42"/>
        <v>Valid</v>
      </c>
    </row>
    <row r="650" spans="1:17" x14ac:dyDescent="0.3">
      <c r="A650" t="s">
        <v>2559</v>
      </c>
      <c r="B650" t="s">
        <v>2560</v>
      </c>
      <c r="C650" t="s">
        <v>33</v>
      </c>
      <c r="D650" t="s">
        <v>51</v>
      </c>
      <c r="E650" t="s">
        <v>52</v>
      </c>
      <c r="F650" t="s">
        <v>18</v>
      </c>
      <c r="G650" s="1">
        <v>43697</v>
      </c>
      <c r="H650" s="1">
        <v>44035</v>
      </c>
      <c r="I650" t="s">
        <v>2561</v>
      </c>
      <c r="J650" t="s">
        <v>2562</v>
      </c>
      <c r="K650" t="s">
        <v>37</v>
      </c>
      <c r="M650" t="s">
        <v>3735</v>
      </c>
      <c r="N650" t="str">
        <f t="shared" si="40"/>
        <v>Flagged</v>
      </c>
      <c r="O650" t="str">
        <f t="shared" si="43"/>
        <v>Missing Verified_By</v>
      </c>
      <c r="P650" t="str">
        <f t="shared" si="41"/>
        <v>Flagged for Review</v>
      </c>
      <c r="Q650" t="str">
        <f t="shared" si="42"/>
        <v>Valid</v>
      </c>
    </row>
    <row r="651" spans="1:17" x14ac:dyDescent="0.3">
      <c r="A651" t="s">
        <v>2563</v>
      </c>
      <c r="B651" t="s">
        <v>2564</v>
      </c>
      <c r="C651" t="s">
        <v>46</v>
      </c>
      <c r="D651" t="s">
        <v>34</v>
      </c>
      <c r="E651" t="s">
        <v>26</v>
      </c>
      <c r="F651" t="s">
        <v>18</v>
      </c>
      <c r="G651" s="1">
        <v>45096</v>
      </c>
      <c r="H651" s="1">
        <v>45237</v>
      </c>
      <c r="I651" t="s">
        <v>2565</v>
      </c>
      <c r="J651" t="s">
        <v>2566</v>
      </c>
      <c r="K651" t="s">
        <v>21</v>
      </c>
      <c r="L651" t="s">
        <v>60</v>
      </c>
      <c r="M651" t="s">
        <v>22</v>
      </c>
      <c r="N651" t="str">
        <f t="shared" si="40"/>
        <v>Clean</v>
      </c>
      <c r="O651" t="str">
        <f t="shared" si="43"/>
        <v/>
      </c>
      <c r="P651" t="str">
        <f t="shared" si="41"/>
        <v>Clean</v>
      </c>
      <c r="Q651" t="str">
        <f t="shared" si="42"/>
        <v>Valid</v>
      </c>
    </row>
    <row r="652" spans="1:17" x14ac:dyDescent="0.3">
      <c r="A652" t="s">
        <v>2567</v>
      </c>
      <c r="B652" t="s">
        <v>2568</v>
      </c>
      <c r="C652" t="s">
        <v>33</v>
      </c>
      <c r="D652" t="s">
        <v>16</v>
      </c>
      <c r="E652" t="s">
        <v>17</v>
      </c>
      <c r="F652" t="s">
        <v>160</v>
      </c>
      <c r="G652" s="1">
        <v>45450</v>
      </c>
      <c r="H652" s="1">
        <v>45770</v>
      </c>
      <c r="I652" t="s">
        <v>2569</v>
      </c>
      <c r="J652" t="s">
        <v>2570</v>
      </c>
      <c r="K652" t="s">
        <v>21</v>
      </c>
      <c r="L652" t="s">
        <v>60</v>
      </c>
      <c r="M652" t="s">
        <v>22</v>
      </c>
      <c r="N652" t="str">
        <f t="shared" si="40"/>
        <v>Clean</v>
      </c>
      <c r="O652" t="str">
        <f t="shared" si="43"/>
        <v/>
      </c>
      <c r="P652" t="str">
        <f t="shared" si="41"/>
        <v>Clean</v>
      </c>
      <c r="Q652" t="str">
        <f t="shared" si="42"/>
        <v>Valid</v>
      </c>
    </row>
    <row r="653" spans="1:17" x14ac:dyDescent="0.3">
      <c r="A653" t="s">
        <v>2571</v>
      </c>
      <c r="B653" t="s">
        <v>2572</v>
      </c>
      <c r="C653" t="s">
        <v>15</v>
      </c>
      <c r="D653" t="s">
        <v>34</v>
      </c>
      <c r="E653" t="s">
        <v>26</v>
      </c>
      <c r="F653" t="s">
        <v>160</v>
      </c>
      <c r="G653" s="1">
        <v>45308</v>
      </c>
      <c r="H653" s="1">
        <v>45600</v>
      </c>
      <c r="I653" t="s">
        <v>2573</v>
      </c>
      <c r="J653" t="s">
        <v>2574</v>
      </c>
      <c r="K653" t="s">
        <v>21</v>
      </c>
      <c r="L653" t="s">
        <v>91</v>
      </c>
      <c r="M653" t="s">
        <v>22</v>
      </c>
      <c r="N653" t="str">
        <f t="shared" si="40"/>
        <v>Clean</v>
      </c>
      <c r="O653" t="str">
        <f t="shared" si="43"/>
        <v/>
      </c>
      <c r="P653" t="str">
        <f t="shared" si="41"/>
        <v>Clean</v>
      </c>
      <c r="Q653" t="str">
        <f t="shared" si="42"/>
        <v>Valid</v>
      </c>
    </row>
    <row r="654" spans="1:17" x14ac:dyDescent="0.3">
      <c r="A654" t="s">
        <v>2575</v>
      </c>
      <c r="B654" t="s">
        <v>1836</v>
      </c>
      <c r="C654" t="s">
        <v>87</v>
      </c>
      <c r="D654" t="s">
        <v>77</v>
      </c>
      <c r="E654" t="s">
        <v>52</v>
      </c>
      <c r="F654" t="s">
        <v>18</v>
      </c>
      <c r="G654" s="1">
        <v>45421</v>
      </c>
      <c r="H654" s="1">
        <v>45617</v>
      </c>
      <c r="I654" t="s">
        <v>2576</v>
      </c>
      <c r="J654" t="s">
        <v>2577</v>
      </c>
      <c r="K654" t="s">
        <v>37</v>
      </c>
      <c r="M654" t="s">
        <v>3735</v>
      </c>
      <c r="N654" t="str">
        <f t="shared" si="40"/>
        <v>Flagged</v>
      </c>
      <c r="O654" t="str">
        <f t="shared" si="43"/>
        <v>Missing Verified_By</v>
      </c>
      <c r="P654" t="str">
        <f t="shared" si="41"/>
        <v>Flagged for Review</v>
      </c>
      <c r="Q654" t="str">
        <f t="shared" si="42"/>
        <v>Valid</v>
      </c>
    </row>
    <row r="655" spans="1:17" x14ac:dyDescent="0.3">
      <c r="A655" t="s">
        <v>2578</v>
      </c>
      <c r="B655" t="s">
        <v>2579</v>
      </c>
      <c r="C655" t="s">
        <v>33</v>
      </c>
      <c r="D655" t="s">
        <v>34</v>
      </c>
      <c r="E655" t="s">
        <v>26</v>
      </c>
      <c r="F655" t="s">
        <v>160</v>
      </c>
      <c r="G655" s="1">
        <v>44590</v>
      </c>
      <c r="H655" s="1">
        <v>44687</v>
      </c>
      <c r="I655" t="s">
        <v>2580</v>
      </c>
      <c r="J655" t="s">
        <v>2581</v>
      </c>
      <c r="K655" t="s">
        <v>29</v>
      </c>
      <c r="L655" t="s">
        <v>60</v>
      </c>
      <c r="M655" t="s">
        <v>22</v>
      </c>
      <c r="N655" t="str">
        <f t="shared" si="40"/>
        <v>Clean</v>
      </c>
      <c r="O655" t="str">
        <f t="shared" si="43"/>
        <v/>
      </c>
      <c r="P655" t="str">
        <f t="shared" si="41"/>
        <v>Clean</v>
      </c>
      <c r="Q655" t="str">
        <f t="shared" si="42"/>
        <v>Valid</v>
      </c>
    </row>
    <row r="656" spans="1:17" x14ac:dyDescent="0.3">
      <c r="A656" t="s">
        <v>2582</v>
      </c>
      <c r="B656" t="s">
        <v>2583</v>
      </c>
      <c r="C656" t="s">
        <v>40</v>
      </c>
      <c r="D656" t="s">
        <v>16</v>
      </c>
      <c r="E656" t="s">
        <v>17</v>
      </c>
      <c r="F656" t="s">
        <v>18</v>
      </c>
      <c r="G656" s="1">
        <v>44822</v>
      </c>
      <c r="H656" s="1">
        <v>45166</v>
      </c>
      <c r="I656" t="s">
        <v>2584</v>
      </c>
      <c r="J656" t="s">
        <v>2585</v>
      </c>
      <c r="K656" t="s">
        <v>29</v>
      </c>
      <c r="M656" t="s">
        <v>3735</v>
      </c>
      <c r="N656" t="str">
        <f t="shared" si="40"/>
        <v>Flagged</v>
      </c>
      <c r="O656" t="str">
        <f t="shared" si="43"/>
        <v>Missing Verified_By</v>
      </c>
      <c r="P656" t="str">
        <f t="shared" si="41"/>
        <v>Flagged for Review</v>
      </c>
      <c r="Q656" t="str">
        <f t="shared" si="42"/>
        <v>Valid</v>
      </c>
    </row>
    <row r="657" spans="1:17" x14ac:dyDescent="0.3">
      <c r="A657" t="s">
        <v>2586</v>
      </c>
      <c r="B657" t="s">
        <v>2587</v>
      </c>
      <c r="C657" t="s">
        <v>181</v>
      </c>
      <c r="D657" t="s">
        <v>34</v>
      </c>
      <c r="E657" t="s">
        <v>26</v>
      </c>
      <c r="F657" t="s">
        <v>18</v>
      </c>
      <c r="G657" s="1">
        <v>44151</v>
      </c>
      <c r="H657" s="1">
        <v>44258</v>
      </c>
      <c r="I657" t="s">
        <v>2588</v>
      </c>
      <c r="J657" t="s">
        <v>2589</v>
      </c>
      <c r="K657" t="s">
        <v>90</v>
      </c>
      <c r="M657" t="s">
        <v>3735</v>
      </c>
      <c r="N657" t="str">
        <f t="shared" si="40"/>
        <v>Flagged</v>
      </c>
      <c r="O657" t="str">
        <f t="shared" si="43"/>
        <v>Missing Verified_By</v>
      </c>
      <c r="P657" t="str">
        <f t="shared" si="41"/>
        <v>Flagged for Review</v>
      </c>
      <c r="Q657" t="str">
        <f t="shared" si="42"/>
        <v>Valid</v>
      </c>
    </row>
    <row r="658" spans="1:17" x14ac:dyDescent="0.3">
      <c r="A658" t="s">
        <v>2590</v>
      </c>
      <c r="B658" t="s">
        <v>2591</v>
      </c>
      <c r="C658" t="s">
        <v>46</v>
      </c>
      <c r="D658" t="s">
        <v>51</v>
      </c>
      <c r="E658" t="s">
        <v>52</v>
      </c>
      <c r="F658" t="s">
        <v>18</v>
      </c>
      <c r="G658" s="1">
        <v>45083</v>
      </c>
      <c r="H658" s="1">
        <v>45237</v>
      </c>
      <c r="I658" t="s">
        <v>2592</v>
      </c>
      <c r="J658" t="s">
        <v>2593</v>
      </c>
      <c r="K658" t="s">
        <v>37</v>
      </c>
      <c r="L658" t="s">
        <v>60</v>
      </c>
      <c r="M658" t="s">
        <v>22</v>
      </c>
      <c r="N658" t="str">
        <f t="shared" si="40"/>
        <v>Clean</v>
      </c>
      <c r="O658" t="str">
        <f t="shared" si="43"/>
        <v/>
      </c>
      <c r="P658" t="str">
        <f t="shared" si="41"/>
        <v>Clean</v>
      </c>
      <c r="Q658" t="str">
        <f t="shared" si="42"/>
        <v>Valid</v>
      </c>
    </row>
    <row r="659" spans="1:17" x14ac:dyDescent="0.3">
      <c r="A659" t="s">
        <v>2594</v>
      </c>
      <c r="B659" t="s">
        <v>2595</v>
      </c>
      <c r="C659" t="s">
        <v>33</v>
      </c>
      <c r="D659" t="s">
        <v>25</v>
      </c>
      <c r="E659" t="s">
        <v>26</v>
      </c>
      <c r="F659" t="s">
        <v>18</v>
      </c>
      <c r="G659" s="1">
        <v>43765</v>
      </c>
      <c r="H659" s="1">
        <v>44092</v>
      </c>
      <c r="I659" t="s">
        <v>2596</v>
      </c>
      <c r="J659" t="s">
        <v>2597</v>
      </c>
      <c r="K659" t="s">
        <v>29</v>
      </c>
      <c r="M659" t="s">
        <v>3735</v>
      </c>
      <c r="N659" t="str">
        <f t="shared" si="40"/>
        <v>Flagged</v>
      </c>
      <c r="O659" t="str">
        <f t="shared" si="43"/>
        <v>Missing Verified_By</v>
      </c>
      <c r="P659" t="str">
        <f t="shared" si="41"/>
        <v>Flagged for Review</v>
      </c>
      <c r="Q659" t="str">
        <f t="shared" si="42"/>
        <v>Valid</v>
      </c>
    </row>
    <row r="660" spans="1:17" x14ac:dyDescent="0.3">
      <c r="A660" t="s">
        <v>2598</v>
      </c>
      <c r="B660" t="s">
        <v>2599</v>
      </c>
      <c r="C660" t="s">
        <v>40</v>
      </c>
      <c r="D660" t="s">
        <v>51</v>
      </c>
      <c r="E660" t="s">
        <v>52</v>
      </c>
      <c r="F660" t="s">
        <v>18</v>
      </c>
      <c r="G660" s="1">
        <v>44754</v>
      </c>
      <c r="H660" s="1">
        <v>44862</v>
      </c>
      <c r="I660" t="s">
        <v>2600</v>
      </c>
      <c r="J660" t="s">
        <v>2601</v>
      </c>
      <c r="K660" t="s">
        <v>21</v>
      </c>
      <c r="L660" t="s">
        <v>55</v>
      </c>
      <c r="M660" t="s">
        <v>22</v>
      </c>
      <c r="N660" t="str">
        <f t="shared" si="40"/>
        <v>Clean</v>
      </c>
      <c r="O660" t="str">
        <f t="shared" si="43"/>
        <v/>
      </c>
      <c r="P660" t="str">
        <f t="shared" si="41"/>
        <v>Clean</v>
      </c>
      <c r="Q660" t="str">
        <f t="shared" si="42"/>
        <v>Valid</v>
      </c>
    </row>
    <row r="661" spans="1:17" x14ac:dyDescent="0.3">
      <c r="A661" t="s">
        <v>2602</v>
      </c>
      <c r="B661" t="s">
        <v>782</v>
      </c>
      <c r="C661" t="s">
        <v>87</v>
      </c>
      <c r="D661" t="s">
        <v>16</v>
      </c>
      <c r="E661" t="s">
        <v>17</v>
      </c>
      <c r="F661" t="s">
        <v>18</v>
      </c>
      <c r="G661" s="1">
        <v>44804</v>
      </c>
      <c r="H661" s="1">
        <v>45036</v>
      </c>
      <c r="I661" t="s">
        <v>2603</v>
      </c>
      <c r="J661" t="s">
        <v>2604</v>
      </c>
      <c r="K661" t="s">
        <v>37</v>
      </c>
      <c r="M661" t="s">
        <v>3735</v>
      </c>
      <c r="N661" t="str">
        <f t="shared" si="40"/>
        <v>Flagged</v>
      </c>
      <c r="O661" t="str">
        <f t="shared" si="43"/>
        <v>Missing Verified_By</v>
      </c>
      <c r="P661" t="str">
        <f t="shared" si="41"/>
        <v>Flagged for Review</v>
      </c>
      <c r="Q661" t="str">
        <f t="shared" si="42"/>
        <v>Valid</v>
      </c>
    </row>
    <row r="662" spans="1:17" x14ac:dyDescent="0.3">
      <c r="A662" t="s">
        <v>2605</v>
      </c>
      <c r="B662" t="s">
        <v>2606</v>
      </c>
      <c r="C662" t="s">
        <v>33</v>
      </c>
      <c r="D662" t="s">
        <v>16</v>
      </c>
      <c r="E662" t="s">
        <v>17</v>
      </c>
      <c r="F662" t="s">
        <v>151</v>
      </c>
      <c r="G662" s="1">
        <v>43629</v>
      </c>
      <c r="H662" s="1">
        <v>43812</v>
      </c>
      <c r="I662" t="s">
        <v>2607</v>
      </c>
      <c r="J662" t="s">
        <v>2608</v>
      </c>
      <c r="K662" t="s">
        <v>90</v>
      </c>
      <c r="L662" t="s">
        <v>116</v>
      </c>
      <c r="M662" t="s">
        <v>22</v>
      </c>
      <c r="N662" t="str">
        <f t="shared" si="40"/>
        <v>Clean</v>
      </c>
      <c r="O662" t="str">
        <f t="shared" si="43"/>
        <v/>
      </c>
      <c r="P662" t="str">
        <f t="shared" si="41"/>
        <v>Clean</v>
      </c>
      <c r="Q662" t="str">
        <f t="shared" si="42"/>
        <v>Valid</v>
      </c>
    </row>
    <row r="663" spans="1:17" x14ac:dyDescent="0.3">
      <c r="A663" t="s">
        <v>2609</v>
      </c>
      <c r="B663" t="s">
        <v>2610</v>
      </c>
      <c r="C663" t="s">
        <v>87</v>
      </c>
      <c r="D663" t="s">
        <v>41</v>
      </c>
      <c r="E663" t="s">
        <v>17</v>
      </c>
      <c r="F663" t="s">
        <v>18</v>
      </c>
      <c r="G663" s="1">
        <v>43803</v>
      </c>
      <c r="H663" s="1">
        <v>43852</v>
      </c>
      <c r="I663" t="s">
        <v>2611</v>
      </c>
      <c r="J663" t="s">
        <v>2612</v>
      </c>
      <c r="K663" t="s">
        <v>90</v>
      </c>
      <c r="M663" t="s">
        <v>3735</v>
      </c>
      <c r="N663" t="str">
        <f t="shared" si="40"/>
        <v>Flagged</v>
      </c>
      <c r="O663" t="str">
        <f t="shared" si="43"/>
        <v>Missing Verified_By</v>
      </c>
      <c r="P663" t="str">
        <f t="shared" si="41"/>
        <v>Flagged for Review</v>
      </c>
      <c r="Q663" t="str">
        <f t="shared" si="42"/>
        <v>Valid</v>
      </c>
    </row>
    <row r="664" spans="1:17" x14ac:dyDescent="0.3">
      <c r="A664" t="s">
        <v>2613</v>
      </c>
      <c r="B664" t="s">
        <v>2614</v>
      </c>
      <c r="C664" t="s">
        <v>76</v>
      </c>
      <c r="D664" t="s">
        <v>41</v>
      </c>
      <c r="E664" t="s">
        <v>17</v>
      </c>
      <c r="F664" t="s">
        <v>18</v>
      </c>
      <c r="G664" s="1">
        <v>43785</v>
      </c>
      <c r="H664" s="1">
        <v>44135</v>
      </c>
      <c r="I664" t="s">
        <v>2615</v>
      </c>
      <c r="J664" t="s">
        <v>1439</v>
      </c>
      <c r="K664" t="s">
        <v>90</v>
      </c>
      <c r="L664" t="s">
        <v>116</v>
      </c>
      <c r="M664" t="s">
        <v>22</v>
      </c>
      <c r="N664" t="str">
        <f t="shared" si="40"/>
        <v>Clean</v>
      </c>
      <c r="O664" t="str">
        <f t="shared" si="43"/>
        <v/>
      </c>
      <c r="P664" t="str">
        <f t="shared" si="41"/>
        <v>Clean</v>
      </c>
      <c r="Q664" t="str">
        <f t="shared" si="42"/>
        <v>Valid</v>
      </c>
    </row>
    <row r="665" spans="1:17" x14ac:dyDescent="0.3">
      <c r="A665" t="s">
        <v>2616</v>
      </c>
      <c r="B665" t="s">
        <v>2617</v>
      </c>
      <c r="C665" t="s">
        <v>46</v>
      </c>
      <c r="D665" t="s">
        <v>34</v>
      </c>
      <c r="E665" t="s">
        <v>26</v>
      </c>
      <c r="F665" t="s">
        <v>151</v>
      </c>
      <c r="G665" s="1">
        <v>45612</v>
      </c>
      <c r="H665" s="1">
        <v>45629</v>
      </c>
      <c r="I665" t="s">
        <v>2618</v>
      </c>
      <c r="J665" t="s">
        <v>2619</v>
      </c>
      <c r="K665" t="s">
        <v>90</v>
      </c>
      <c r="L665" t="s">
        <v>30</v>
      </c>
      <c r="M665" t="s">
        <v>22</v>
      </c>
      <c r="N665" t="str">
        <f t="shared" si="40"/>
        <v>Clean</v>
      </c>
      <c r="O665" t="str">
        <f t="shared" si="43"/>
        <v/>
      </c>
      <c r="P665" t="str">
        <f t="shared" si="41"/>
        <v>Clean</v>
      </c>
      <c r="Q665" t="str">
        <f t="shared" si="42"/>
        <v>Valid</v>
      </c>
    </row>
    <row r="666" spans="1:17" x14ac:dyDescent="0.3">
      <c r="A666" t="s">
        <v>2620</v>
      </c>
      <c r="B666" t="s">
        <v>2621</v>
      </c>
      <c r="C666" t="s">
        <v>181</v>
      </c>
      <c r="D666" t="s">
        <v>67</v>
      </c>
      <c r="E666" t="s">
        <v>26</v>
      </c>
      <c r="F666" t="s">
        <v>18</v>
      </c>
      <c r="G666" s="1">
        <v>45162</v>
      </c>
      <c r="H666" s="1">
        <v>45354</v>
      </c>
      <c r="I666" t="s">
        <v>2622</v>
      </c>
      <c r="J666" t="s">
        <v>2623</v>
      </c>
      <c r="K666" t="s">
        <v>90</v>
      </c>
      <c r="L666" t="s">
        <v>30</v>
      </c>
      <c r="M666" t="s">
        <v>22</v>
      </c>
      <c r="N666" t="str">
        <f t="shared" si="40"/>
        <v>Clean</v>
      </c>
      <c r="O666" t="str">
        <f t="shared" si="43"/>
        <v/>
      </c>
      <c r="P666" t="str">
        <f t="shared" si="41"/>
        <v>Clean</v>
      </c>
      <c r="Q666" t="str">
        <f t="shared" si="42"/>
        <v>Valid</v>
      </c>
    </row>
    <row r="667" spans="1:17" x14ac:dyDescent="0.3">
      <c r="A667" t="s">
        <v>2624</v>
      </c>
      <c r="B667" t="s">
        <v>2625</v>
      </c>
      <c r="C667" t="s">
        <v>33</v>
      </c>
      <c r="D667" t="s">
        <v>67</v>
      </c>
      <c r="E667" t="s">
        <v>26</v>
      </c>
      <c r="F667" t="s">
        <v>18</v>
      </c>
      <c r="G667" s="1">
        <v>44702</v>
      </c>
      <c r="H667" s="1">
        <v>45001</v>
      </c>
      <c r="I667" t="s">
        <v>2626</v>
      </c>
      <c r="J667" t="s">
        <v>2627</v>
      </c>
      <c r="K667" t="s">
        <v>21</v>
      </c>
      <c r="L667" t="s">
        <v>55</v>
      </c>
      <c r="M667" t="s">
        <v>22</v>
      </c>
      <c r="N667" t="str">
        <f t="shared" si="40"/>
        <v>Clean</v>
      </c>
      <c r="O667" t="str">
        <f t="shared" si="43"/>
        <v/>
      </c>
      <c r="P667" t="str">
        <f t="shared" si="41"/>
        <v>Clean</v>
      </c>
      <c r="Q667" t="str">
        <f t="shared" si="42"/>
        <v>Valid</v>
      </c>
    </row>
    <row r="668" spans="1:17" x14ac:dyDescent="0.3">
      <c r="A668" t="s">
        <v>2628</v>
      </c>
      <c r="B668" t="s">
        <v>2629</v>
      </c>
      <c r="C668" t="s">
        <v>181</v>
      </c>
      <c r="D668" t="s">
        <v>67</v>
      </c>
      <c r="E668" t="s">
        <v>26</v>
      </c>
      <c r="F668" t="s">
        <v>18</v>
      </c>
      <c r="G668" s="1">
        <v>45613</v>
      </c>
      <c r="H668" s="1">
        <v>45739</v>
      </c>
      <c r="I668" t="s">
        <v>2630</v>
      </c>
      <c r="J668" t="s">
        <v>2631</v>
      </c>
      <c r="K668" t="s">
        <v>29</v>
      </c>
      <c r="L668" t="s">
        <v>30</v>
      </c>
      <c r="M668" t="s">
        <v>22</v>
      </c>
      <c r="N668" t="str">
        <f t="shared" si="40"/>
        <v>Clean</v>
      </c>
      <c r="O668" t="str">
        <f t="shared" si="43"/>
        <v/>
      </c>
      <c r="P668" t="str">
        <f t="shared" si="41"/>
        <v>Clean</v>
      </c>
      <c r="Q668" t="str">
        <f t="shared" si="42"/>
        <v>Valid</v>
      </c>
    </row>
    <row r="669" spans="1:17" x14ac:dyDescent="0.3">
      <c r="A669" t="s">
        <v>2632</v>
      </c>
      <c r="B669" t="s">
        <v>2633</v>
      </c>
      <c r="C669" t="s">
        <v>181</v>
      </c>
      <c r="D669" t="s">
        <v>34</v>
      </c>
      <c r="E669" t="s">
        <v>26</v>
      </c>
      <c r="F669" t="s">
        <v>18</v>
      </c>
      <c r="G669" s="1">
        <v>45053</v>
      </c>
      <c r="H669" s="1">
        <v>45418</v>
      </c>
      <c r="I669" t="s">
        <v>2634</v>
      </c>
      <c r="J669" t="s">
        <v>2635</v>
      </c>
      <c r="K669" t="s">
        <v>90</v>
      </c>
      <c r="L669" t="s">
        <v>116</v>
      </c>
      <c r="M669" t="s">
        <v>22</v>
      </c>
      <c r="N669" t="str">
        <f t="shared" si="40"/>
        <v>Clean</v>
      </c>
      <c r="O669" t="str">
        <f t="shared" si="43"/>
        <v/>
      </c>
      <c r="P669" t="str">
        <f t="shared" si="41"/>
        <v>Clean</v>
      </c>
      <c r="Q669" t="str">
        <f t="shared" si="42"/>
        <v>Valid</v>
      </c>
    </row>
    <row r="670" spans="1:17" x14ac:dyDescent="0.3">
      <c r="A670" t="s">
        <v>2636</v>
      </c>
      <c r="B670" t="s">
        <v>2637</v>
      </c>
      <c r="C670" t="s">
        <v>33</v>
      </c>
      <c r="D670" t="s">
        <v>34</v>
      </c>
      <c r="E670" t="s">
        <v>26</v>
      </c>
      <c r="F670" t="s">
        <v>151</v>
      </c>
      <c r="G670" s="1">
        <v>45574</v>
      </c>
      <c r="H670" s="1">
        <v>45919</v>
      </c>
      <c r="I670" t="s">
        <v>2638</v>
      </c>
      <c r="J670" t="s">
        <v>2639</v>
      </c>
      <c r="K670" t="s">
        <v>90</v>
      </c>
      <c r="L670" t="s">
        <v>30</v>
      </c>
      <c r="M670" t="s">
        <v>22</v>
      </c>
      <c r="N670" t="str">
        <f t="shared" si="40"/>
        <v>Clean</v>
      </c>
      <c r="O670" t="str">
        <f t="shared" si="43"/>
        <v/>
      </c>
      <c r="P670" t="str">
        <f t="shared" si="41"/>
        <v>Clean</v>
      </c>
      <c r="Q670" t="str">
        <f t="shared" si="42"/>
        <v>Valid</v>
      </c>
    </row>
    <row r="671" spans="1:17" x14ac:dyDescent="0.3">
      <c r="A671" t="s">
        <v>2640</v>
      </c>
      <c r="B671" t="s">
        <v>2641</v>
      </c>
      <c r="C671" t="s">
        <v>76</v>
      </c>
      <c r="D671" t="s">
        <v>41</v>
      </c>
      <c r="E671" t="s">
        <v>17</v>
      </c>
      <c r="F671" t="s">
        <v>151</v>
      </c>
      <c r="G671" s="1">
        <v>44754</v>
      </c>
      <c r="H671" s="1">
        <v>44762</v>
      </c>
      <c r="I671" t="s">
        <v>2642</v>
      </c>
      <c r="J671" t="s">
        <v>2643</v>
      </c>
      <c r="K671" t="s">
        <v>21</v>
      </c>
      <c r="L671" t="s">
        <v>60</v>
      </c>
      <c r="M671" t="s">
        <v>22</v>
      </c>
      <c r="N671" t="str">
        <f t="shared" si="40"/>
        <v>Clean</v>
      </c>
      <c r="O671" t="str">
        <f t="shared" si="43"/>
        <v/>
      </c>
      <c r="P671" t="str">
        <f t="shared" si="41"/>
        <v>Clean</v>
      </c>
      <c r="Q671" t="str">
        <f t="shared" si="42"/>
        <v>Valid</v>
      </c>
    </row>
    <row r="672" spans="1:17" x14ac:dyDescent="0.3">
      <c r="A672" t="s">
        <v>2644</v>
      </c>
      <c r="B672" t="s">
        <v>2645</v>
      </c>
      <c r="C672" t="s">
        <v>33</v>
      </c>
      <c r="D672" t="s">
        <v>67</v>
      </c>
      <c r="E672" t="s">
        <v>26</v>
      </c>
      <c r="F672" t="s">
        <v>18</v>
      </c>
      <c r="G672" s="1">
        <v>44915</v>
      </c>
      <c r="H672" s="1">
        <v>44981</v>
      </c>
      <c r="I672" t="s">
        <v>2646</v>
      </c>
      <c r="J672" t="s">
        <v>2647</v>
      </c>
      <c r="K672" t="s">
        <v>21</v>
      </c>
      <c r="L672" t="s">
        <v>30</v>
      </c>
      <c r="M672" t="s">
        <v>22</v>
      </c>
      <c r="N672" t="str">
        <f t="shared" si="40"/>
        <v>Clean</v>
      </c>
      <c r="O672" t="str">
        <f t="shared" si="43"/>
        <v/>
      </c>
      <c r="P672" t="str">
        <f t="shared" si="41"/>
        <v>Clean</v>
      </c>
      <c r="Q672" t="str">
        <f t="shared" si="42"/>
        <v>Valid</v>
      </c>
    </row>
    <row r="673" spans="1:17" x14ac:dyDescent="0.3">
      <c r="A673" t="s">
        <v>2648</v>
      </c>
      <c r="B673" t="s">
        <v>2649</v>
      </c>
      <c r="C673" t="s">
        <v>15</v>
      </c>
      <c r="D673" t="s">
        <v>51</v>
      </c>
      <c r="E673" t="s">
        <v>52</v>
      </c>
      <c r="F673" t="s">
        <v>18</v>
      </c>
      <c r="G673" s="1">
        <v>43636</v>
      </c>
      <c r="H673" s="1">
        <v>43861</v>
      </c>
      <c r="I673" t="s">
        <v>2650</v>
      </c>
      <c r="J673" t="s">
        <v>2651</v>
      </c>
      <c r="K673" t="s">
        <v>21</v>
      </c>
      <c r="L673" t="s">
        <v>60</v>
      </c>
      <c r="M673" t="s">
        <v>22</v>
      </c>
      <c r="N673" t="str">
        <f t="shared" si="40"/>
        <v>Clean</v>
      </c>
      <c r="O673" t="str">
        <f t="shared" si="43"/>
        <v/>
      </c>
      <c r="P673" t="str">
        <f t="shared" si="41"/>
        <v>Clean</v>
      </c>
      <c r="Q673" t="str">
        <f t="shared" si="42"/>
        <v>Valid</v>
      </c>
    </row>
    <row r="674" spans="1:17" x14ac:dyDescent="0.3">
      <c r="A674" t="s">
        <v>2652</v>
      </c>
      <c r="B674" t="s">
        <v>3728</v>
      </c>
      <c r="C674" t="s">
        <v>76</v>
      </c>
      <c r="D674" t="s">
        <v>25</v>
      </c>
      <c r="E674" t="s">
        <v>26</v>
      </c>
      <c r="F674" t="s">
        <v>160</v>
      </c>
      <c r="G674" s="1">
        <v>45489</v>
      </c>
      <c r="H674" s="1">
        <v>45565</v>
      </c>
      <c r="I674" t="s">
        <v>2654</v>
      </c>
      <c r="J674" t="s">
        <v>2655</v>
      </c>
      <c r="K674" t="s">
        <v>90</v>
      </c>
      <c r="M674" t="s">
        <v>3735</v>
      </c>
      <c r="N674" t="str">
        <f t="shared" si="40"/>
        <v>Flagged</v>
      </c>
      <c r="O674" t="str">
        <f t="shared" si="43"/>
        <v>Missing Verified_By</v>
      </c>
      <c r="P674" t="str">
        <f t="shared" si="41"/>
        <v>Flagged for Review</v>
      </c>
      <c r="Q674" t="str">
        <f t="shared" si="42"/>
        <v>Valid</v>
      </c>
    </row>
    <row r="675" spans="1:17" x14ac:dyDescent="0.3">
      <c r="A675" t="s">
        <v>2656</v>
      </c>
      <c r="B675" t="s">
        <v>2657</v>
      </c>
      <c r="C675" t="s">
        <v>76</v>
      </c>
      <c r="D675" t="s">
        <v>51</v>
      </c>
      <c r="E675" t="s">
        <v>52</v>
      </c>
      <c r="F675" t="s">
        <v>160</v>
      </c>
      <c r="G675" s="1">
        <v>43780</v>
      </c>
      <c r="H675" s="1">
        <v>44110</v>
      </c>
      <c r="I675" t="s">
        <v>2658</v>
      </c>
      <c r="J675" t="s">
        <v>2659</v>
      </c>
      <c r="K675" t="s">
        <v>21</v>
      </c>
      <c r="L675" t="s">
        <v>30</v>
      </c>
      <c r="M675" t="s">
        <v>22</v>
      </c>
      <c r="N675" t="str">
        <f t="shared" si="40"/>
        <v>Clean</v>
      </c>
      <c r="O675" t="str">
        <f t="shared" si="43"/>
        <v/>
      </c>
      <c r="P675" t="str">
        <f t="shared" si="41"/>
        <v>Clean</v>
      </c>
      <c r="Q675" t="str">
        <f t="shared" si="42"/>
        <v>Valid</v>
      </c>
    </row>
    <row r="676" spans="1:17" x14ac:dyDescent="0.3">
      <c r="A676" t="s">
        <v>2660</v>
      </c>
      <c r="B676" t="s">
        <v>2661</v>
      </c>
      <c r="C676" t="s">
        <v>33</v>
      </c>
      <c r="D676" t="s">
        <v>41</v>
      </c>
      <c r="E676" t="s">
        <v>17</v>
      </c>
      <c r="F676" t="s">
        <v>18</v>
      </c>
      <c r="G676" s="1">
        <v>44495</v>
      </c>
      <c r="H676" s="1">
        <v>44814</v>
      </c>
      <c r="I676" t="s">
        <v>2662</v>
      </c>
      <c r="J676" t="s">
        <v>2663</v>
      </c>
      <c r="K676" t="s">
        <v>37</v>
      </c>
      <c r="L676" t="s">
        <v>60</v>
      </c>
      <c r="M676" t="s">
        <v>22</v>
      </c>
      <c r="N676" t="str">
        <f t="shared" si="40"/>
        <v>Clean</v>
      </c>
      <c r="O676" t="str">
        <f t="shared" si="43"/>
        <v/>
      </c>
      <c r="P676" t="str">
        <f t="shared" si="41"/>
        <v>Clean</v>
      </c>
      <c r="Q676" t="str">
        <f t="shared" si="42"/>
        <v>Valid</v>
      </c>
    </row>
    <row r="677" spans="1:17" x14ac:dyDescent="0.3">
      <c r="A677" t="s">
        <v>2664</v>
      </c>
      <c r="B677" t="s">
        <v>2665</v>
      </c>
      <c r="C677" t="s">
        <v>46</v>
      </c>
      <c r="D677" t="s">
        <v>16</v>
      </c>
      <c r="E677" t="s">
        <v>17</v>
      </c>
      <c r="F677" t="s">
        <v>18</v>
      </c>
      <c r="G677" s="1">
        <v>43466</v>
      </c>
      <c r="H677" s="1">
        <v>43541</v>
      </c>
      <c r="I677" t="s">
        <v>2666</v>
      </c>
      <c r="J677" t="s">
        <v>2667</v>
      </c>
      <c r="K677" t="s">
        <v>29</v>
      </c>
      <c r="L677" t="s">
        <v>30</v>
      </c>
      <c r="M677" t="s">
        <v>22</v>
      </c>
      <c r="N677" t="str">
        <f t="shared" si="40"/>
        <v>Clean</v>
      </c>
      <c r="O677" t="str">
        <f t="shared" si="43"/>
        <v/>
      </c>
      <c r="P677" t="str">
        <f t="shared" si="41"/>
        <v>Clean</v>
      </c>
      <c r="Q677" t="str">
        <f t="shared" si="42"/>
        <v>Valid</v>
      </c>
    </row>
    <row r="678" spans="1:17" x14ac:dyDescent="0.3">
      <c r="A678" t="s">
        <v>2668</v>
      </c>
      <c r="B678" t="s">
        <v>2669</v>
      </c>
      <c r="C678" t="s">
        <v>76</v>
      </c>
      <c r="D678" t="s">
        <v>25</v>
      </c>
      <c r="E678" t="s">
        <v>26</v>
      </c>
      <c r="F678" t="s">
        <v>151</v>
      </c>
      <c r="G678" s="1">
        <v>45603</v>
      </c>
      <c r="H678" s="1">
        <v>45699</v>
      </c>
      <c r="I678" t="s">
        <v>2670</v>
      </c>
      <c r="J678" t="s">
        <v>2671</v>
      </c>
      <c r="K678" t="s">
        <v>90</v>
      </c>
      <c r="L678" t="s">
        <v>60</v>
      </c>
      <c r="M678" t="s">
        <v>22</v>
      </c>
      <c r="N678" t="str">
        <f t="shared" si="40"/>
        <v>Clean</v>
      </c>
      <c r="O678" t="str">
        <f t="shared" si="43"/>
        <v/>
      </c>
      <c r="P678" t="str">
        <f t="shared" si="41"/>
        <v>Clean</v>
      </c>
      <c r="Q678" t="str">
        <f t="shared" si="42"/>
        <v>Valid</v>
      </c>
    </row>
    <row r="679" spans="1:17" x14ac:dyDescent="0.3">
      <c r="A679" t="s">
        <v>2672</v>
      </c>
      <c r="B679" t="s">
        <v>2673</v>
      </c>
      <c r="C679" t="s">
        <v>87</v>
      </c>
      <c r="D679" t="s">
        <v>25</v>
      </c>
      <c r="E679" t="s">
        <v>26</v>
      </c>
      <c r="F679" t="s">
        <v>18</v>
      </c>
      <c r="G679" s="1">
        <v>45053</v>
      </c>
      <c r="H679" s="1">
        <v>45150</v>
      </c>
      <c r="I679" t="s">
        <v>2674</v>
      </c>
      <c r="J679" t="s">
        <v>2675</v>
      </c>
      <c r="K679" t="s">
        <v>37</v>
      </c>
      <c r="L679" t="s">
        <v>91</v>
      </c>
      <c r="M679" t="s">
        <v>22</v>
      </c>
      <c r="N679" t="str">
        <f t="shared" si="40"/>
        <v>Clean</v>
      </c>
      <c r="O679" t="str">
        <f t="shared" si="43"/>
        <v/>
      </c>
      <c r="P679" t="str">
        <f t="shared" si="41"/>
        <v>Clean</v>
      </c>
      <c r="Q679" t="str">
        <f t="shared" si="42"/>
        <v>Valid</v>
      </c>
    </row>
    <row r="680" spans="1:17" x14ac:dyDescent="0.3">
      <c r="A680" t="s">
        <v>2676</v>
      </c>
      <c r="B680" t="s">
        <v>2677</v>
      </c>
      <c r="C680" t="s">
        <v>76</v>
      </c>
      <c r="D680" t="s">
        <v>16</v>
      </c>
      <c r="E680" t="s">
        <v>17</v>
      </c>
      <c r="F680" t="s">
        <v>18</v>
      </c>
      <c r="G680" s="1">
        <v>45018</v>
      </c>
      <c r="H680" s="1">
        <v>45353</v>
      </c>
      <c r="I680" t="s">
        <v>2678</v>
      </c>
      <c r="J680" t="s">
        <v>2679</v>
      </c>
      <c r="K680" t="s">
        <v>37</v>
      </c>
      <c r="L680" t="s">
        <v>116</v>
      </c>
      <c r="M680" t="s">
        <v>22</v>
      </c>
      <c r="N680" t="str">
        <f t="shared" si="40"/>
        <v>Clean</v>
      </c>
      <c r="O680" t="str">
        <f t="shared" si="43"/>
        <v/>
      </c>
      <c r="P680" t="str">
        <f t="shared" si="41"/>
        <v>Clean</v>
      </c>
      <c r="Q680" t="str">
        <f t="shared" si="42"/>
        <v>Valid</v>
      </c>
    </row>
    <row r="681" spans="1:17" x14ac:dyDescent="0.3">
      <c r="A681" t="s">
        <v>2680</v>
      </c>
      <c r="B681" t="s">
        <v>2681</v>
      </c>
      <c r="C681" t="s">
        <v>76</v>
      </c>
      <c r="D681" t="s">
        <v>51</v>
      </c>
      <c r="E681" t="s">
        <v>52</v>
      </c>
      <c r="F681" t="s">
        <v>18</v>
      </c>
      <c r="G681" s="1">
        <v>45139</v>
      </c>
      <c r="H681" s="1">
        <v>45270</v>
      </c>
      <c r="I681" t="s">
        <v>2682</v>
      </c>
      <c r="J681" t="s">
        <v>2683</v>
      </c>
      <c r="K681" t="s">
        <v>90</v>
      </c>
      <c r="L681" t="s">
        <v>91</v>
      </c>
      <c r="M681" t="s">
        <v>22</v>
      </c>
      <c r="N681" t="str">
        <f t="shared" si="40"/>
        <v>Clean</v>
      </c>
      <c r="O681" t="str">
        <f t="shared" si="43"/>
        <v/>
      </c>
      <c r="P681" t="str">
        <f t="shared" si="41"/>
        <v>Clean</v>
      </c>
      <c r="Q681" t="str">
        <f t="shared" si="42"/>
        <v>Valid</v>
      </c>
    </row>
    <row r="682" spans="1:17" x14ac:dyDescent="0.3">
      <c r="A682" t="s">
        <v>2684</v>
      </c>
      <c r="B682" t="s">
        <v>2685</v>
      </c>
      <c r="C682" t="s">
        <v>15</v>
      </c>
      <c r="D682" t="s">
        <v>16</v>
      </c>
      <c r="E682" t="s">
        <v>17</v>
      </c>
      <c r="F682" t="s">
        <v>18</v>
      </c>
      <c r="G682" s="1">
        <v>44191</v>
      </c>
      <c r="H682" s="1">
        <v>44512</v>
      </c>
      <c r="I682" t="s">
        <v>2686</v>
      </c>
      <c r="J682" t="s">
        <v>2687</v>
      </c>
      <c r="K682" t="s">
        <v>21</v>
      </c>
      <c r="M682" t="s">
        <v>3735</v>
      </c>
      <c r="N682" t="str">
        <f t="shared" si="40"/>
        <v>Flagged</v>
      </c>
      <c r="O682" t="str">
        <f t="shared" si="43"/>
        <v>Missing Verified_By</v>
      </c>
      <c r="P682" t="str">
        <f t="shared" si="41"/>
        <v>Flagged for Review</v>
      </c>
      <c r="Q682" t="str">
        <f t="shared" si="42"/>
        <v>Valid</v>
      </c>
    </row>
    <row r="683" spans="1:17" x14ac:dyDescent="0.3">
      <c r="A683" t="s">
        <v>2688</v>
      </c>
      <c r="B683" t="s">
        <v>2689</v>
      </c>
      <c r="C683" t="s">
        <v>15</v>
      </c>
      <c r="D683" t="s">
        <v>34</v>
      </c>
      <c r="E683" t="s">
        <v>26</v>
      </c>
      <c r="F683" t="s">
        <v>160</v>
      </c>
      <c r="G683" s="1">
        <v>44433</v>
      </c>
      <c r="H683" s="1">
        <v>44485</v>
      </c>
      <c r="I683" t="s">
        <v>2690</v>
      </c>
      <c r="J683" t="s">
        <v>2691</v>
      </c>
      <c r="K683" t="s">
        <v>37</v>
      </c>
      <c r="L683" t="s">
        <v>55</v>
      </c>
      <c r="M683" t="s">
        <v>22</v>
      </c>
      <c r="N683" t="str">
        <f t="shared" si="40"/>
        <v>Clean</v>
      </c>
      <c r="O683" t="str">
        <f t="shared" si="43"/>
        <v/>
      </c>
      <c r="P683" t="str">
        <f t="shared" si="41"/>
        <v>Clean</v>
      </c>
      <c r="Q683" t="str">
        <f t="shared" si="42"/>
        <v>Valid</v>
      </c>
    </row>
    <row r="684" spans="1:17" x14ac:dyDescent="0.3">
      <c r="A684" t="s">
        <v>2692</v>
      </c>
      <c r="B684" t="s">
        <v>2693</v>
      </c>
      <c r="C684" t="s">
        <v>46</v>
      </c>
      <c r="D684" t="s">
        <v>25</v>
      </c>
      <c r="E684" t="s">
        <v>26</v>
      </c>
      <c r="F684" t="s">
        <v>18</v>
      </c>
      <c r="G684" s="1">
        <v>44183</v>
      </c>
      <c r="H684" s="1">
        <v>44514</v>
      </c>
      <c r="I684" t="s">
        <v>2694</v>
      </c>
      <c r="J684" t="s">
        <v>2695</v>
      </c>
      <c r="K684" t="s">
        <v>37</v>
      </c>
      <c r="L684" t="s">
        <v>55</v>
      </c>
      <c r="M684" t="s">
        <v>22</v>
      </c>
      <c r="N684" t="str">
        <f t="shared" si="40"/>
        <v>Clean</v>
      </c>
      <c r="O684" t="str">
        <f t="shared" si="43"/>
        <v/>
      </c>
      <c r="P684" t="str">
        <f t="shared" si="41"/>
        <v>Clean</v>
      </c>
      <c r="Q684" t="str">
        <f t="shared" si="42"/>
        <v>Valid</v>
      </c>
    </row>
    <row r="685" spans="1:17" x14ac:dyDescent="0.3">
      <c r="A685" t="s">
        <v>2696</v>
      </c>
      <c r="B685" t="s">
        <v>2697</v>
      </c>
      <c r="C685" t="s">
        <v>87</v>
      </c>
      <c r="D685" t="s">
        <v>41</v>
      </c>
      <c r="E685" t="s">
        <v>17</v>
      </c>
      <c r="F685" t="s">
        <v>18</v>
      </c>
      <c r="G685" s="1">
        <v>44473</v>
      </c>
      <c r="H685" s="1">
        <v>44564</v>
      </c>
      <c r="I685" t="s">
        <v>2698</v>
      </c>
      <c r="J685" t="s">
        <v>2699</v>
      </c>
      <c r="K685" t="s">
        <v>37</v>
      </c>
      <c r="L685" t="s">
        <v>116</v>
      </c>
      <c r="M685" t="s">
        <v>22</v>
      </c>
      <c r="N685" t="str">
        <f t="shared" si="40"/>
        <v>Clean</v>
      </c>
      <c r="O685" t="str">
        <f t="shared" si="43"/>
        <v/>
      </c>
      <c r="P685" t="str">
        <f t="shared" si="41"/>
        <v>Clean</v>
      </c>
      <c r="Q685" t="str">
        <f t="shared" si="42"/>
        <v>Valid</v>
      </c>
    </row>
    <row r="686" spans="1:17" x14ac:dyDescent="0.3">
      <c r="A686" t="s">
        <v>2700</v>
      </c>
      <c r="B686" t="s">
        <v>2701</v>
      </c>
      <c r="C686" t="s">
        <v>76</v>
      </c>
      <c r="D686" t="s">
        <v>34</v>
      </c>
      <c r="E686" t="s">
        <v>26</v>
      </c>
      <c r="F686" t="s">
        <v>151</v>
      </c>
      <c r="G686" s="1">
        <v>44528</v>
      </c>
      <c r="H686" s="1">
        <v>44872</v>
      </c>
      <c r="I686" t="s">
        <v>2702</v>
      </c>
      <c r="J686" t="s">
        <v>2703</v>
      </c>
      <c r="K686" t="s">
        <v>90</v>
      </c>
      <c r="L686" t="s">
        <v>60</v>
      </c>
      <c r="M686" t="s">
        <v>22</v>
      </c>
      <c r="N686" t="str">
        <f t="shared" si="40"/>
        <v>Clean</v>
      </c>
      <c r="O686" t="str">
        <f t="shared" si="43"/>
        <v/>
      </c>
      <c r="P686" t="str">
        <f t="shared" si="41"/>
        <v>Clean</v>
      </c>
      <c r="Q686" t="str">
        <f t="shared" si="42"/>
        <v>Valid</v>
      </c>
    </row>
    <row r="687" spans="1:17" x14ac:dyDescent="0.3">
      <c r="A687" t="s">
        <v>2704</v>
      </c>
      <c r="B687" t="s">
        <v>2705</v>
      </c>
      <c r="C687" t="s">
        <v>15</v>
      </c>
      <c r="D687" t="s">
        <v>25</v>
      </c>
      <c r="E687" t="s">
        <v>26</v>
      </c>
      <c r="F687" t="s">
        <v>18</v>
      </c>
      <c r="G687" s="1">
        <v>45366</v>
      </c>
      <c r="H687" s="1">
        <v>45570</v>
      </c>
      <c r="I687" t="s">
        <v>2706</v>
      </c>
      <c r="J687" t="s">
        <v>2707</v>
      </c>
      <c r="K687" t="s">
        <v>21</v>
      </c>
      <c r="M687" t="s">
        <v>3735</v>
      </c>
      <c r="N687" t="str">
        <f t="shared" si="40"/>
        <v>Flagged</v>
      </c>
      <c r="O687" t="str">
        <f t="shared" si="43"/>
        <v>Missing Verified_By</v>
      </c>
      <c r="P687" t="str">
        <f t="shared" si="41"/>
        <v>Flagged for Review</v>
      </c>
      <c r="Q687" t="str">
        <f t="shared" si="42"/>
        <v>Valid</v>
      </c>
    </row>
    <row r="688" spans="1:17" x14ac:dyDescent="0.3">
      <c r="A688" t="s">
        <v>2708</v>
      </c>
      <c r="B688" t="s">
        <v>1473</v>
      </c>
      <c r="C688" t="s">
        <v>46</v>
      </c>
      <c r="D688" t="s">
        <v>77</v>
      </c>
      <c r="E688" t="s">
        <v>52</v>
      </c>
      <c r="F688" t="s">
        <v>18</v>
      </c>
      <c r="G688" s="1">
        <v>44611</v>
      </c>
      <c r="H688" s="1">
        <v>44807</v>
      </c>
      <c r="I688" t="s">
        <v>2709</v>
      </c>
      <c r="J688" t="s">
        <v>2710</v>
      </c>
      <c r="K688" t="s">
        <v>37</v>
      </c>
      <c r="M688" t="s">
        <v>3735</v>
      </c>
      <c r="N688" t="str">
        <f t="shared" si="40"/>
        <v>Flagged</v>
      </c>
      <c r="O688" t="str">
        <f t="shared" si="43"/>
        <v>Missing Verified_By</v>
      </c>
      <c r="P688" t="str">
        <f t="shared" si="41"/>
        <v>Flagged for Review</v>
      </c>
      <c r="Q688" t="str">
        <f t="shared" si="42"/>
        <v>Valid</v>
      </c>
    </row>
    <row r="689" spans="1:17" x14ac:dyDescent="0.3">
      <c r="A689" t="s">
        <v>2711</v>
      </c>
      <c r="B689" t="s">
        <v>2712</v>
      </c>
      <c r="C689" t="s">
        <v>76</v>
      </c>
      <c r="D689" t="s">
        <v>41</v>
      </c>
      <c r="E689" t="s">
        <v>17</v>
      </c>
      <c r="F689" t="s">
        <v>160</v>
      </c>
      <c r="G689" s="1">
        <v>45461</v>
      </c>
      <c r="H689" s="1">
        <v>45630</v>
      </c>
      <c r="I689" t="s">
        <v>2713</v>
      </c>
      <c r="J689" t="s">
        <v>2714</v>
      </c>
      <c r="K689" t="s">
        <v>37</v>
      </c>
      <c r="L689" t="s">
        <v>60</v>
      </c>
      <c r="M689" t="s">
        <v>22</v>
      </c>
      <c r="N689" t="str">
        <f t="shared" si="40"/>
        <v>Clean</v>
      </c>
      <c r="O689" t="str">
        <f t="shared" si="43"/>
        <v/>
      </c>
      <c r="P689" t="str">
        <f t="shared" si="41"/>
        <v>Clean</v>
      </c>
      <c r="Q689" t="str">
        <f t="shared" si="42"/>
        <v>Valid</v>
      </c>
    </row>
    <row r="690" spans="1:17" x14ac:dyDescent="0.3">
      <c r="A690" t="s">
        <v>2715</v>
      </c>
      <c r="B690" t="s">
        <v>2716</v>
      </c>
      <c r="C690" t="s">
        <v>15</v>
      </c>
      <c r="D690" t="s">
        <v>16</v>
      </c>
      <c r="E690" t="s">
        <v>17</v>
      </c>
      <c r="F690" t="s">
        <v>160</v>
      </c>
      <c r="G690" s="1">
        <v>44149</v>
      </c>
      <c r="I690" t="s">
        <v>2717</v>
      </c>
      <c r="J690" t="s">
        <v>2718</v>
      </c>
      <c r="K690" t="s">
        <v>90</v>
      </c>
      <c r="L690" t="s">
        <v>60</v>
      </c>
      <c r="M690" t="s">
        <v>3735</v>
      </c>
      <c r="N690" t="str">
        <f t="shared" si="40"/>
        <v>Flagged</v>
      </c>
      <c r="O690" t="str">
        <f t="shared" si="43"/>
        <v>Missing Last_Updated</v>
      </c>
      <c r="P690" t="str">
        <f t="shared" si="41"/>
        <v>Flagged for Review</v>
      </c>
      <c r="Q690" t="str">
        <f t="shared" si="42"/>
        <v>Valid</v>
      </c>
    </row>
    <row r="691" spans="1:17" x14ac:dyDescent="0.3">
      <c r="A691" t="s">
        <v>2719</v>
      </c>
      <c r="B691" t="s">
        <v>2720</v>
      </c>
      <c r="C691" t="s">
        <v>87</v>
      </c>
      <c r="D691" t="s">
        <v>77</v>
      </c>
      <c r="E691" t="s">
        <v>52</v>
      </c>
      <c r="F691" t="s">
        <v>151</v>
      </c>
      <c r="G691" s="1">
        <v>44775</v>
      </c>
      <c r="H691" s="1">
        <v>45116</v>
      </c>
      <c r="I691" t="s">
        <v>2721</v>
      </c>
      <c r="J691" t="s">
        <v>2722</v>
      </c>
      <c r="K691" t="s">
        <v>29</v>
      </c>
      <c r="L691" t="s">
        <v>116</v>
      </c>
      <c r="M691" t="s">
        <v>22</v>
      </c>
      <c r="N691" t="str">
        <f t="shared" si="40"/>
        <v>Clean</v>
      </c>
      <c r="O691" t="str">
        <f t="shared" si="43"/>
        <v/>
      </c>
      <c r="P691" t="str">
        <f t="shared" si="41"/>
        <v>Clean</v>
      </c>
      <c r="Q691" t="str">
        <f t="shared" si="42"/>
        <v>Valid</v>
      </c>
    </row>
    <row r="692" spans="1:17" x14ac:dyDescent="0.3">
      <c r="A692" t="s">
        <v>2723</v>
      </c>
      <c r="B692" t="s">
        <v>3721</v>
      </c>
      <c r="C692" t="s">
        <v>181</v>
      </c>
      <c r="D692" t="s">
        <v>67</v>
      </c>
      <c r="E692" t="s">
        <v>26</v>
      </c>
      <c r="F692" t="s">
        <v>18</v>
      </c>
      <c r="G692" s="1">
        <v>44179</v>
      </c>
      <c r="H692" s="1">
        <v>44314</v>
      </c>
      <c r="I692" t="s">
        <v>2724</v>
      </c>
      <c r="J692" t="s">
        <v>2725</v>
      </c>
      <c r="K692" t="s">
        <v>21</v>
      </c>
      <c r="L692" t="s">
        <v>91</v>
      </c>
      <c r="M692" t="s">
        <v>3735</v>
      </c>
      <c r="N692" t="str">
        <f t="shared" si="40"/>
        <v>Flagged</v>
      </c>
      <c r="O692" t="str">
        <f t="shared" si="43"/>
        <v>Missing Vendor_Name</v>
      </c>
      <c r="P692" t="str">
        <f t="shared" si="41"/>
        <v>Flagged for Review</v>
      </c>
      <c r="Q692" t="str">
        <f t="shared" si="42"/>
        <v>Valid</v>
      </c>
    </row>
    <row r="693" spans="1:17" x14ac:dyDescent="0.3">
      <c r="A693" t="s">
        <v>2726</v>
      </c>
      <c r="B693" t="s">
        <v>3721</v>
      </c>
      <c r="C693" t="s">
        <v>87</v>
      </c>
      <c r="D693" t="s">
        <v>51</v>
      </c>
      <c r="E693" t="s">
        <v>52</v>
      </c>
      <c r="F693" t="s">
        <v>151</v>
      </c>
      <c r="G693" s="1">
        <v>45384</v>
      </c>
      <c r="H693" s="1">
        <v>45451</v>
      </c>
      <c r="I693" t="s">
        <v>2727</v>
      </c>
      <c r="J693" t="s">
        <v>2728</v>
      </c>
      <c r="K693" t="s">
        <v>21</v>
      </c>
      <c r="M693" t="s">
        <v>3735</v>
      </c>
      <c r="N693" t="str">
        <f t="shared" si="40"/>
        <v>Flagged</v>
      </c>
      <c r="O693" t="str">
        <f t="shared" si="43"/>
        <v>Missing Vendor_Name Missing Verified_By</v>
      </c>
      <c r="P693" t="str">
        <f t="shared" si="41"/>
        <v>Flagged for Review</v>
      </c>
      <c r="Q693" t="str">
        <f t="shared" si="42"/>
        <v>Valid</v>
      </c>
    </row>
    <row r="694" spans="1:17" x14ac:dyDescent="0.3">
      <c r="A694" t="s">
        <v>2729</v>
      </c>
      <c r="B694" t="s">
        <v>2730</v>
      </c>
      <c r="C694" t="s">
        <v>87</v>
      </c>
      <c r="D694" t="s">
        <v>16</v>
      </c>
      <c r="E694" t="s">
        <v>17</v>
      </c>
      <c r="F694" t="s">
        <v>18</v>
      </c>
      <c r="G694" s="1">
        <v>45624</v>
      </c>
      <c r="H694" s="1">
        <v>45835</v>
      </c>
      <c r="I694" t="s">
        <v>2731</v>
      </c>
      <c r="J694" t="s">
        <v>2732</v>
      </c>
      <c r="K694" t="s">
        <v>37</v>
      </c>
      <c r="L694" t="s">
        <v>91</v>
      </c>
      <c r="M694" t="s">
        <v>22</v>
      </c>
      <c r="N694" t="str">
        <f t="shared" si="40"/>
        <v>Clean</v>
      </c>
      <c r="O694" t="str">
        <f t="shared" si="43"/>
        <v/>
      </c>
      <c r="P694" t="str">
        <f t="shared" si="41"/>
        <v>Clean</v>
      </c>
      <c r="Q694" t="str">
        <f t="shared" si="42"/>
        <v>Valid</v>
      </c>
    </row>
    <row r="695" spans="1:17" x14ac:dyDescent="0.3">
      <c r="A695" t="s">
        <v>2733</v>
      </c>
      <c r="B695" t="s">
        <v>2734</v>
      </c>
      <c r="C695" t="s">
        <v>33</v>
      </c>
      <c r="D695" t="s">
        <v>25</v>
      </c>
      <c r="E695" t="s">
        <v>26</v>
      </c>
      <c r="F695" t="s">
        <v>18</v>
      </c>
      <c r="G695" s="1">
        <v>44796</v>
      </c>
      <c r="H695" s="1">
        <v>44883</v>
      </c>
      <c r="I695" t="s">
        <v>2735</v>
      </c>
      <c r="J695" t="s">
        <v>2736</v>
      </c>
      <c r="K695" t="s">
        <v>29</v>
      </c>
      <c r="L695" t="s">
        <v>60</v>
      </c>
      <c r="M695" t="s">
        <v>22</v>
      </c>
      <c r="N695" t="str">
        <f t="shared" si="40"/>
        <v>Clean</v>
      </c>
      <c r="O695" t="str">
        <f t="shared" si="43"/>
        <v/>
      </c>
      <c r="P695" t="str">
        <f t="shared" si="41"/>
        <v>Clean</v>
      </c>
      <c r="Q695" t="str">
        <f t="shared" si="42"/>
        <v>Valid</v>
      </c>
    </row>
    <row r="696" spans="1:17" x14ac:dyDescent="0.3">
      <c r="A696" t="s">
        <v>2737</v>
      </c>
      <c r="B696" t="s">
        <v>2738</v>
      </c>
      <c r="C696" t="s">
        <v>40</v>
      </c>
      <c r="D696" t="s">
        <v>67</v>
      </c>
      <c r="E696" t="s">
        <v>26</v>
      </c>
      <c r="F696" t="s">
        <v>160</v>
      </c>
      <c r="G696" s="1">
        <v>45619</v>
      </c>
      <c r="H696" s="1">
        <v>45787</v>
      </c>
      <c r="I696" t="s">
        <v>736</v>
      </c>
      <c r="J696" t="s">
        <v>2739</v>
      </c>
      <c r="K696" t="s">
        <v>21</v>
      </c>
      <c r="L696" t="s">
        <v>30</v>
      </c>
      <c r="M696" t="s">
        <v>3735</v>
      </c>
      <c r="N696" t="str">
        <f t="shared" si="40"/>
        <v>Flagged</v>
      </c>
      <c r="O696" t="str">
        <f t="shared" si="43"/>
        <v>Invalid Email Format</v>
      </c>
      <c r="P696" t="str">
        <f t="shared" si="41"/>
        <v>Flagged for Review</v>
      </c>
      <c r="Q696" t="str">
        <f t="shared" si="42"/>
        <v>Invalid</v>
      </c>
    </row>
    <row r="697" spans="1:17" x14ac:dyDescent="0.3">
      <c r="A697" t="s">
        <v>2740</v>
      </c>
      <c r="B697" t="s">
        <v>2741</v>
      </c>
      <c r="C697" t="s">
        <v>181</v>
      </c>
      <c r="D697" t="s">
        <v>51</v>
      </c>
      <c r="E697" t="s">
        <v>52</v>
      </c>
      <c r="F697" t="s">
        <v>18</v>
      </c>
      <c r="G697" s="1">
        <v>44746</v>
      </c>
      <c r="H697" s="1">
        <v>44909</v>
      </c>
      <c r="I697" t="s">
        <v>2742</v>
      </c>
      <c r="J697" t="s">
        <v>2743</v>
      </c>
      <c r="K697" t="s">
        <v>37</v>
      </c>
      <c r="L697" t="s">
        <v>116</v>
      </c>
      <c r="M697" t="s">
        <v>22</v>
      </c>
      <c r="N697" t="str">
        <f t="shared" si="40"/>
        <v>Clean</v>
      </c>
      <c r="O697" t="str">
        <f t="shared" si="43"/>
        <v/>
      </c>
      <c r="P697" t="str">
        <f t="shared" si="41"/>
        <v>Clean</v>
      </c>
      <c r="Q697" t="str">
        <f t="shared" si="42"/>
        <v>Valid</v>
      </c>
    </row>
    <row r="698" spans="1:17" x14ac:dyDescent="0.3">
      <c r="A698" t="s">
        <v>2744</v>
      </c>
      <c r="B698" t="s">
        <v>2745</v>
      </c>
      <c r="C698" t="s">
        <v>46</v>
      </c>
      <c r="D698" t="s">
        <v>34</v>
      </c>
      <c r="E698" t="s">
        <v>26</v>
      </c>
      <c r="F698" t="s">
        <v>151</v>
      </c>
      <c r="G698" s="1">
        <v>45632</v>
      </c>
      <c r="H698" s="1">
        <v>45676</v>
      </c>
      <c r="I698" t="s">
        <v>2746</v>
      </c>
      <c r="J698" t="s">
        <v>2747</v>
      </c>
      <c r="K698" t="s">
        <v>21</v>
      </c>
      <c r="L698" t="s">
        <v>91</v>
      </c>
      <c r="M698" t="s">
        <v>22</v>
      </c>
      <c r="N698" t="str">
        <f t="shared" si="40"/>
        <v>Clean</v>
      </c>
      <c r="O698" t="str">
        <f t="shared" si="43"/>
        <v/>
      </c>
      <c r="P698" t="str">
        <f t="shared" si="41"/>
        <v>Clean</v>
      </c>
      <c r="Q698" t="str">
        <f t="shared" si="42"/>
        <v>Valid</v>
      </c>
    </row>
    <row r="699" spans="1:17" x14ac:dyDescent="0.3">
      <c r="A699" t="s">
        <v>2748</v>
      </c>
      <c r="B699" t="s">
        <v>2749</v>
      </c>
      <c r="C699" t="s">
        <v>15</v>
      </c>
      <c r="D699" t="s">
        <v>34</v>
      </c>
      <c r="E699" t="s">
        <v>26</v>
      </c>
      <c r="F699" t="s">
        <v>18</v>
      </c>
      <c r="G699" s="1">
        <v>43616</v>
      </c>
      <c r="H699" s="1">
        <v>43800</v>
      </c>
      <c r="I699" t="s">
        <v>2750</v>
      </c>
      <c r="J699" t="s">
        <v>2751</v>
      </c>
      <c r="K699" t="s">
        <v>90</v>
      </c>
      <c r="L699" t="s">
        <v>55</v>
      </c>
      <c r="M699" t="s">
        <v>22</v>
      </c>
      <c r="N699" t="str">
        <f t="shared" si="40"/>
        <v>Clean</v>
      </c>
      <c r="O699" t="str">
        <f t="shared" si="43"/>
        <v/>
      </c>
      <c r="P699" t="str">
        <f t="shared" si="41"/>
        <v>Clean</v>
      </c>
      <c r="Q699" t="str">
        <f t="shared" si="42"/>
        <v>Valid</v>
      </c>
    </row>
    <row r="700" spans="1:17" x14ac:dyDescent="0.3">
      <c r="A700" t="s">
        <v>2752</v>
      </c>
      <c r="B700" t="s">
        <v>2753</v>
      </c>
      <c r="C700" t="s">
        <v>15</v>
      </c>
      <c r="D700" t="s">
        <v>77</v>
      </c>
      <c r="E700" t="s">
        <v>52</v>
      </c>
      <c r="F700" t="s">
        <v>18</v>
      </c>
      <c r="G700" s="1">
        <v>44936</v>
      </c>
      <c r="H700" s="1">
        <v>44940</v>
      </c>
      <c r="I700" t="s">
        <v>2754</v>
      </c>
      <c r="J700" t="s">
        <v>2755</v>
      </c>
      <c r="K700" t="s">
        <v>37</v>
      </c>
      <c r="L700" t="s">
        <v>30</v>
      </c>
      <c r="M700" t="s">
        <v>22</v>
      </c>
      <c r="N700" t="str">
        <f t="shared" si="40"/>
        <v>Clean</v>
      </c>
      <c r="O700" t="str">
        <f t="shared" si="43"/>
        <v/>
      </c>
      <c r="P700" t="str">
        <f t="shared" si="41"/>
        <v>Clean</v>
      </c>
      <c r="Q700" t="str">
        <f t="shared" si="42"/>
        <v>Valid</v>
      </c>
    </row>
    <row r="701" spans="1:17" x14ac:dyDescent="0.3">
      <c r="A701" t="s">
        <v>2756</v>
      </c>
      <c r="B701" t="s">
        <v>2757</v>
      </c>
      <c r="C701" t="s">
        <v>33</v>
      </c>
      <c r="D701" t="s">
        <v>77</v>
      </c>
      <c r="E701" t="s">
        <v>52</v>
      </c>
      <c r="F701" t="s">
        <v>18</v>
      </c>
      <c r="G701" s="1">
        <v>44083</v>
      </c>
      <c r="H701" s="1">
        <v>44153</v>
      </c>
      <c r="I701" t="s">
        <v>2758</v>
      </c>
      <c r="J701" t="s">
        <v>2759</v>
      </c>
      <c r="K701" t="s">
        <v>21</v>
      </c>
      <c r="L701" t="s">
        <v>91</v>
      </c>
      <c r="M701" t="s">
        <v>22</v>
      </c>
      <c r="N701" t="str">
        <f t="shared" si="40"/>
        <v>Clean</v>
      </c>
      <c r="O701" t="str">
        <f t="shared" si="43"/>
        <v/>
      </c>
      <c r="P701" t="str">
        <f t="shared" si="41"/>
        <v>Clean</v>
      </c>
      <c r="Q701" t="str">
        <f t="shared" si="42"/>
        <v>Valid</v>
      </c>
    </row>
    <row r="702" spans="1:17" x14ac:dyDescent="0.3">
      <c r="A702" t="s">
        <v>2760</v>
      </c>
      <c r="B702" t="s">
        <v>2761</v>
      </c>
      <c r="C702" t="s">
        <v>181</v>
      </c>
      <c r="D702" t="s">
        <v>67</v>
      </c>
      <c r="E702" t="s">
        <v>26</v>
      </c>
      <c r="F702" t="s">
        <v>18</v>
      </c>
      <c r="G702" s="1">
        <v>44180</v>
      </c>
      <c r="H702" s="1">
        <v>44236</v>
      </c>
      <c r="I702" t="s">
        <v>2762</v>
      </c>
      <c r="J702" t="s">
        <v>2763</v>
      </c>
      <c r="K702" t="s">
        <v>90</v>
      </c>
      <c r="L702" t="s">
        <v>116</v>
      </c>
      <c r="M702" t="s">
        <v>22</v>
      </c>
      <c r="N702" t="str">
        <f t="shared" si="40"/>
        <v>Clean</v>
      </c>
      <c r="O702" t="str">
        <f t="shared" si="43"/>
        <v/>
      </c>
      <c r="P702" t="str">
        <f t="shared" si="41"/>
        <v>Clean</v>
      </c>
      <c r="Q702" t="str">
        <f t="shared" si="42"/>
        <v>Valid</v>
      </c>
    </row>
    <row r="703" spans="1:17" x14ac:dyDescent="0.3">
      <c r="A703" t="s">
        <v>2764</v>
      </c>
      <c r="B703" t="s">
        <v>2765</v>
      </c>
      <c r="C703" t="s">
        <v>15</v>
      </c>
      <c r="D703" t="s">
        <v>25</v>
      </c>
      <c r="E703" t="s">
        <v>26</v>
      </c>
      <c r="F703" t="s">
        <v>18</v>
      </c>
      <c r="G703" s="1">
        <v>45634</v>
      </c>
      <c r="H703" s="1">
        <v>45821</v>
      </c>
      <c r="I703" t="s">
        <v>2766</v>
      </c>
      <c r="J703" t="s">
        <v>2767</v>
      </c>
      <c r="K703" t="s">
        <v>29</v>
      </c>
      <c r="L703" t="s">
        <v>55</v>
      </c>
      <c r="M703" t="s">
        <v>22</v>
      </c>
      <c r="N703" t="str">
        <f t="shared" si="40"/>
        <v>Clean</v>
      </c>
      <c r="O703" t="str">
        <f t="shared" si="43"/>
        <v/>
      </c>
      <c r="P703" t="str">
        <f t="shared" si="41"/>
        <v>Clean</v>
      </c>
      <c r="Q703" t="str">
        <f t="shared" si="42"/>
        <v>Valid</v>
      </c>
    </row>
    <row r="704" spans="1:17" x14ac:dyDescent="0.3">
      <c r="A704" t="s">
        <v>2768</v>
      </c>
      <c r="B704" t="s">
        <v>155</v>
      </c>
      <c r="C704" t="s">
        <v>33</v>
      </c>
      <c r="D704" t="s">
        <v>34</v>
      </c>
      <c r="E704" t="s">
        <v>26</v>
      </c>
      <c r="F704" t="s">
        <v>18</v>
      </c>
      <c r="G704" s="1">
        <v>45117</v>
      </c>
      <c r="H704" s="1">
        <v>45304</v>
      </c>
      <c r="I704" t="s">
        <v>2769</v>
      </c>
      <c r="J704" t="s">
        <v>2770</v>
      </c>
      <c r="K704" t="s">
        <v>90</v>
      </c>
      <c r="L704" t="s">
        <v>91</v>
      </c>
      <c r="M704" t="s">
        <v>22</v>
      </c>
      <c r="N704" t="str">
        <f t="shared" si="40"/>
        <v>Clean</v>
      </c>
      <c r="O704" t="str">
        <f t="shared" si="43"/>
        <v/>
      </c>
      <c r="P704" t="str">
        <f t="shared" si="41"/>
        <v>Clean</v>
      </c>
      <c r="Q704" t="str">
        <f t="shared" si="42"/>
        <v>Valid</v>
      </c>
    </row>
    <row r="705" spans="1:17" x14ac:dyDescent="0.3">
      <c r="A705" t="s">
        <v>2771</v>
      </c>
      <c r="B705" t="s">
        <v>3721</v>
      </c>
      <c r="C705" t="s">
        <v>33</v>
      </c>
      <c r="D705" t="s">
        <v>67</v>
      </c>
      <c r="E705" t="s">
        <v>26</v>
      </c>
      <c r="F705" t="s">
        <v>18</v>
      </c>
      <c r="G705" s="1">
        <v>44270</v>
      </c>
      <c r="H705" s="1">
        <v>45520</v>
      </c>
      <c r="I705" t="s">
        <v>2772</v>
      </c>
      <c r="J705" t="s">
        <v>2773</v>
      </c>
      <c r="K705" t="s">
        <v>21</v>
      </c>
      <c r="L705" t="s">
        <v>60</v>
      </c>
      <c r="M705" t="s">
        <v>3735</v>
      </c>
      <c r="N705" t="str">
        <f t="shared" si="40"/>
        <v>Flagged</v>
      </c>
      <c r="O705" t="str">
        <f t="shared" si="43"/>
        <v>Missing Vendor_Name</v>
      </c>
      <c r="P705" t="str">
        <f t="shared" si="41"/>
        <v>Flagged for Review</v>
      </c>
      <c r="Q705" t="str">
        <f t="shared" si="42"/>
        <v>Valid</v>
      </c>
    </row>
    <row r="706" spans="1:17" x14ac:dyDescent="0.3">
      <c r="A706" t="s">
        <v>2774</v>
      </c>
      <c r="B706" t="s">
        <v>814</v>
      </c>
      <c r="C706" t="s">
        <v>15</v>
      </c>
      <c r="D706" t="s">
        <v>67</v>
      </c>
      <c r="E706" t="s">
        <v>26</v>
      </c>
      <c r="F706" t="s">
        <v>160</v>
      </c>
      <c r="G706" s="1">
        <v>44354</v>
      </c>
      <c r="H706" s="1">
        <v>44599</v>
      </c>
      <c r="I706" t="s">
        <v>2775</v>
      </c>
      <c r="J706" t="s">
        <v>2776</v>
      </c>
      <c r="K706" t="s">
        <v>29</v>
      </c>
      <c r="L706" t="s">
        <v>60</v>
      </c>
      <c r="M706" t="s">
        <v>22</v>
      </c>
      <c r="N706" t="str">
        <f t="shared" ref="N706:N769" si="44">IF(OR(B706="",H706="",I706="",J706="",L706="",Q706="Invalid"),"Flagged","Clean")</f>
        <v>Clean</v>
      </c>
      <c r="O706" t="str">
        <f t="shared" si="43"/>
        <v/>
      </c>
      <c r="P706" t="str">
        <f t="shared" ref="P706:P769" si="45">IF(N706="Clean","Clean","Flagged for Review")</f>
        <v>Clean</v>
      </c>
      <c r="Q706" t="str">
        <f t="shared" ref="Q706:Q769" si="46">IF(I706="","Blank",IF(ISERROR(FIND("@",I706&amp;"")),"Invalid",IF(FIND("@",I706&amp;"")&lt;2,"Invalid",IF(LEN(I706&amp;"")-FIND("@",I706&amp;"")&lt;4,"Invalid","Valid"))))</f>
        <v>Valid</v>
      </c>
    </row>
    <row r="707" spans="1:17" x14ac:dyDescent="0.3">
      <c r="A707" t="s">
        <v>2777</v>
      </c>
      <c r="B707" t="s">
        <v>2778</v>
      </c>
      <c r="C707" t="s">
        <v>33</v>
      </c>
      <c r="D707" t="s">
        <v>34</v>
      </c>
      <c r="E707" t="s">
        <v>26</v>
      </c>
      <c r="F707" t="s">
        <v>18</v>
      </c>
      <c r="G707" s="1">
        <v>44678</v>
      </c>
      <c r="H707" s="1">
        <v>44813</v>
      </c>
      <c r="I707" t="s">
        <v>2779</v>
      </c>
      <c r="J707" t="s">
        <v>2780</v>
      </c>
      <c r="K707" t="s">
        <v>90</v>
      </c>
      <c r="L707" t="s">
        <v>55</v>
      </c>
      <c r="M707" t="s">
        <v>22</v>
      </c>
      <c r="N707" t="str">
        <f t="shared" si="44"/>
        <v>Clean</v>
      </c>
      <c r="O707" t="str">
        <f t="shared" ref="O707:O770" si="47">TRIM(IF(B707="","Missing Vendor_Name ","")&amp;IF(I707="","Missing Contact_Email ","")&amp;IF(J707="","Missing Account_Code ","")&amp;IF(L707="","Missing Verified_By ","")&amp;IF(Q707="Invalid","Invalid Email Format ","")&amp;IF(H707="","Missing Last_Updated ",""))</f>
        <v/>
      </c>
      <c r="P707" t="str">
        <f t="shared" si="45"/>
        <v>Clean</v>
      </c>
      <c r="Q707" t="str">
        <f t="shared" si="46"/>
        <v>Valid</v>
      </c>
    </row>
    <row r="708" spans="1:17" x14ac:dyDescent="0.3">
      <c r="A708" t="s">
        <v>2781</v>
      </c>
      <c r="B708" t="s">
        <v>2782</v>
      </c>
      <c r="C708" t="s">
        <v>40</v>
      </c>
      <c r="D708" t="s">
        <v>77</v>
      </c>
      <c r="E708" t="s">
        <v>52</v>
      </c>
      <c r="F708" t="s">
        <v>18</v>
      </c>
      <c r="G708" s="1">
        <v>43600</v>
      </c>
      <c r="H708" s="1">
        <v>43690</v>
      </c>
      <c r="I708" t="s">
        <v>2783</v>
      </c>
      <c r="J708" t="s">
        <v>2784</v>
      </c>
      <c r="K708" t="s">
        <v>37</v>
      </c>
      <c r="L708" t="s">
        <v>30</v>
      </c>
      <c r="M708" t="s">
        <v>22</v>
      </c>
      <c r="N708" t="str">
        <f t="shared" si="44"/>
        <v>Clean</v>
      </c>
      <c r="O708" t="str">
        <f t="shared" si="47"/>
        <v/>
      </c>
      <c r="P708" t="str">
        <f t="shared" si="45"/>
        <v>Clean</v>
      </c>
      <c r="Q708" t="str">
        <f t="shared" si="46"/>
        <v>Valid</v>
      </c>
    </row>
    <row r="709" spans="1:17" x14ac:dyDescent="0.3">
      <c r="A709" t="s">
        <v>2785</v>
      </c>
      <c r="B709" t="s">
        <v>2786</v>
      </c>
      <c r="C709" t="s">
        <v>76</v>
      </c>
      <c r="D709" t="s">
        <v>16</v>
      </c>
      <c r="E709" t="s">
        <v>17</v>
      </c>
      <c r="F709" t="s">
        <v>151</v>
      </c>
      <c r="G709" s="1">
        <v>43972</v>
      </c>
      <c r="H709" s="1">
        <v>44210</v>
      </c>
      <c r="I709" t="s">
        <v>417</v>
      </c>
      <c r="J709" t="s">
        <v>2787</v>
      </c>
      <c r="K709" t="s">
        <v>37</v>
      </c>
      <c r="L709" t="s">
        <v>30</v>
      </c>
      <c r="M709" t="s">
        <v>3735</v>
      </c>
      <c r="N709" t="str">
        <f t="shared" si="44"/>
        <v>Flagged</v>
      </c>
      <c r="O709" t="str">
        <f t="shared" si="47"/>
        <v>Invalid Email Format</v>
      </c>
      <c r="P709" t="str">
        <f t="shared" si="45"/>
        <v>Flagged for Review</v>
      </c>
      <c r="Q709" t="str">
        <f t="shared" si="46"/>
        <v>Invalid</v>
      </c>
    </row>
    <row r="710" spans="1:17" x14ac:dyDescent="0.3">
      <c r="A710" t="s">
        <v>2788</v>
      </c>
      <c r="B710" t="s">
        <v>2789</v>
      </c>
      <c r="C710" t="s">
        <v>76</v>
      </c>
      <c r="D710" t="s">
        <v>16</v>
      </c>
      <c r="E710" t="s">
        <v>17</v>
      </c>
      <c r="F710" t="s">
        <v>160</v>
      </c>
      <c r="G710" s="1">
        <v>44971</v>
      </c>
      <c r="H710" s="1">
        <v>45062</v>
      </c>
      <c r="I710" t="s">
        <v>2790</v>
      </c>
      <c r="J710" t="s">
        <v>20</v>
      </c>
      <c r="K710" t="s">
        <v>90</v>
      </c>
      <c r="L710" t="s">
        <v>30</v>
      </c>
      <c r="M710" t="s">
        <v>22</v>
      </c>
      <c r="N710" t="str">
        <f t="shared" si="44"/>
        <v>Clean</v>
      </c>
      <c r="O710" t="str">
        <f t="shared" si="47"/>
        <v/>
      </c>
      <c r="P710" t="str">
        <f t="shared" si="45"/>
        <v>Clean</v>
      </c>
      <c r="Q710" t="str">
        <f t="shared" si="46"/>
        <v>Valid</v>
      </c>
    </row>
    <row r="711" spans="1:17" x14ac:dyDescent="0.3">
      <c r="A711" t="s">
        <v>2791</v>
      </c>
      <c r="B711" t="s">
        <v>2792</v>
      </c>
      <c r="C711" t="s">
        <v>15</v>
      </c>
      <c r="D711" t="s">
        <v>34</v>
      </c>
      <c r="E711" t="s">
        <v>26</v>
      </c>
      <c r="F711" t="s">
        <v>18</v>
      </c>
      <c r="G711" s="1">
        <v>43973</v>
      </c>
      <c r="H711" s="1">
        <v>44302</v>
      </c>
      <c r="I711" t="s">
        <v>2793</v>
      </c>
      <c r="J711" t="s">
        <v>2794</v>
      </c>
      <c r="K711" t="s">
        <v>37</v>
      </c>
      <c r="L711" t="s">
        <v>91</v>
      </c>
      <c r="M711" t="s">
        <v>22</v>
      </c>
      <c r="N711" t="str">
        <f t="shared" si="44"/>
        <v>Clean</v>
      </c>
      <c r="O711" t="str">
        <f t="shared" si="47"/>
        <v/>
      </c>
      <c r="P711" t="str">
        <f t="shared" si="45"/>
        <v>Clean</v>
      </c>
      <c r="Q711" t="str">
        <f t="shared" si="46"/>
        <v>Valid</v>
      </c>
    </row>
    <row r="712" spans="1:17" x14ac:dyDescent="0.3">
      <c r="A712" t="s">
        <v>2795</v>
      </c>
      <c r="B712" t="s">
        <v>2796</v>
      </c>
      <c r="C712" t="s">
        <v>40</v>
      </c>
      <c r="D712" t="s">
        <v>51</v>
      </c>
      <c r="E712" t="s">
        <v>52</v>
      </c>
      <c r="F712" t="s">
        <v>160</v>
      </c>
      <c r="G712" s="1">
        <v>45099</v>
      </c>
      <c r="H712" s="1">
        <v>45311</v>
      </c>
      <c r="I712" t="s">
        <v>2797</v>
      </c>
      <c r="J712" t="s">
        <v>2798</v>
      </c>
      <c r="K712" t="s">
        <v>21</v>
      </c>
      <c r="L712" t="s">
        <v>116</v>
      </c>
      <c r="M712" t="s">
        <v>22</v>
      </c>
      <c r="N712" t="str">
        <f t="shared" si="44"/>
        <v>Clean</v>
      </c>
      <c r="O712" t="str">
        <f t="shared" si="47"/>
        <v/>
      </c>
      <c r="P712" t="str">
        <f t="shared" si="45"/>
        <v>Clean</v>
      </c>
      <c r="Q712" t="str">
        <f t="shared" si="46"/>
        <v>Valid</v>
      </c>
    </row>
    <row r="713" spans="1:17" x14ac:dyDescent="0.3">
      <c r="A713" t="s">
        <v>2799</v>
      </c>
      <c r="B713" t="s">
        <v>2800</v>
      </c>
      <c r="C713" t="s">
        <v>15</v>
      </c>
      <c r="D713" t="s">
        <v>77</v>
      </c>
      <c r="E713" t="s">
        <v>52</v>
      </c>
      <c r="F713" t="s">
        <v>18</v>
      </c>
      <c r="G713" s="1">
        <v>44867</v>
      </c>
      <c r="H713" s="1">
        <v>45145</v>
      </c>
      <c r="I713" t="s">
        <v>2801</v>
      </c>
      <c r="J713" t="s">
        <v>2802</v>
      </c>
      <c r="K713" t="s">
        <v>90</v>
      </c>
      <c r="M713" t="s">
        <v>3735</v>
      </c>
      <c r="N713" t="str">
        <f t="shared" si="44"/>
        <v>Flagged</v>
      </c>
      <c r="O713" t="str">
        <f t="shared" si="47"/>
        <v>Missing Verified_By</v>
      </c>
      <c r="P713" t="str">
        <f t="shared" si="45"/>
        <v>Flagged for Review</v>
      </c>
      <c r="Q713" t="str">
        <f t="shared" si="46"/>
        <v>Valid</v>
      </c>
    </row>
    <row r="714" spans="1:17" x14ac:dyDescent="0.3">
      <c r="A714" t="s">
        <v>2803</v>
      </c>
      <c r="B714" t="s">
        <v>2804</v>
      </c>
      <c r="C714" t="s">
        <v>76</v>
      </c>
      <c r="D714" t="s">
        <v>77</v>
      </c>
      <c r="E714" t="s">
        <v>52</v>
      </c>
      <c r="F714" t="s">
        <v>18</v>
      </c>
      <c r="G714" s="1">
        <v>44156</v>
      </c>
      <c r="H714" s="1">
        <v>44451</v>
      </c>
      <c r="I714" t="s">
        <v>2805</v>
      </c>
      <c r="J714" t="s">
        <v>2806</v>
      </c>
      <c r="K714" t="s">
        <v>90</v>
      </c>
      <c r="L714" t="s">
        <v>55</v>
      </c>
      <c r="M714" t="s">
        <v>22</v>
      </c>
      <c r="N714" t="str">
        <f t="shared" si="44"/>
        <v>Clean</v>
      </c>
      <c r="O714" t="str">
        <f t="shared" si="47"/>
        <v/>
      </c>
      <c r="P714" t="str">
        <f t="shared" si="45"/>
        <v>Clean</v>
      </c>
      <c r="Q714" t="str">
        <f t="shared" si="46"/>
        <v>Valid</v>
      </c>
    </row>
    <row r="715" spans="1:17" x14ac:dyDescent="0.3">
      <c r="A715" t="s">
        <v>2808</v>
      </c>
      <c r="B715" t="s">
        <v>2809</v>
      </c>
      <c r="C715" t="s">
        <v>181</v>
      </c>
      <c r="D715" t="s">
        <v>51</v>
      </c>
      <c r="E715" t="s">
        <v>52</v>
      </c>
      <c r="F715" t="s">
        <v>18</v>
      </c>
      <c r="G715" s="1">
        <v>45092</v>
      </c>
      <c r="H715" s="1">
        <v>45183</v>
      </c>
      <c r="I715" t="s">
        <v>2810</v>
      </c>
      <c r="J715" t="s">
        <v>2811</v>
      </c>
      <c r="K715" t="s">
        <v>21</v>
      </c>
      <c r="L715" t="s">
        <v>116</v>
      </c>
      <c r="M715" t="s">
        <v>22</v>
      </c>
      <c r="N715" t="str">
        <f t="shared" si="44"/>
        <v>Clean</v>
      </c>
      <c r="O715" t="str">
        <f t="shared" si="47"/>
        <v/>
      </c>
      <c r="P715" t="str">
        <f t="shared" si="45"/>
        <v>Clean</v>
      </c>
      <c r="Q715" t="str">
        <f t="shared" si="46"/>
        <v>Valid</v>
      </c>
    </row>
    <row r="716" spans="1:17" x14ac:dyDescent="0.3">
      <c r="A716" t="s">
        <v>2812</v>
      </c>
      <c r="B716" t="s">
        <v>1866</v>
      </c>
      <c r="C716" t="s">
        <v>76</v>
      </c>
      <c r="D716" t="s">
        <v>77</v>
      </c>
      <c r="E716" t="s">
        <v>52</v>
      </c>
      <c r="F716" t="s">
        <v>18</v>
      </c>
      <c r="G716" s="1">
        <v>43801</v>
      </c>
      <c r="H716" s="1">
        <v>44093</v>
      </c>
      <c r="I716" t="s">
        <v>2813</v>
      </c>
      <c r="J716" t="s">
        <v>2814</v>
      </c>
      <c r="K716" t="s">
        <v>21</v>
      </c>
      <c r="L716" t="s">
        <v>60</v>
      </c>
      <c r="M716" t="s">
        <v>22</v>
      </c>
      <c r="N716" t="str">
        <f t="shared" si="44"/>
        <v>Clean</v>
      </c>
      <c r="O716" t="str">
        <f t="shared" si="47"/>
        <v/>
      </c>
      <c r="P716" t="str">
        <f t="shared" si="45"/>
        <v>Clean</v>
      </c>
      <c r="Q716" t="str">
        <f t="shared" si="46"/>
        <v>Valid</v>
      </c>
    </row>
    <row r="717" spans="1:17" x14ac:dyDescent="0.3">
      <c r="A717" t="s">
        <v>2815</v>
      </c>
      <c r="B717" t="s">
        <v>2816</v>
      </c>
      <c r="C717" t="s">
        <v>87</v>
      </c>
      <c r="D717" t="s">
        <v>25</v>
      </c>
      <c r="E717" t="s">
        <v>26</v>
      </c>
      <c r="F717" t="s">
        <v>151</v>
      </c>
      <c r="G717" s="1">
        <v>43832</v>
      </c>
      <c r="H717" s="1">
        <v>44165</v>
      </c>
      <c r="I717" t="s">
        <v>2817</v>
      </c>
      <c r="J717" t="s">
        <v>2818</v>
      </c>
      <c r="K717" t="s">
        <v>90</v>
      </c>
      <c r="L717" t="s">
        <v>55</v>
      </c>
      <c r="M717" t="s">
        <v>22</v>
      </c>
      <c r="N717" t="str">
        <f t="shared" si="44"/>
        <v>Clean</v>
      </c>
      <c r="O717" t="str">
        <f t="shared" si="47"/>
        <v/>
      </c>
      <c r="P717" t="str">
        <f t="shared" si="45"/>
        <v>Clean</v>
      </c>
      <c r="Q717" t="str">
        <f t="shared" si="46"/>
        <v>Valid</v>
      </c>
    </row>
    <row r="718" spans="1:17" x14ac:dyDescent="0.3">
      <c r="A718" t="s">
        <v>2819</v>
      </c>
      <c r="B718" t="s">
        <v>3721</v>
      </c>
      <c r="C718" t="s">
        <v>40</v>
      </c>
      <c r="D718" t="s">
        <v>41</v>
      </c>
      <c r="E718" t="s">
        <v>17</v>
      </c>
      <c r="F718" t="s">
        <v>18</v>
      </c>
      <c r="G718" s="1">
        <v>44762</v>
      </c>
      <c r="H718" s="1">
        <v>44915</v>
      </c>
      <c r="I718" t="s">
        <v>2820</v>
      </c>
      <c r="J718" t="s">
        <v>2821</v>
      </c>
      <c r="K718" t="s">
        <v>21</v>
      </c>
      <c r="M718" t="s">
        <v>3735</v>
      </c>
      <c r="N718" t="str">
        <f t="shared" si="44"/>
        <v>Flagged</v>
      </c>
      <c r="O718" t="str">
        <f t="shared" si="47"/>
        <v>Missing Vendor_Name Missing Verified_By</v>
      </c>
      <c r="P718" t="str">
        <f t="shared" si="45"/>
        <v>Flagged for Review</v>
      </c>
      <c r="Q718" t="str">
        <f t="shared" si="46"/>
        <v>Valid</v>
      </c>
    </row>
    <row r="719" spans="1:17" x14ac:dyDescent="0.3">
      <c r="A719" t="s">
        <v>2822</v>
      </c>
      <c r="B719" t="s">
        <v>2823</v>
      </c>
      <c r="C719" t="s">
        <v>46</v>
      </c>
      <c r="D719" t="s">
        <v>16</v>
      </c>
      <c r="E719" t="s">
        <v>17</v>
      </c>
      <c r="F719" t="s">
        <v>18</v>
      </c>
      <c r="G719" s="1">
        <v>44835</v>
      </c>
      <c r="H719" s="1">
        <v>44963</v>
      </c>
      <c r="I719" t="s">
        <v>2824</v>
      </c>
      <c r="J719" t="s">
        <v>2825</v>
      </c>
      <c r="K719" t="s">
        <v>21</v>
      </c>
      <c r="L719" t="s">
        <v>55</v>
      </c>
      <c r="M719" t="s">
        <v>22</v>
      </c>
      <c r="N719" t="str">
        <f t="shared" si="44"/>
        <v>Clean</v>
      </c>
      <c r="O719" t="str">
        <f t="shared" si="47"/>
        <v/>
      </c>
      <c r="P719" t="str">
        <f t="shared" si="45"/>
        <v>Clean</v>
      </c>
      <c r="Q719" t="str">
        <f t="shared" si="46"/>
        <v>Valid</v>
      </c>
    </row>
    <row r="720" spans="1:17" x14ac:dyDescent="0.3">
      <c r="A720" t="s">
        <v>2826</v>
      </c>
      <c r="B720" t="s">
        <v>2827</v>
      </c>
      <c r="C720" t="s">
        <v>76</v>
      </c>
      <c r="D720" t="s">
        <v>67</v>
      </c>
      <c r="E720" t="s">
        <v>26</v>
      </c>
      <c r="F720" t="s">
        <v>160</v>
      </c>
      <c r="G720" s="1">
        <v>44787</v>
      </c>
      <c r="H720" s="1">
        <v>44948</v>
      </c>
      <c r="I720" t="s">
        <v>2828</v>
      </c>
      <c r="J720" t="s">
        <v>2829</v>
      </c>
      <c r="K720" t="s">
        <v>29</v>
      </c>
      <c r="L720" t="s">
        <v>60</v>
      </c>
      <c r="M720" t="s">
        <v>22</v>
      </c>
      <c r="N720" t="str">
        <f t="shared" si="44"/>
        <v>Clean</v>
      </c>
      <c r="O720" t="str">
        <f t="shared" si="47"/>
        <v/>
      </c>
      <c r="P720" t="str">
        <f t="shared" si="45"/>
        <v>Clean</v>
      </c>
      <c r="Q720" t="str">
        <f t="shared" si="46"/>
        <v>Valid</v>
      </c>
    </row>
    <row r="721" spans="1:17" x14ac:dyDescent="0.3">
      <c r="A721" t="s">
        <v>2830</v>
      </c>
      <c r="B721" t="s">
        <v>2831</v>
      </c>
      <c r="C721" t="s">
        <v>15</v>
      </c>
      <c r="D721" t="s">
        <v>51</v>
      </c>
      <c r="E721" t="s">
        <v>52</v>
      </c>
      <c r="F721" t="s">
        <v>160</v>
      </c>
      <c r="G721" s="1">
        <v>43877</v>
      </c>
      <c r="H721" s="1">
        <v>43959</v>
      </c>
      <c r="I721" t="s">
        <v>2832</v>
      </c>
      <c r="J721" t="s">
        <v>2833</v>
      </c>
      <c r="K721" t="s">
        <v>90</v>
      </c>
      <c r="L721" t="s">
        <v>116</v>
      </c>
      <c r="M721" t="s">
        <v>22</v>
      </c>
      <c r="N721" t="str">
        <f t="shared" si="44"/>
        <v>Clean</v>
      </c>
      <c r="O721" t="str">
        <f t="shared" si="47"/>
        <v/>
      </c>
      <c r="P721" t="str">
        <f t="shared" si="45"/>
        <v>Clean</v>
      </c>
      <c r="Q721" t="str">
        <f t="shared" si="46"/>
        <v>Valid</v>
      </c>
    </row>
    <row r="722" spans="1:17" x14ac:dyDescent="0.3">
      <c r="A722" t="s">
        <v>2834</v>
      </c>
      <c r="B722" t="s">
        <v>2625</v>
      </c>
      <c r="C722" t="s">
        <v>40</v>
      </c>
      <c r="D722" t="s">
        <v>25</v>
      </c>
      <c r="E722" t="s">
        <v>26</v>
      </c>
      <c r="F722" t="s">
        <v>18</v>
      </c>
      <c r="G722" s="1">
        <v>45149</v>
      </c>
      <c r="H722" s="1">
        <v>45268</v>
      </c>
      <c r="I722" t="s">
        <v>2835</v>
      </c>
      <c r="J722" t="s">
        <v>2836</v>
      </c>
      <c r="K722" t="s">
        <v>21</v>
      </c>
      <c r="L722" t="s">
        <v>30</v>
      </c>
      <c r="M722" t="s">
        <v>22</v>
      </c>
      <c r="N722" t="str">
        <f t="shared" si="44"/>
        <v>Clean</v>
      </c>
      <c r="O722" t="str">
        <f t="shared" si="47"/>
        <v/>
      </c>
      <c r="P722" t="str">
        <f t="shared" si="45"/>
        <v>Clean</v>
      </c>
      <c r="Q722" t="str">
        <f t="shared" si="46"/>
        <v>Valid</v>
      </c>
    </row>
    <row r="723" spans="1:17" x14ac:dyDescent="0.3">
      <c r="A723" t="s">
        <v>2837</v>
      </c>
      <c r="B723" t="s">
        <v>2838</v>
      </c>
      <c r="C723" t="s">
        <v>87</v>
      </c>
      <c r="D723" t="s">
        <v>16</v>
      </c>
      <c r="E723" t="s">
        <v>17</v>
      </c>
      <c r="F723" t="s">
        <v>18</v>
      </c>
      <c r="G723" s="1">
        <v>43822</v>
      </c>
      <c r="H723" s="1">
        <v>43992</v>
      </c>
      <c r="I723" t="s">
        <v>2839</v>
      </c>
      <c r="K723" t="s">
        <v>90</v>
      </c>
      <c r="L723" t="s">
        <v>91</v>
      </c>
      <c r="M723" t="s">
        <v>3735</v>
      </c>
      <c r="N723" t="str">
        <f t="shared" si="44"/>
        <v>Flagged</v>
      </c>
      <c r="O723" t="str">
        <f t="shared" si="47"/>
        <v>Missing Account_Code</v>
      </c>
      <c r="P723" t="str">
        <f t="shared" si="45"/>
        <v>Flagged for Review</v>
      </c>
      <c r="Q723" t="str">
        <f t="shared" si="46"/>
        <v>Valid</v>
      </c>
    </row>
    <row r="724" spans="1:17" x14ac:dyDescent="0.3">
      <c r="A724" t="s">
        <v>2840</v>
      </c>
      <c r="B724" t="s">
        <v>2841</v>
      </c>
      <c r="C724" t="s">
        <v>46</v>
      </c>
      <c r="D724" t="s">
        <v>16</v>
      </c>
      <c r="E724" t="s">
        <v>17</v>
      </c>
      <c r="F724" t="s">
        <v>18</v>
      </c>
      <c r="G724" s="1">
        <v>45608</v>
      </c>
      <c r="H724" s="1">
        <v>45748</v>
      </c>
      <c r="I724" t="s">
        <v>2842</v>
      </c>
      <c r="J724" t="s">
        <v>2843</v>
      </c>
      <c r="K724" t="s">
        <v>29</v>
      </c>
      <c r="M724" t="s">
        <v>3735</v>
      </c>
      <c r="N724" t="str">
        <f t="shared" si="44"/>
        <v>Flagged</v>
      </c>
      <c r="O724" t="str">
        <f t="shared" si="47"/>
        <v>Missing Verified_By</v>
      </c>
      <c r="P724" t="str">
        <f t="shared" si="45"/>
        <v>Flagged for Review</v>
      </c>
      <c r="Q724" t="str">
        <f t="shared" si="46"/>
        <v>Valid</v>
      </c>
    </row>
    <row r="725" spans="1:17" x14ac:dyDescent="0.3">
      <c r="A725" t="s">
        <v>2844</v>
      </c>
      <c r="B725" t="s">
        <v>2845</v>
      </c>
      <c r="C725" t="s">
        <v>76</v>
      </c>
      <c r="D725" t="s">
        <v>16</v>
      </c>
      <c r="E725" t="s">
        <v>17</v>
      </c>
      <c r="F725" t="s">
        <v>18</v>
      </c>
      <c r="G725" s="1">
        <v>44307</v>
      </c>
      <c r="H725" s="1">
        <v>44607</v>
      </c>
      <c r="I725" t="s">
        <v>2846</v>
      </c>
      <c r="J725" t="s">
        <v>128</v>
      </c>
      <c r="K725" t="s">
        <v>29</v>
      </c>
      <c r="L725" t="s">
        <v>60</v>
      </c>
      <c r="M725" t="s">
        <v>22</v>
      </c>
      <c r="N725" t="str">
        <f t="shared" si="44"/>
        <v>Clean</v>
      </c>
      <c r="O725" t="str">
        <f t="shared" si="47"/>
        <v/>
      </c>
      <c r="P725" t="str">
        <f t="shared" si="45"/>
        <v>Clean</v>
      </c>
      <c r="Q725" t="str">
        <f t="shared" si="46"/>
        <v>Valid</v>
      </c>
    </row>
    <row r="726" spans="1:17" x14ac:dyDescent="0.3">
      <c r="A726" t="s">
        <v>2847</v>
      </c>
      <c r="B726" t="s">
        <v>2848</v>
      </c>
      <c r="C726" t="s">
        <v>46</v>
      </c>
      <c r="D726" t="s">
        <v>41</v>
      </c>
      <c r="E726" t="s">
        <v>17</v>
      </c>
      <c r="F726" t="s">
        <v>18</v>
      </c>
      <c r="G726" s="1">
        <v>45199</v>
      </c>
      <c r="H726" s="1">
        <v>45443</v>
      </c>
      <c r="I726" t="s">
        <v>2849</v>
      </c>
      <c r="J726" t="s">
        <v>2850</v>
      </c>
      <c r="K726" t="s">
        <v>29</v>
      </c>
      <c r="L726" t="s">
        <v>30</v>
      </c>
      <c r="M726" t="s">
        <v>22</v>
      </c>
      <c r="N726" t="str">
        <f t="shared" si="44"/>
        <v>Clean</v>
      </c>
      <c r="O726" t="str">
        <f t="shared" si="47"/>
        <v/>
      </c>
      <c r="P726" t="str">
        <f t="shared" si="45"/>
        <v>Clean</v>
      </c>
      <c r="Q726" t="str">
        <f t="shared" si="46"/>
        <v>Valid</v>
      </c>
    </row>
    <row r="727" spans="1:17" x14ac:dyDescent="0.3">
      <c r="A727" t="s">
        <v>2851</v>
      </c>
      <c r="B727" t="s">
        <v>2852</v>
      </c>
      <c r="C727" t="s">
        <v>33</v>
      </c>
      <c r="D727" t="s">
        <v>41</v>
      </c>
      <c r="E727" t="s">
        <v>17</v>
      </c>
      <c r="F727" t="s">
        <v>18</v>
      </c>
      <c r="G727" s="1">
        <v>44097</v>
      </c>
      <c r="H727" s="1">
        <v>44296</v>
      </c>
      <c r="I727" t="s">
        <v>2853</v>
      </c>
      <c r="J727" t="s">
        <v>2854</v>
      </c>
      <c r="K727" t="s">
        <v>90</v>
      </c>
      <c r="L727" t="s">
        <v>60</v>
      </c>
      <c r="M727" t="s">
        <v>22</v>
      </c>
      <c r="N727" t="str">
        <f t="shared" si="44"/>
        <v>Clean</v>
      </c>
      <c r="O727" t="str">
        <f t="shared" si="47"/>
        <v/>
      </c>
      <c r="P727" t="str">
        <f t="shared" si="45"/>
        <v>Clean</v>
      </c>
      <c r="Q727" t="str">
        <f t="shared" si="46"/>
        <v>Valid</v>
      </c>
    </row>
    <row r="728" spans="1:17" x14ac:dyDescent="0.3">
      <c r="A728" t="s">
        <v>2855</v>
      </c>
      <c r="B728" t="s">
        <v>2856</v>
      </c>
      <c r="C728" t="s">
        <v>87</v>
      </c>
      <c r="D728" t="s">
        <v>16</v>
      </c>
      <c r="E728" t="s">
        <v>17</v>
      </c>
      <c r="F728" t="s">
        <v>18</v>
      </c>
      <c r="G728" s="1">
        <v>43652</v>
      </c>
      <c r="H728" s="1">
        <v>43654</v>
      </c>
      <c r="I728" t="s">
        <v>2857</v>
      </c>
      <c r="J728" t="s">
        <v>2521</v>
      </c>
      <c r="K728" t="s">
        <v>21</v>
      </c>
      <c r="L728" t="s">
        <v>116</v>
      </c>
      <c r="M728" t="s">
        <v>22</v>
      </c>
      <c r="N728" t="str">
        <f t="shared" si="44"/>
        <v>Clean</v>
      </c>
      <c r="O728" t="str">
        <f t="shared" si="47"/>
        <v/>
      </c>
      <c r="P728" t="str">
        <f t="shared" si="45"/>
        <v>Clean</v>
      </c>
      <c r="Q728" t="str">
        <f t="shared" si="46"/>
        <v>Valid</v>
      </c>
    </row>
    <row r="729" spans="1:17" x14ac:dyDescent="0.3">
      <c r="A729" t="s">
        <v>2858</v>
      </c>
      <c r="B729" t="s">
        <v>2859</v>
      </c>
      <c r="C729" t="s">
        <v>15</v>
      </c>
      <c r="D729" t="s">
        <v>34</v>
      </c>
      <c r="E729" t="s">
        <v>26</v>
      </c>
      <c r="F729" t="s">
        <v>160</v>
      </c>
      <c r="G729" s="1">
        <v>44384</v>
      </c>
      <c r="H729" s="1">
        <v>44715</v>
      </c>
      <c r="I729" t="s">
        <v>2860</v>
      </c>
      <c r="J729" t="s">
        <v>2861</v>
      </c>
      <c r="K729" t="s">
        <v>37</v>
      </c>
      <c r="L729" t="s">
        <v>91</v>
      </c>
      <c r="M729" t="s">
        <v>22</v>
      </c>
      <c r="N729" t="str">
        <f t="shared" si="44"/>
        <v>Clean</v>
      </c>
      <c r="O729" t="str">
        <f t="shared" si="47"/>
        <v/>
      </c>
      <c r="P729" t="str">
        <f t="shared" si="45"/>
        <v>Clean</v>
      </c>
      <c r="Q729" t="str">
        <f t="shared" si="46"/>
        <v>Valid</v>
      </c>
    </row>
    <row r="730" spans="1:17" x14ac:dyDescent="0.3">
      <c r="A730" t="s">
        <v>2862</v>
      </c>
      <c r="B730" t="s">
        <v>2863</v>
      </c>
      <c r="C730" t="s">
        <v>15</v>
      </c>
      <c r="D730" t="s">
        <v>16</v>
      </c>
      <c r="E730" t="s">
        <v>17</v>
      </c>
      <c r="F730" t="s">
        <v>18</v>
      </c>
      <c r="G730" s="1">
        <v>45490</v>
      </c>
      <c r="H730" s="1">
        <v>45714</v>
      </c>
      <c r="I730" t="s">
        <v>2864</v>
      </c>
      <c r="J730" t="s">
        <v>1744</v>
      </c>
      <c r="K730" t="s">
        <v>29</v>
      </c>
      <c r="L730" t="s">
        <v>55</v>
      </c>
      <c r="M730" t="s">
        <v>22</v>
      </c>
      <c r="N730" t="str">
        <f t="shared" si="44"/>
        <v>Clean</v>
      </c>
      <c r="O730" t="str">
        <f t="shared" si="47"/>
        <v/>
      </c>
      <c r="P730" t="str">
        <f t="shared" si="45"/>
        <v>Clean</v>
      </c>
      <c r="Q730" t="str">
        <f t="shared" si="46"/>
        <v>Valid</v>
      </c>
    </row>
    <row r="731" spans="1:17" x14ac:dyDescent="0.3">
      <c r="A731" t="s">
        <v>2865</v>
      </c>
      <c r="B731" t="s">
        <v>2866</v>
      </c>
      <c r="C731" t="s">
        <v>33</v>
      </c>
      <c r="D731" t="s">
        <v>67</v>
      </c>
      <c r="E731" t="s">
        <v>26</v>
      </c>
      <c r="F731" t="s">
        <v>18</v>
      </c>
      <c r="G731" s="1">
        <v>44582</v>
      </c>
      <c r="H731" s="1">
        <v>44666</v>
      </c>
      <c r="I731" t="s">
        <v>2867</v>
      </c>
      <c r="J731" t="s">
        <v>2868</v>
      </c>
      <c r="K731" t="s">
        <v>29</v>
      </c>
      <c r="M731" t="s">
        <v>3735</v>
      </c>
      <c r="N731" t="str">
        <f t="shared" si="44"/>
        <v>Flagged</v>
      </c>
      <c r="O731" t="str">
        <f t="shared" si="47"/>
        <v>Missing Verified_By</v>
      </c>
      <c r="P731" t="str">
        <f t="shared" si="45"/>
        <v>Flagged for Review</v>
      </c>
      <c r="Q731" t="str">
        <f t="shared" si="46"/>
        <v>Valid</v>
      </c>
    </row>
    <row r="732" spans="1:17" x14ac:dyDescent="0.3">
      <c r="A732" t="s">
        <v>2869</v>
      </c>
      <c r="B732" t="s">
        <v>2870</v>
      </c>
      <c r="C732" t="s">
        <v>33</v>
      </c>
      <c r="D732" t="s">
        <v>41</v>
      </c>
      <c r="E732" t="s">
        <v>17</v>
      </c>
      <c r="F732" t="s">
        <v>18</v>
      </c>
      <c r="G732" s="1">
        <v>44835</v>
      </c>
      <c r="H732" s="1">
        <v>45150</v>
      </c>
      <c r="I732" t="s">
        <v>2871</v>
      </c>
      <c r="J732" t="s">
        <v>2872</v>
      </c>
      <c r="K732" t="s">
        <v>90</v>
      </c>
      <c r="M732" t="s">
        <v>3735</v>
      </c>
      <c r="N732" t="str">
        <f t="shared" si="44"/>
        <v>Flagged</v>
      </c>
      <c r="O732" t="str">
        <f t="shared" si="47"/>
        <v>Missing Verified_By</v>
      </c>
      <c r="P732" t="str">
        <f t="shared" si="45"/>
        <v>Flagged for Review</v>
      </c>
      <c r="Q732" t="str">
        <f t="shared" si="46"/>
        <v>Valid</v>
      </c>
    </row>
    <row r="733" spans="1:17" x14ac:dyDescent="0.3">
      <c r="A733" t="s">
        <v>2873</v>
      </c>
      <c r="B733" t="s">
        <v>2874</v>
      </c>
      <c r="C733" t="s">
        <v>87</v>
      </c>
      <c r="D733" t="s">
        <v>25</v>
      </c>
      <c r="E733" t="s">
        <v>26</v>
      </c>
      <c r="F733" t="s">
        <v>18</v>
      </c>
      <c r="G733" s="1">
        <v>43478</v>
      </c>
      <c r="H733" s="1">
        <v>43589</v>
      </c>
      <c r="I733" t="s">
        <v>2875</v>
      </c>
      <c r="J733" t="s">
        <v>2876</v>
      </c>
      <c r="K733" t="s">
        <v>90</v>
      </c>
      <c r="L733" t="s">
        <v>30</v>
      </c>
      <c r="M733" t="s">
        <v>22</v>
      </c>
      <c r="N733" t="str">
        <f t="shared" si="44"/>
        <v>Clean</v>
      </c>
      <c r="O733" t="str">
        <f t="shared" si="47"/>
        <v/>
      </c>
      <c r="P733" t="str">
        <f t="shared" si="45"/>
        <v>Clean</v>
      </c>
      <c r="Q733" t="str">
        <f t="shared" si="46"/>
        <v>Valid</v>
      </c>
    </row>
    <row r="734" spans="1:17" x14ac:dyDescent="0.3">
      <c r="A734" t="s">
        <v>2877</v>
      </c>
      <c r="B734" t="s">
        <v>2878</v>
      </c>
      <c r="C734" t="s">
        <v>181</v>
      </c>
      <c r="D734" t="s">
        <v>51</v>
      </c>
      <c r="E734" t="s">
        <v>52</v>
      </c>
      <c r="F734" t="s">
        <v>160</v>
      </c>
      <c r="G734" s="1">
        <v>44836</v>
      </c>
      <c r="H734" s="1">
        <v>45035</v>
      </c>
      <c r="I734" t="s">
        <v>2879</v>
      </c>
      <c r="J734" t="s">
        <v>2880</v>
      </c>
      <c r="K734" t="s">
        <v>29</v>
      </c>
      <c r="L734" t="s">
        <v>55</v>
      </c>
      <c r="M734" t="s">
        <v>22</v>
      </c>
      <c r="N734" t="str">
        <f t="shared" si="44"/>
        <v>Clean</v>
      </c>
      <c r="O734" t="str">
        <f t="shared" si="47"/>
        <v/>
      </c>
      <c r="P734" t="str">
        <f t="shared" si="45"/>
        <v>Clean</v>
      </c>
      <c r="Q734" t="str">
        <f t="shared" si="46"/>
        <v>Valid</v>
      </c>
    </row>
    <row r="735" spans="1:17" x14ac:dyDescent="0.3">
      <c r="A735" t="s">
        <v>2881</v>
      </c>
      <c r="B735" t="s">
        <v>1947</v>
      </c>
      <c r="C735" t="s">
        <v>33</v>
      </c>
      <c r="D735" t="s">
        <v>51</v>
      </c>
      <c r="E735" t="s">
        <v>52</v>
      </c>
      <c r="F735" t="s">
        <v>160</v>
      </c>
      <c r="G735" s="1">
        <v>43743</v>
      </c>
      <c r="H735" s="1">
        <v>43961</v>
      </c>
      <c r="I735" t="s">
        <v>1948</v>
      </c>
      <c r="J735" t="s">
        <v>2722</v>
      </c>
      <c r="K735" t="s">
        <v>29</v>
      </c>
      <c r="L735" t="s">
        <v>30</v>
      </c>
      <c r="M735" t="s">
        <v>22</v>
      </c>
      <c r="N735" t="str">
        <f t="shared" si="44"/>
        <v>Clean</v>
      </c>
      <c r="O735" t="str">
        <f t="shared" si="47"/>
        <v/>
      </c>
      <c r="P735" t="str">
        <f t="shared" si="45"/>
        <v>Clean</v>
      </c>
      <c r="Q735" t="str">
        <f t="shared" si="46"/>
        <v>Valid</v>
      </c>
    </row>
    <row r="736" spans="1:17" x14ac:dyDescent="0.3">
      <c r="A736" t="s">
        <v>2882</v>
      </c>
      <c r="B736" t="s">
        <v>2883</v>
      </c>
      <c r="C736" t="s">
        <v>76</v>
      </c>
      <c r="D736" t="s">
        <v>25</v>
      </c>
      <c r="E736" t="s">
        <v>26</v>
      </c>
      <c r="F736" t="s">
        <v>18</v>
      </c>
      <c r="G736" s="1">
        <v>44492</v>
      </c>
      <c r="H736" s="1">
        <v>44720</v>
      </c>
      <c r="I736" t="s">
        <v>2884</v>
      </c>
      <c r="J736" t="s">
        <v>2885</v>
      </c>
      <c r="K736" t="s">
        <v>37</v>
      </c>
      <c r="M736" t="s">
        <v>3735</v>
      </c>
      <c r="N736" t="str">
        <f t="shared" si="44"/>
        <v>Flagged</v>
      </c>
      <c r="O736" t="str">
        <f t="shared" si="47"/>
        <v>Missing Verified_By</v>
      </c>
      <c r="P736" t="str">
        <f t="shared" si="45"/>
        <v>Flagged for Review</v>
      </c>
      <c r="Q736" t="str">
        <f t="shared" si="46"/>
        <v>Valid</v>
      </c>
    </row>
    <row r="737" spans="1:17" x14ac:dyDescent="0.3">
      <c r="A737" t="s">
        <v>2886</v>
      </c>
      <c r="B737" t="s">
        <v>2887</v>
      </c>
      <c r="C737" t="s">
        <v>15</v>
      </c>
      <c r="D737" t="s">
        <v>67</v>
      </c>
      <c r="E737" t="s">
        <v>26</v>
      </c>
      <c r="F737" t="s">
        <v>18</v>
      </c>
      <c r="G737" s="1">
        <v>43715</v>
      </c>
      <c r="H737" s="1">
        <v>43913</v>
      </c>
      <c r="I737" t="s">
        <v>2888</v>
      </c>
      <c r="J737" t="s">
        <v>2889</v>
      </c>
      <c r="K737" t="s">
        <v>21</v>
      </c>
      <c r="L737" t="s">
        <v>91</v>
      </c>
      <c r="M737" t="s">
        <v>22</v>
      </c>
      <c r="N737" t="str">
        <f t="shared" si="44"/>
        <v>Clean</v>
      </c>
      <c r="O737" t="str">
        <f t="shared" si="47"/>
        <v/>
      </c>
      <c r="P737" t="str">
        <f t="shared" si="45"/>
        <v>Clean</v>
      </c>
      <c r="Q737" t="str">
        <f t="shared" si="46"/>
        <v>Valid</v>
      </c>
    </row>
    <row r="738" spans="1:17" x14ac:dyDescent="0.3">
      <c r="A738" t="s">
        <v>2890</v>
      </c>
      <c r="B738" t="s">
        <v>2891</v>
      </c>
      <c r="C738" t="s">
        <v>76</v>
      </c>
      <c r="D738" t="s">
        <v>41</v>
      </c>
      <c r="E738" t="s">
        <v>17</v>
      </c>
      <c r="F738" t="s">
        <v>18</v>
      </c>
      <c r="G738" s="1">
        <v>45350</v>
      </c>
      <c r="H738" s="1">
        <v>45704</v>
      </c>
      <c r="I738" t="s">
        <v>2892</v>
      </c>
      <c r="J738" t="s">
        <v>2893</v>
      </c>
      <c r="K738" t="s">
        <v>29</v>
      </c>
      <c r="L738" t="s">
        <v>91</v>
      </c>
      <c r="M738" t="s">
        <v>22</v>
      </c>
      <c r="N738" t="str">
        <f t="shared" si="44"/>
        <v>Clean</v>
      </c>
      <c r="O738" t="str">
        <f t="shared" si="47"/>
        <v/>
      </c>
      <c r="P738" t="str">
        <f t="shared" si="45"/>
        <v>Clean</v>
      </c>
      <c r="Q738" t="str">
        <f t="shared" si="46"/>
        <v>Valid</v>
      </c>
    </row>
    <row r="739" spans="1:17" x14ac:dyDescent="0.3">
      <c r="A739" t="s">
        <v>2894</v>
      </c>
      <c r="B739" t="s">
        <v>2895</v>
      </c>
      <c r="C739" t="s">
        <v>76</v>
      </c>
      <c r="D739" t="s">
        <v>67</v>
      </c>
      <c r="E739" t="s">
        <v>26</v>
      </c>
      <c r="F739" t="s">
        <v>151</v>
      </c>
      <c r="G739" s="1">
        <v>43748</v>
      </c>
      <c r="H739" s="1">
        <v>43989</v>
      </c>
      <c r="I739" t="s">
        <v>2896</v>
      </c>
      <c r="J739" t="s">
        <v>2897</v>
      </c>
      <c r="K739" t="s">
        <v>21</v>
      </c>
      <c r="L739" t="s">
        <v>55</v>
      </c>
      <c r="M739" t="s">
        <v>22</v>
      </c>
      <c r="N739" t="str">
        <f t="shared" si="44"/>
        <v>Clean</v>
      </c>
      <c r="O739" t="str">
        <f t="shared" si="47"/>
        <v/>
      </c>
      <c r="P739" t="str">
        <f t="shared" si="45"/>
        <v>Clean</v>
      </c>
      <c r="Q739" t="str">
        <f t="shared" si="46"/>
        <v>Valid</v>
      </c>
    </row>
    <row r="740" spans="1:17" x14ac:dyDescent="0.3">
      <c r="A740" t="s">
        <v>2898</v>
      </c>
      <c r="B740" t="s">
        <v>2591</v>
      </c>
      <c r="C740" t="s">
        <v>15</v>
      </c>
      <c r="D740" t="s">
        <v>25</v>
      </c>
      <c r="E740" t="s">
        <v>26</v>
      </c>
      <c r="F740" t="s">
        <v>160</v>
      </c>
      <c r="G740" s="1">
        <v>44342</v>
      </c>
      <c r="H740" s="1">
        <v>44489</v>
      </c>
      <c r="I740" t="s">
        <v>2899</v>
      </c>
      <c r="J740" t="s">
        <v>2900</v>
      </c>
      <c r="K740" t="s">
        <v>29</v>
      </c>
      <c r="L740" t="s">
        <v>91</v>
      </c>
      <c r="M740" t="s">
        <v>22</v>
      </c>
      <c r="N740" t="str">
        <f t="shared" si="44"/>
        <v>Clean</v>
      </c>
      <c r="O740" t="str">
        <f t="shared" si="47"/>
        <v/>
      </c>
      <c r="P740" t="str">
        <f t="shared" si="45"/>
        <v>Clean</v>
      </c>
      <c r="Q740" t="str">
        <f t="shared" si="46"/>
        <v>Valid</v>
      </c>
    </row>
    <row r="741" spans="1:17" x14ac:dyDescent="0.3">
      <c r="A741" t="s">
        <v>2901</v>
      </c>
      <c r="B741" t="s">
        <v>2414</v>
      </c>
      <c r="C741" t="s">
        <v>40</v>
      </c>
      <c r="D741" t="s">
        <v>34</v>
      </c>
      <c r="E741" t="s">
        <v>26</v>
      </c>
      <c r="F741" t="s">
        <v>18</v>
      </c>
      <c r="G741" s="1">
        <v>45063</v>
      </c>
      <c r="H741" s="1">
        <v>45117</v>
      </c>
      <c r="I741" t="s">
        <v>2902</v>
      </c>
      <c r="J741" t="s">
        <v>2903</v>
      </c>
      <c r="K741" t="s">
        <v>90</v>
      </c>
      <c r="M741" t="s">
        <v>3735</v>
      </c>
      <c r="N741" t="str">
        <f t="shared" si="44"/>
        <v>Flagged</v>
      </c>
      <c r="O741" t="str">
        <f t="shared" si="47"/>
        <v>Missing Verified_By</v>
      </c>
      <c r="P741" t="str">
        <f t="shared" si="45"/>
        <v>Flagged for Review</v>
      </c>
      <c r="Q741" t="str">
        <f t="shared" si="46"/>
        <v>Valid</v>
      </c>
    </row>
    <row r="742" spans="1:17" x14ac:dyDescent="0.3">
      <c r="A742" t="s">
        <v>2904</v>
      </c>
      <c r="B742" t="s">
        <v>2905</v>
      </c>
      <c r="C742" t="s">
        <v>87</v>
      </c>
      <c r="D742" t="s">
        <v>25</v>
      </c>
      <c r="E742" t="s">
        <v>26</v>
      </c>
      <c r="F742" t="s">
        <v>160</v>
      </c>
      <c r="G742" s="1">
        <v>44446</v>
      </c>
      <c r="H742" s="1">
        <v>44699</v>
      </c>
      <c r="I742" t="s">
        <v>2906</v>
      </c>
      <c r="J742" t="s">
        <v>2907</v>
      </c>
      <c r="K742" t="s">
        <v>37</v>
      </c>
      <c r="L742" t="s">
        <v>30</v>
      </c>
      <c r="M742" t="s">
        <v>22</v>
      </c>
      <c r="N742" t="str">
        <f t="shared" si="44"/>
        <v>Clean</v>
      </c>
      <c r="O742" t="str">
        <f t="shared" si="47"/>
        <v/>
      </c>
      <c r="P742" t="str">
        <f t="shared" si="45"/>
        <v>Clean</v>
      </c>
      <c r="Q742" t="str">
        <f t="shared" si="46"/>
        <v>Valid</v>
      </c>
    </row>
    <row r="743" spans="1:17" x14ac:dyDescent="0.3">
      <c r="A743" t="s">
        <v>2908</v>
      </c>
      <c r="B743" t="s">
        <v>2909</v>
      </c>
      <c r="C743" t="s">
        <v>40</v>
      </c>
      <c r="D743" t="s">
        <v>51</v>
      </c>
      <c r="E743" t="s">
        <v>52</v>
      </c>
      <c r="F743" t="s">
        <v>18</v>
      </c>
      <c r="G743" s="1">
        <v>45205</v>
      </c>
      <c r="H743" s="1">
        <v>45514</v>
      </c>
      <c r="I743" t="s">
        <v>2910</v>
      </c>
      <c r="J743" t="s">
        <v>2911</v>
      </c>
      <c r="K743" t="s">
        <v>37</v>
      </c>
      <c r="M743" t="s">
        <v>3735</v>
      </c>
      <c r="N743" t="str">
        <f t="shared" si="44"/>
        <v>Flagged</v>
      </c>
      <c r="O743" t="str">
        <f t="shared" si="47"/>
        <v>Missing Verified_By</v>
      </c>
      <c r="P743" t="str">
        <f t="shared" si="45"/>
        <v>Flagged for Review</v>
      </c>
      <c r="Q743" t="str">
        <f t="shared" si="46"/>
        <v>Valid</v>
      </c>
    </row>
    <row r="744" spans="1:17" x14ac:dyDescent="0.3">
      <c r="A744" t="s">
        <v>2912</v>
      </c>
      <c r="B744" t="s">
        <v>2913</v>
      </c>
      <c r="C744" t="s">
        <v>40</v>
      </c>
      <c r="D744" t="s">
        <v>77</v>
      </c>
      <c r="E744" t="s">
        <v>52</v>
      </c>
      <c r="F744" t="s">
        <v>18</v>
      </c>
      <c r="G744" s="1">
        <v>44501</v>
      </c>
      <c r="H744" s="1">
        <v>44743</v>
      </c>
      <c r="I744" t="s">
        <v>2914</v>
      </c>
      <c r="J744" t="s">
        <v>1291</v>
      </c>
      <c r="K744" t="s">
        <v>90</v>
      </c>
      <c r="L744" t="s">
        <v>116</v>
      </c>
      <c r="M744" t="s">
        <v>22</v>
      </c>
      <c r="N744" t="str">
        <f t="shared" si="44"/>
        <v>Clean</v>
      </c>
      <c r="O744" t="str">
        <f t="shared" si="47"/>
        <v/>
      </c>
      <c r="P744" t="str">
        <f t="shared" si="45"/>
        <v>Clean</v>
      </c>
      <c r="Q744" t="str">
        <f t="shared" si="46"/>
        <v>Valid</v>
      </c>
    </row>
    <row r="745" spans="1:17" x14ac:dyDescent="0.3">
      <c r="A745" t="s">
        <v>2915</v>
      </c>
      <c r="B745" t="s">
        <v>2916</v>
      </c>
      <c r="C745" t="s">
        <v>46</v>
      </c>
      <c r="D745" t="s">
        <v>41</v>
      </c>
      <c r="E745" t="s">
        <v>17</v>
      </c>
      <c r="F745" t="s">
        <v>160</v>
      </c>
      <c r="G745" s="1">
        <v>44049</v>
      </c>
      <c r="I745" t="s">
        <v>2917</v>
      </c>
      <c r="J745" t="s">
        <v>95</v>
      </c>
      <c r="K745" t="s">
        <v>37</v>
      </c>
      <c r="L745" t="s">
        <v>91</v>
      </c>
      <c r="M745" t="s">
        <v>3735</v>
      </c>
      <c r="N745" t="str">
        <f t="shared" si="44"/>
        <v>Flagged</v>
      </c>
      <c r="O745" t="str">
        <f t="shared" si="47"/>
        <v>Missing Last_Updated</v>
      </c>
      <c r="P745" t="str">
        <f t="shared" si="45"/>
        <v>Flagged for Review</v>
      </c>
      <c r="Q745" t="str">
        <f t="shared" si="46"/>
        <v>Valid</v>
      </c>
    </row>
    <row r="746" spans="1:17" x14ac:dyDescent="0.3">
      <c r="A746" t="s">
        <v>2918</v>
      </c>
      <c r="B746" t="s">
        <v>2919</v>
      </c>
      <c r="C746" t="s">
        <v>33</v>
      </c>
      <c r="D746" t="s">
        <v>25</v>
      </c>
      <c r="E746" t="s">
        <v>26</v>
      </c>
      <c r="F746" t="s">
        <v>18</v>
      </c>
      <c r="G746" s="1">
        <v>44880</v>
      </c>
      <c r="H746" s="1">
        <v>45111</v>
      </c>
      <c r="I746" t="s">
        <v>2920</v>
      </c>
      <c r="J746" t="s">
        <v>2921</v>
      </c>
      <c r="K746" t="s">
        <v>90</v>
      </c>
      <c r="L746" t="s">
        <v>30</v>
      </c>
      <c r="M746" t="s">
        <v>22</v>
      </c>
      <c r="N746" t="str">
        <f t="shared" si="44"/>
        <v>Clean</v>
      </c>
      <c r="O746" t="str">
        <f t="shared" si="47"/>
        <v/>
      </c>
      <c r="P746" t="str">
        <f t="shared" si="45"/>
        <v>Clean</v>
      </c>
      <c r="Q746" t="str">
        <f t="shared" si="46"/>
        <v>Valid</v>
      </c>
    </row>
    <row r="747" spans="1:17" x14ac:dyDescent="0.3">
      <c r="A747" t="s">
        <v>2922</v>
      </c>
      <c r="B747" t="s">
        <v>2923</v>
      </c>
      <c r="C747" t="s">
        <v>87</v>
      </c>
      <c r="D747" t="s">
        <v>77</v>
      </c>
      <c r="E747" t="s">
        <v>52</v>
      </c>
      <c r="F747" t="s">
        <v>160</v>
      </c>
      <c r="G747" s="1">
        <v>45461</v>
      </c>
      <c r="H747" s="1">
        <v>45793</v>
      </c>
      <c r="I747" t="s">
        <v>2924</v>
      </c>
      <c r="J747" t="s">
        <v>2925</v>
      </c>
      <c r="K747" t="s">
        <v>29</v>
      </c>
      <c r="L747" t="s">
        <v>55</v>
      </c>
      <c r="M747" t="s">
        <v>22</v>
      </c>
      <c r="N747" t="str">
        <f t="shared" si="44"/>
        <v>Clean</v>
      </c>
      <c r="O747" t="str">
        <f t="shared" si="47"/>
        <v/>
      </c>
      <c r="P747" t="str">
        <f t="shared" si="45"/>
        <v>Clean</v>
      </c>
      <c r="Q747" t="str">
        <f t="shared" si="46"/>
        <v>Valid</v>
      </c>
    </row>
    <row r="748" spans="1:17" x14ac:dyDescent="0.3">
      <c r="A748" t="s">
        <v>2926</v>
      </c>
      <c r="B748" t="s">
        <v>2927</v>
      </c>
      <c r="C748" t="s">
        <v>76</v>
      </c>
      <c r="D748" t="s">
        <v>51</v>
      </c>
      <c r="E748" t="s">
        <v>52</v>
      </c>
      <c r="F748" t="s">
        <v>151</v>
      </c>
      <c r="G748" s="1">
        <v>45346</v>
      </c>
      <c r="H748" s="1">
        <v>45635</v>
      </c>
      <c r="I748" t="s">
        <v>2928</v>
      </c>
      <c r="J748" t="s">
        <v>2412</v>
      </c>
      <c r="K748" t="s">
        <v>29</v>
      </c>
      <c r="M748" t="s">
        <v>3735</v>
      </c>
      <c r="N748" t="str">
        <f t="shared" si="44"/>
        <v>Flagged</v>
      </c>
      <c r="O748" t="str">
        <f t="shared" si="47"/>
        <v>Missing Verified_By</v>
      </c>
      <c r="P748" t="str">
        <f t="shared" si="45"/>
        <v>Flagged for Review</v>
      </c>
      <c r="Q748" t="str">
        <f t="shared" si="46"/>
        <v>Valid</v>
      </c>
    </row>
    <row r="749" spans="1:17" x14ac:dyDescent="0.3">
      <c r="A749" t="s">
        <v>2929</v>
      </c>
      <c r="B749" t="s">
        <v>2930</v>
      </c>
      <c r="C749" t="s">
        <v>46</v>
      </c>
      <c r="D749" t="s">
        <v>67</v>
      </c>
      <c r="E749" t="s">
        <v>26</v>
      </c>
      <c r="F749" t="s">
        <v>18</v>
      </c>
      <c r="G749" s="1">
        <v>43953</v>
      </c>
      <c r="H749" s="1">
        <v>44082</v>
      </c>
      <c r="I749" t="s">
        <v>2931</v>
      </c>
      <c r="J749" t="s">
        <v>2932</v>
      </c>
      <c r="K749" t="s">
        <v>29</v>
      </c>
      <c r="M749" t="s">
        <v>3735</v>
      </c>
      <c r="N749" t="str">
        <f t="shared" si="44"/>
        <v>Flagged</v>
      </c>
      <c r="O749" t="str">
        <f t="shared" si="47"/>
        <v>Missing Verified_By</v>
      </c>
      <c r="P749" t="str">
        <f t="shared" si="45"/>
        <v>Flagged for Review</v>
      </c>
      <c r="Q749" t="str">
        <f t="shared" si="46"/>
        <v>Valid</v>
      </c>
    </row>
    <row r="750" spans="1:17" x14ac:dyDescent="0.3">
      <c r="A750" t="s">
        <v>2933</v>
      </c>
      <c r="B750" t="s">
        <v>2934</v>
      </c>
      <c r="C750" t="s">
        <v>46</v>
      </c>
      <c r="D750" t="s">
        <v>67</v>
      </c>
      <c r="E750" t="s">
        <v>26</v>
      </c>
      <c r="F750" t="s">
        <v>18</v>
      </c>
      <c r="G750" s="1">
        <v>44312</v>
      </c>
      <c r="H750" s="1">
        <v>44589</v>
      </c>
      <c r="I750" t="s">
        <v>2935</v>
      </c>
      <c r="J750" t="s">
        <v>2936</v>
      </c>
      <c r="K750" t="s">
        <v>29</v>
      </c>
      <c r="L750" t="s">
        <v>55</v>
      </c>
      <c r="M750" t="s">
        <v>22</v>
      </c>
      <c r="N750" t="str">
        <f t="shared" si="44"/>
        <v>Clean</v>
      </c>
      <c r="O750" t="str">
        <f t="shared" si="47"/>
        <v/>
      </c>
      <c r="P750" t="str">
        <f t="shared" si="45"/>
        <v>Clean</v>
      </c>
      <c r="Q750" t="str">
        <f t="shared" si="46"/>
        <v>Valid</v>
      </c>
    </row>
    <row r="751" spans="1:17" x14ac:dyDescent="0.3">
      <c r="A751" t="s">
        <v>2937</v>
      </c>
      <c r="B751" t="s">
        <v>2938</v>
      </c>
      <c r="C751" t="s">
        <v>87</v>
      </c>
      <c r="D751" t="s">
        <v>34</v>
      </c>
      <c r="E751" t="s">
        <v>26</v>
      </c>
      <c r="F751" t="s">
        <v>160</v>
      </c>
      <c r="G751" s="1">
        <v>45372</v>
      </c>
      <c r="H751" s="1">
        <v>45612</v>
      </c>
      <c r="I751" t="s">
        <v>2939</v>
      </c>
      <c r="J751" t="s">
        <v>2940</v>
      </c>
      <c r="K751" t="s">
        <v>37</v>
      </c>
      <c r="L751" t="s">
        <v>91</v>
      </c>
      <c r="M751" t="s">
        <v>22</v>
      </c>
      <c r="N751" t="str">
        <f t="shared" si="44"/>
        <v>Clean</v>
      </c>
      <c r="O751" t="str">
        <f t="shared" si="47"/>
        <v/>
      </c>
      <c r="P751" t="str">
        <f t="shared" si="45"/>
        <v>Clean</v>
      </c>
      <c r="Q751" t="str">
        <f t="shared" si="46"/>
        <v>Valid</v>
      </c>
    </row>
    <row r="752" spans="1:17" x14ac:dyDescent="0.3">
      <c r="A752" t="s">
        <v>2941</v>
      </c>
      <c r="B752" t="s">
        <v>2942</v>
      </c>
      <c r="C752" t="s">
        <v>15</v>
      </c>
      <c r="D752" t="s">
        <v>34</v>
      </c>
      <c r="E752" t="s">
        <v>26</v>
      </c>
      <c r="F752" t="s">
        <v>18</v>
      </c>
      <c r="G752" s="1">
        <v>45515</v>
      </c>
      <c r="H752" s="1">
        <v>45592</v>
      </c>
      <c r="I752" t="s">
        <v>2943</v>
      </c>
      <c r="J752" t="s">
        <v>2944</v>
      </c>
      <c r="K752" t="s">
        <v>21</v>
      </c>
      <c r="L752" t="s">
        <v>60</v>
      </c>
      <c r="M752" t="s">
        <v>22</v>
      </c>
      <c r="N752" t="str">
        <f t="shared" si="44"/>
        <v>Clean</v>
      </c>
      <c r="O752" t="str">
        <f t="shared" si="47"/>
        <v/>
      </c>
      <c r="P752" t="str">
        <f t="shared" si="45"/>
        <v>Clean</v>
      </c>
      <c r="Q752" t="str">
        <f t="shared" si="46"/>
        <v>Valid</v>
      </c>
    </row>
    <row r="753" spans="1:17" x14ac:dyDescent="0.3">
      <c r="A753" t="s">
        <v>2945</v>
      </c>
      <c r="B753" t="s">
        <v>2946</v>
      </c>
      <c r="C753" t="s">
        <v>15</v>
      </c>
      <c r="D753" t="s">
        <v>34</v>
      </c>
      <c r="E753" t="s">
        <v>26</v>
      </c>
      <c r="F753" t="s">
        <v>18</v>
      </c>
      <c r="G753" s="1">
        <v>44522</v>
      </c>
      <c r="H753" s="1">
        <v>44685</v>
      </c>
      <c r="I753" t="s">
        <v>2947</v>
      </c>
      <c r="J753" t="s">
        <v>2948</v>
      </c>
      <c r="K753" t="s">
        <v>21</v>
      </c>
      <c r="L753" t="s">
        <v>91</v>
      </c>
      <c r="M753" t="s">
        <v>22</v>
      </c>
      <c r="N753" t="str">
        <f t="shared" si="44"/>
        <v>Clean</v>
      </c>
      <c r="O753" t="str">
        <f t="shared" si="47"/>
        <v/>
      </c>
      <c r="P753" t="str">
        <f t="shared" si="45"/>
        <v>Clean</v>
      </c>
      <c r="Q753" t="str">
        <f t="shared" si="46"/>
        <v>Valid</v>
      </c>
    </row>
    <row r="754" spans="1:17" x14ac:dyDescent="0.3">
      <c r="A754" t="s">
        <v>2949</v>
      </c>
      <c r="B754" t="s">
        <v>2950</v>
      </c>
      <c r="C754" t="s">
        <v>46</v>
      </c>
      <c r="D754" t="s">
        <v>77</v>
      </c>
      <c r="E754" t="s">
        <v>52</v>
      </c>
      <c r="F754" t="s">
        <v>18</v>
      </c>
      <c r="G754" s="1">
        <v>45613</v>
      </c>
      <c r="H754" s="1">
        <v>45904</v>
      </c>
      <c r="I754" t="s">
        <v>2951</v>
      </c>
      <c r="J754" t="s">
        <v>2952</v>
      </c>
      <c r="K754" t="s">
        <v>37</v>
      </c>
      <c r="L754" t="s">
        <v>55</v>
      </c>
      <c r="M754" t="s">
        <v>22</v>
      </c>
      <c r="N754" t="str">
        <f t="shared" si="44"/>
        <v>Clean</v>
      </c>
      <c r="O754" t="str">
        <f t="shared" si="47"/>
        <v/>
      </c>
      <c r="P754" t="str">
        <f t="shared" si="45"/>
        <v>Clean</v>
      </c>
      <c r="Q754" t="str">
        <f t="shared" si="46"/>
        <v>Valid</v>
      </c>
    </row>
    <row r="755" spans="1:17" x14ac:dyDescent="0.3">
      <c r="A755" t="s">
        <v>2953</v>
      </c>
      <c r="B755" t="s">
        <v>2954</v>
      </c>
      <c r="C755" t="s">
        <v>40</v>
      </c>
      <c r="D755" t="s">
        <v>34</v>
      </c>
      <c r="E755" t="s">
        <v>26</v>
      </c>
      <c r="F755" t="s">
        <v>18</v>
      </c>
      <c r="G755" s="1">
        <v>44041</v>
      </c>
      <c r="H755" s="1">
        <v>44285</v>
      </c>
      <c r="I755" t="s">
        <v>2955</v>
      </c>
      <c r="J755" t="s">
        <v>2956</v>
      </c>
      <c r="K755" t="s">
        <v>90</v>
      </c>
      <c r="L755" t="s">
        <v>116</v>
      </c>
      <c r="M755" t="s">
        <v>22</v>
      </c>
      <c r="N755" t="str">
        <f t="shared" si="44"/>
        <v>Clean</v>
      </c>
      <c r="O755" t="str">
        <f t="shared" si="47"/>
        <v/>
      </c>
      <c r="P755" t="str">
        <f t="shared" si="45"/>
        <v>Clean</v>
      </c>
      <c r="Q755" t="str">
        <f t="shared" si="46"/>
        <v>Valid</v>
      </c>
    </row>
    <row r="756" spans="1:17" x14ac:dyDescent="0.3">
      <c r="A756" t="s">
        <v>2957</v>
      </c>
      <c r="B756" t="s">
        <v>2958</v>
      </c>
      <c r="C756" t="s">
        <v>181</v>
      </c>
      <c r="D756" t="s">
        <v>25</v>
      </c>
      <c r="E756" t="s">
        <v>26</v>
      </c>
      <c r="F756" t="s">
        <v>160</v>
      </c>
      <c r="G756" s="1">
        <v>45467</v>
      </c>
      <c r="H756" s="1">
        <v>45480</v>
      </c>
      <c r="I756" t="s">
        <v>2959</v>
      </c>
      <c r="J756" t="s">
        <v>2960</v>
      </c>
      <c r="K756" t="s">
        <v>90</v>
      </c>
      <c r="L756" t="s">
        <v>30</v>
      </c>
      <c r="M756" t="s">
        <v>22</v>
      </c>
      <c r="N756" t="str">
        <f t="shared" si="44"/>
        <v>Clean</v>
      </c>
      <c r="O756" t="str">
        <f t="shared" si="47"/>
        <v/>
      </c>
      <c r="P756" t="str">
        <f t="shared" si="45"/>
        <v>Clean</v>
      </c>
      <c r="Q756" t="str">
        <f t="shared" si="46"/>
        <v>Valid</v>
      </c>
    </row>
    <row r="757" spans="1:17" x14ac:dyDescent="0.3">
      <c r="A757" t="s">
        <v>2961</v>
      </c>
      <c r="B757" t="s">
        <v>2962</v>
      </c>
      <c r="C757" t="s">
        <v>181</v>
      </c>
      <c r="D757" t="s">
        <v>16</v>
      </c>
      <c r="E757" t="s">
        <v>17</v>
      </c>
      <c r="F757" t="s">
        <v>160</v>
      </c>
      <c r="G757" s="1">
        <v>44556</v>
      </c>
      <c r="H757" s="1">
        <v>44703</v>
      </c>
      <c r="I757" t="s">
        <v>2963</v>
      </c>
      <c r="J757" t="s">
        <v>2964</v>
      </c>
      <c r="K757" t="s">
        <v>37</v>
      </c>
      <c r="L757" t="s">
        <v>30</v>
      </c>
      <c r="M757" t="s">
        <v>22</v>
      </c>
      <c r="N757" t="str">
        <f t="shared" si="44"/>
        <v>Clean</v>
      </c>
      <c r="O757" t="str">
        <f t="shared" si="47"/>
        <v/>
      </c>
      <c r="P757" t="str">
        <f t="shared" si="45"/>
        <v>Clean</v>
      </c>
      <c r="Q757" t="str">
        <f t="shared" si="46"/>
        <v>Valid</v>
      </c>
    </row>
    <row r="758" spans="1:17" x14ac:dyDescent="0.3">
      <c r="A758" t="s">
        <v>2965</v>
      </c>
      <c r="B758" t="s">
        <v>2966</v>
      </c>
      <c r="C758" t="s">
        <v>46</v>
      </c>
      <c r="D758" t="s">
        <v>34</v>
      </c>
      <c r="E758" t="s">
        <v>26</v>
      </c>
      <c r="F758" t="s">
        <v>160</v>
      </c>
      <c r="G758" s="1">
        <v>44064</v>
      </c>
      <c r="H758" s="1">
        <v>44311</v>
      </c>
      <c r="I758" t="s">
        <v>2967</v>
      </c>
      <c r="J758" t="s">
        <v>2968</v>
      </c>
      <c r="K758" t="s">
        <v>37</v>
      </c>
      <c r="L758" t="s">
        <v>30</v>
      </c>
      <c r="M758" t="s">
        <v>22</v>
      </c>
      <c r="N758" t="str">
        <f t="shared" si="44"/>
        <v>Clean</v>
      </c>
      <c r="O758" t="str">
        <f t="shared" si="47"/>
        <v/>
      </c>
      <c r="P758" t="str">
        <f t="shared" si="45"/>
        <v>Clean</v>
      </c>
      <c r="Q758" t="str">
        <f t="shared" si="46"/>
        <v>Valid</v>
      </c>
    </row>
    <row r="759" spans="1:17" x14ac:dyDescent="0.3">
      <c r="A759" t="s">
        <v>2969</v>
      </c>
      <c r="B759" t="s">
        <v>2970</v>
      </c>
      <c r="C759" t="s">
        <v>181</v>
      </c>
      <c r="D759" t="s">
        <v>51</v>
      </c>
      <c r="E759" t="s">
        <v>52</v>
      </c>
      <c r="F759" t="s">
        <v>18</v>
      </c>
      <c r="G759" s="1">
        <v>44074</v>
      </c>
      <c r="H759" s="1">
        <v>44091</v>
      </c>
      <c r="I759" t="s">
        <v>2971</v>
      </c>
      <c r="J759" t="s">
        <v>2972</v>
      </c>
      <c r="K759" t="s">
        <v>29</v>
      </c>
      <c r="L759" t="s">
        <v>30</v>
      </c>
      <c r="M759" t="s">
        <v>22</v>
      </c>
      <c r="N759" t="str">
        <f t="shared" si="44"/>
        <v>Clean</v>
      </c>
      <c r="O759" t="str">
        <f t="shared" si="47"/>
        <v/>
      </c>
      <c r="P759" t="str">
        <f t="shared" si="45"/>
        <v>Clean</v>
      </c>
      <c r="Q759" t="str">
        <f t="shared" si="46"/>
        <v>Valid</v>
      </c>
    </row>
    <row r="760" spans="1:17" x14ac:dyDescent="0.3">
      <c r="A760" t="s">
        <v>2973</v>
      </c>
      <c r="B760" t="s">
        <v>2974</v>
      </c>
      <c r="C760" t="s">
        <v>181</v>
      </c>
      <c r="D760" t="s">
        <v>77</v>
      </c>
      <c r="E760" t="s">
        <v>52</v>
      </c>
      <c r="F760" t="s">
        <v>18</v>
      </c>
      <c r="G760" s="1">
        <v>44361</v>
      </c>
      <c r="H760" s="1">
        <v>44654</v>
      </c>
      <c r="I760" t="s">
        <v>2975</v>
      </c>
      <c r="J760" t="s">
        <v>2976</v>
      </c>
      <c r="K760" t="s">
        <v>37</v>
      </c>
      <c r="L760" t="s">
        <v>30</v>
      </c>
      <c r="M760" t="s">
        <v>22</v>
      </c>
      <c r="N760" t="str">
        <f t="shared" si="44"/>
        <v>Clean</v>
      </c>
      <c r="O760" t="str">
        <f t="shared" si="47"/>
        <v/>
      </c>
      <c r="P760" t="str">
        <f t="shared" si="45"/>
        <v>Clean</v>
      </c>
      <c r="Q760" t="str">
        <f t="shared" si="46"/>
        <v>Valid</v>
      </c>
    </row>
    <row r="761" spans="1:17" x14ac:dyDescent="0.3">
      <c r="A761" t="s">
        <v>2977</v>
      </c>
      <c r="B761" t="s">
        <v>3721</v>
      </c>
      <c r="C761" t="s">
        <v>40</v>
      </c>
      <c r="D761" t="s">
        <v>25</v>
      </c>
      <c r="E761" t="s">
        <v>26</v>
      </c>
      <c r="F761" t="s">
        <v>18</v>
      </c>
      <c r="G761" s="1">
        <v>45018</v>
      </c>
      <c r="H761" s="1">
        <v>45185</v>
      </c>
      <c r="I761" t="s">
        <v>2978</v>
      </c>
      <c r="J761" t="s">
        <v>2979</v>
      </c>
      <c r="K761" t="s">
        <v>90</v>
      </c>
      <c r="L761" t="s">
        <v>55</v>
      </c>
      <c r="M761" t="s">
        <v>3735</v>
      </c>
      <c r="N761" t="str">
        <f t="shared" si="44"/>
        <v>Flagged</v>
      </c>
      <c r="O761" t="str">
        <f t="shared" si="47"/>
        <v>Missing Vendor_Name</v>
      </c>
      <c r="P761" t="str">
        <f t="shared" si="45"/>
        <v>Flagged for Review</v>
      </c>
      <c r="Q761" t="str">
        <f t="shared" si="46"/>
        <v>Valid</v>
      </c>
    </row>
    <row r="762" spans="1:17" x14ac:dyDescent="0.3">
      <c r="A762" t="s">
        <v>2980</v>
      </c>
      <c r="B762" t="s">
        <v>2981</v>
      </c>
      <c r="C762" t="s">
        <v>46</v>
      </c>
      <c r="D762" t="s">
        <v>51</v>
      </c>
      <c r="E762" t="s">
        <v>52</v>
      </c>
      <c r="F762" t="s">
        <v>160</v>
      </c>
      <c r="G762" s="1">
        <v>45577</v>
      </c>
      <c r="H762" s="1">
        <v>45886</v>
      </c>
      <c r="I762" t="s">
        <v>2982</v>
      </c>
      <c r="J762" t="s">
        <v>2983</v>
      </c>
      <c r="K762" t="s">
        <v>21</v>
      </c>
      <c r="L762" t="s">
        <v>30</v>
      </c>
      <c r="M762" t="s">
        <v>22</v>
      </c>
      <c r="N762" t="str">
        <f t="shared" si="44"/>
        <v>Clean</v>
      </c>
      <c r="O762" t="str">
        <f t="shared" si="47"/>
        <v/>
      </c>
      <c r="P762" t="str">
        <f t="shared" si="45"/>
        <v>Clean</v>
      </c>
      <c r="Q762" t="str">
        <f t="shared" si="46"/>
        <v>Valid</v>
      </c>
    </row>
    <row r="763" spans="1:17" x14ac:dyDescent="0.3">
      <c r="A763" t="s">
        <v>2984</v>
      </c>
      <c r="B763" t="s">
        <v>2985</v>
      </c>
      <c r="C763" t="s">
        <v>46</v>
      </c>
      <c r="D763" t="s">
        <v>41</v>
      </c>
      <c r="E763" t="s">
        <v>17</v>
      </c>
      <c r="F763" t="s">
        <v>18</v>
      </c>
      <c r="G763" s="1">
        <v>44823</v>
      </c>
      <c r="H763" s="1">
        <v>45015</v>
      </c>
      <c r="I763" t="s">
        <v>2986</v>
      </c>
      <c r="J763" t="s">
        <v>2987</v>
      </c>
      <c r="K763" t="s">
        <v>37</v>
      </c>
      <c r="L763" t="s">
        <v>60</v>
      </c>
      <c r="M763" t="s">
        <v>22</v>
      </c>
      <c r="N763" t="str">
        <f t="shared" si="44"/>
        <v>Clean</v>
      </c>
      <c r="O763" t="str">
        <f t="shared" si="47"/>
        <v/>
      </c>
      <c r="P763" t="str">
        <f t="shared" si="45"/>
        <v>Clean</v>
      </c>
      <c r="Q763" t="str">
        <f t="shared" si="46"/>
        <v>Valid</v>
      </c>
    </row>
    <row r="764" spans="1:17" x14ac:dyDescent="0.3">
      <c r="A764" t="s">
        <v>2988</v>
      </c>
      <c r="B764" t="s">
        <v>2989</v>
      </c>
      <c r="C764" t="s">
        <v>15</v>
      </c>
      <c r="D764" t="s">
        <v>16</v>
      </c>
      <c r="E764" t="s">
        <v>17</v>
      </c>
      <c r="F764" t="s">
        <v>18</v>
      </c>
      <c r="G764" s="1">
        <v>43971</v>
      </c>
      <c r="H764" s="1">
        <v>44151</v>
      </c>
      <c r="I764" t="s">
        <v>2990</v>
      </c>
      <c r="J764" t="s">
        <v>2991</v>
      </c>
      <c r="K764" t="s">
        <v>21</v>
      </c>
      <c r="L764" t="s">
        <v>55</v>
      </c>
      <c r="M764" t="s">
        <v>22</v>
      </c>
      <c r="N764" t="str">
        <f t="shared" si="44"/>
        <v>Clean</v>
      </c>
      <c r="O764" t="str">
        <f t="shared" si="47"/>
        <v/>
      </c>
      <c r="P764" t="str">
        <f t="shared" si="45"/>
        <v>Clean</v>
      </c>
      <c r="Q764" t="str">
        <f t="shared" si="46"/>
        <v>Valid</v>
      </c>
    </row>
    <row r="765" spans="1:17" x14ac:dyDescent="0.3">
      <c r="A765" t="s">
        <v>2992</v>
      </c>
      <c r="B765" t="s">
        <v>2993</v>
      </c>
      <c r="C765" t="s">
        <v>15</v>
      </c>
      <c r="D765" t="s">
        <v>16</v>
      </c>
      <c r="E765" t="s">
        <v>17</v>
      </c>
      <c r="F765" t="s">
        <v>18</v>
      </c>
      <c r="G765" s="1">
        <v>44754</v>
      </c>
      <c r="H765" s="1">
        <v>45117</v>
      </c>
      <c r="I765" t="s">
        <v>2994</v>
      </c>
      <c r="J765" t="s">
        <v>2995</v>
      </c>
      <c r="K765" t="s">
        <v>21</v>
      </c>
      <c r="L765" t="s">
        <v>60</v>
      </c>
      <c r="M765" t="s">
        <v>22</v>
      </c>
      <c r="N765" t="str">
        <f t="shared" si="44"/>
        <v>Clean</v>
      </c>
      <c r="O765" t="str">
        <f t="shared" si="47"/>
        <v/>
      </c>
      <c r="P765" t="str">
        <f t="shared" si="45"/>
        <v>Clean</v>
      </c>
      <c r="Q765" t="str">
        <f t="shared" si="46"/>
        <v>Valid</v>
      </c>
    </row>
    <row r="766" spans="1:17" x14ac:dyDescent="0.3">
      <c r="A766" t="s">
        <v>2996</v>
      </c>
      <c r="B766" t="s">
        <v>159</v>
      </c>
      <c r="C766" t="s">
        <v>181</v>
      </c>
      <c r="D766" t="s">
        <v>41</v>
      </c>
      <c r="E766" t="s">
        <v>17</v>
      </c>
      <c r="F766" t="s">
        <v>18</v>
      </c>
      <c r="G766" s="1">
        <v>45481</v>
      </c>
      <c r="H766" s="1">
        <v>45532</v>
      </c>
      <c r="I766" t="s">
        <v>2997</v>
      </c>
      <c r="J766" t="s">
        <v>2998</v>
      </c>
      <c r="K766" t="s">
        <v>29</v>
      </c>
      <c r="L766" t="s">
        <v>55</v>
      </c>
      <c r="M766" t="s">
        <v>22</v>
      </c>
      <c r="N766" t="str">
        <f t="shared" si="44"/>
        <v>Clean</v>
      </c>
      <c r="O766" t="str">
        <f t="shared" si="47"/>
        <v/>
      </c>
      <c r="P766" t="str">
        <f t="shared" si="45"/>
        <v>Clean</v>
      </c>
      <c r="Q766" t="str">
        <f t="shared" si="46"/>
        <v>Valid</v>
      </c>
    </row>
    <row r="767" spans="1:17" x14ac:dyDescent="0.3">
      <c r="A767" t="s">
        <v>2999</v>
      </c>
      <c r="B767" t="s">
        <v>3000</v>
      </c>
      <c r="C767" t="s">
        <v>181</v>
      </c>
      <c r="D767" t="s">
        <v>41</v>
      </c>
      <c r="E767" t="s">
        <v>17</v>
      </c>
      <c r="F767" t="s">
        <v>18</v>
      </c>
      <c r="G767" s="1">
        <v>44941</v>
      </c>
      <c r="H767" s="1">
        <v>45154</v>
      </c>
      <c r="I767" t="s">
        <v>3001</v>
      </c>
      <c r="J767" t="s">
        <v>3002</v>
      </c>
      <c r="K767" t="s">
        <v>37</v>
      </c>
      <c r="L767" t="s">
        <v>55</v>
      </c>
      <c r="M767" t="s">
        <v>22</v>
      </c>
      <c r="N767" t="str">
        <f t="shared" si="44"/>
        <v>Clean</v>
      </c>
      <c r="O767" t="str">
        <f t="shared" si="47"/>
        <v/>
      </c>
      <c r="P767" t="str">
        <f t="shared" si="45"/>
        <v>Clean</v>
      </c>
      <c r="Q767" t="str">
        <f t="shared" si="46"/>
        <v>Valid</v>
      </c>
    </row>
    <row r="768" spans="1:17" x14ac:dyDescent="0.3">
      <c r="A768" t="s">
        <v>3003</v>
      </c>
      <c r="B768" t="s">
        <v>3004</v>
      </c>
      <c r="C768" t="s">
        <v>76</v>
      </c>
      <c r="D768" t="s">
        <v>41</v>
      </c>
      <c r="E768" t="s">
        <v>17</v>
      </c>
      <c r="F768" t="s">
        <v>151</v>
      </c>
      <c r="G768" s="1">
        <v>45289</v>
      </c>
      <c r="H768" s="1">
        <v>45537</v>
      </c>
      <c r="I768" t="s">
        <v>3005</v>
      </c>
      <c r="J768" t="s">
        <v>3006</v>
      </c>
      <c r="K768" t="s">
        <v>21</v>
      </c>
      <c r="L768" t="s">
        <v>91</v>
      </c>
      <c r="M768" t="s">
        <v>22</v>
      </c>
      <c r="N768" t="str">
        <f t="shared" si="44"/>
        <v>Clean</v>
      </c>
      <c r="O768" t="str">
        <f t="shared" si="47"/>
        <v/>
      </c>
      <c r="P768" t="str">
        <f t="shared" si="45"/>
        <v>Clean</v>
      </c>
      <c r="Q768" t="str">
        <f t="shared" si="46"/>
        <v>Valid</v>
      </c>
    </row>
    <row r="769" spans="1:17" x14ac:dyDescent="0.3">
      <c r="A769" t="s">
        <v>3007</v>
      </c>
      <c r="B769" t="s">
        <v>3008</v>
      </c>
      <c r="C769" t="s">
        <v>46</v>
      </c>
      <c r="D769" t="s">
        <v>77</v>
      </c>
      <c r="E769" t="s">
        <v>52</v>
      </c>
      <c r="F769" t="s">
        <v>18</v>
      </c>
      <c r="G769" s="1">
        <v>45621</v>
      </c>
      <c r="H769" s="1">
        <v>45957</v>
      </c>
      <c r="I769" t="s">
        <v>3009</v>
      </c>
      <c r="J769" t="s">
        <v>3010</v>
      </c>
      <c r="K769" t="s">
        <v>21</v>
      </c>
      <c r="M769" t="s">
        <v>3735</v>
      </c>
      <c r="N769" t="str">
        <f t="shared" si="44"/>
        <v>Flagged</v>
      </c>
      <c r="O769" t="str">
        <f t="shared" si="47"/>
        <v>Missing Verified_By</v>
      </c>
      <c r="P769" t="str">
        <f t="shared" si="45"/>
        <v>Flagged for Review</v>
      </c>
      <c r="Q769" t="str">
        <f t="shared" si="46"/>
        <v>Valid</v>
      </c>
    </row>
    <row r="770" spans="1:17" x14ac:dyDescent="0.3">
      <c r="A770" t="s">
        <v>3011</v>
      </c>
      <c r="B770" t="s">
        <v>2856</v>
      </c>
      <c r="C770" t="s">
        <v>33</v>
      </c>
      <c r="D770" t="s">
        <v>67</v>
      </c>
      <c r="E770" t="s">
        <v>26</v>
      </c>
      <c r="F770" t="s">
        <v>18</v>
      </c>
      <c r="G770" s="1">
        <v>45345</v>
      </c>
      <c r="H770" s="1">
        <v>45486</v>
      </c>
      <c r="I770" t="s">
        <v>3013</v>
      </c>
      <c r="J770" t="s">
        <v>3014</v>
      </c>
      <c r="K770" t="s">
        <v>37</v>
      </c>
      <c r="L770" t="s">
        <v>30</v>
      </c>
      <c r="M770" t="s">
        <v>22</v>
      </c>
      <c r="N770" t="str">
        <f t="shared" ref="N770:N833" si="48">IF(OR(B770="",H770="",I770="",J770="",L770="",Q770="Invalid"),"Flagged","Clean")</f>
        <v>Clean</v>
      </c>
      <c r="O770" t="str">
        <f t="shared" si="47"/>
        <v/>
      </c>
      <c r="P770" t="str">
        <f t="shared" ref="P770:P833" si="49">IF(N770="Clean","Clean","Flagged for Review")</f>
        <v>Clean</v>
      </c>
      <c r="Q770" t="str">
        <f t="shared" ref="Q770:Q833" si="50">IF(I770="","Blank",IF(ISERROR(FIND("@",I770&amp;"")),"Invalid",IF(FIND("@",I770&amp;"")&lt;2,"Invalid",IF(LEN(I770&amp;"")-FIND("@",I770&amp;"")&lt;4,"Invalid","Valid"))))</f>
        <v>Valid</v>
      </c>
    </row>
    <row r="771" spans="1:17" x14ac:dyDescent="0.3">
      <c r="A771" t="s">
        <v>3015</v>
      </c>
      <c r="B771" t="s">
        <v>3016</v>
      </c>
      <c r="C771" t="s">
        <v>87</v>
      </c>
      <c r="D771" t="s">
        <v>41</v>
      </c>
      <c r="E771" t="s">
        <v>17</v>
      </c>
      <c r="F771" t="s">
        <v>18</v>
      </c>
      <c r="G771" s="1">
        <v>43541</v>
      </c>
      <c r="H771" s="1">
        <v>43733</v>
      </c>
      <c r="I771" t="s">
        <v>3017</v>
      </c>
      <c r="J771" t="s">
        <v>3018</v>
      </c>
      <c r="K771" t="s">
        <v>90</v>
      </c>
      <c r="L771" t="s">
        <v>116</v>
      </c>
      <c r="M771" t="s">
        <v>22</v>
      </c>
      <c r="N771" t="str">
        <f t="shared" si="48"/>
        <v>Clean</v>
      </c>
      <c r="O771" t="str">
        <f t="shared" ref="O771:O834" si="51">TRIM(IF(B771="","Missing Vendor_Name ","")&amp;IF(I771="","Missing Contact_Email ","")&amp;IF(J771="","Missing Account_Code ","")&amp;IF(L771="","Missing Verified_By ","")&amp;IF(Q771="Invalid","Invalid Email Format ","")&amp;IF(H771="","Missing Last_Updated ",""))</f>
        <v/>
      </c>
      <c r="P771" t="str">
        <f t="shared" si="49"/>
        <v>Clean</v>
      </c>
      <c r="Q771" t="str">
        <f t="shared" si="50"/>
        <v>Valid</v>
      </c>
    </row>
    <row r="772" spans="1:17" x14ac:dyDescent="0.3">
      <c r="A772" t="s">
        <v>3019</v>
      </c>
      <c r="B772" t="s">
        <v>3020</v>
      </c>
      <c r="C772" t="s">
        <v>33</v>
      </c>
      <c r="D772" t="s">
        <v>34</v>
      </c>
      <c r="E772" t="s">
        <v>26</v>
      </c>
      <c r="F772" t="s">
        <v>18</v>
      </c>
      <c r="G772" s="1">
        <v>44581</v>
      </c>
      <c r="H772" s="1">
        <v>44837</v>
      </c>
      <c r="I772" t="s">
        <v>3021</v>
      </c>
      <c r="J772" t="s">
        <v>3022</v>
      </c>
      <c r="K772" t="s">
        <v>21</v>
      </c>
      <c r="L772" t="s">
        <v>60</v>
      </c>
      <c r="M772" t="s">
        <v>22</v>
      </c>
      <c r="N772" t="str">
        <f t="shared" si="48"/>
        <v>Clean</v>
      </c>
      <c r="O772" t="str">
        <f t="shared" si="51"/>
        <v/>
      </c>
      <c r="P772" t="str">
        <f t="shared" si="49"/>
        <v>Clean</v>
      </c>
      <c r="Q772" t="str">
        <f t="shared" si="50"/>
        <v>Valid</v>
      </c>
    </row>
    <row r="773" spans="1:17" x14ac:dyDescent="0.3">
      <c r="A773" t="s">
        <v>3023</v>
      </c>
      <c r="B773" t="s">
        <v>3024</v>
      </c>
      <c r="C773" t="s">
        <v>33</v>
      </c>
      <c r="D773" t="s">
        <v>34</v>
      </c>
      <c r="E773" t="s">
        <v>26</v>
      </c>
      <c r="F773" t="s">
        <v>18</v>
      </c>
      <c r="G773" s="1">
        <v>44270</v>
      </c>
      <c r="H773" s="1">
        <v>45777</v>
      </c>
      <c r="I773" t="s">
        <v>3025</v>
      </c>
      <c r="J773" t="s">
        <v>3026</v>
      </c>
      <c r="K773" t="s">
        <v>37</v>
      </c>
      <c r="L773" t="s">
        <v>116</v>
      </c>
      <c r="M773" t="s">
        <v>22</v>
      </c>
      <c r="N773" t="str">
        <f t="shared" si="48"/>
        <v>Clean</v>
      </c>
      <c r="O773" t="str">
        <f t="shared" si="51"/>
        <v/>
      </c>
      <c r="P773" t="str">
        <f t="shared" si="49"/>
        <v>Clean</v>
      </c>
      <c r="Q773" t="str">
        <f t="shared" si="50"/>
        <v>Valid</v>
      </c>
    </row>
    <row r="774" spans="1:17" x14ac:dyDescent="0.3">
      <c r="A774" t="s">
        <v>3027</v>
      </c>
      <c r="B774" t="s">
        <v>3028</v>
      </c>
      <c r="C774" t="s">
        <v>181</v>
      </c>
      <c r="D774" t="s">
        <v>67</v>
      </c>
      <c r="E774" t="s">
        <v>26</v>
      </c>
      <c r="F774" t="s">
        <v>151</v>
      </c>
      <c r="G774" s="1">
        <v>44406</v>
      </c>
      <c r="H774" s="1">
        <v>44450</v>
      </c>
      <c r="I774" t="s">
        <v>3029</v>
      </c>
      <c r="J774" t="s">
        <v>3030</v>
      </c>
      <c r="K774" t="s">
        <v>21</v>
      </c>
      <c r="L774" t="s">
        <v>55</v>
      </c>
      <c r="M774" t="s">
        <v>22</v>
      </c>
      <c r="N774" t="str">
        <f t="shared" si="48"/>
        <v>Clean</v>
      </c>
      <c r="O774" t="str">
        <f t="shared" si="51"/>
        <v/>
      </c>
      <c r="P774" t="str">
        <f t="shared" si="49"/>
        <v>Clean</v>
      </c>
      <c r="Q774" t="str">
        <f t="shared" si="50"/>
        <v>Valid</v>
      </c>
    </row>
    <row r="775" spans="1:17" x14ac:dyDescent="0.3">
      <c r="A775" t="s">
        <v>3031</v>
      </c>
      <c r="B775" t="s">
        <v>3032</v>
      </c>
      <c r="C775" t="s">
        <v>15</v>
      </c>
      <c r="D775" t="s">
        <v>25</v>
      </c>
      <c r="E775" t="s">
        <v>26</v>
      </c>
      <c r="F775" t="s">
        <v>18</v>
      </c>
      <c r="G775" s="1">
        <v>45622</v>
      </c>
      <c r="H775" s="1">
        <v>45641</v>
      </c>
      <c r="I775" t="s">
        <v>3033</v>
      </c>
      <c r="K775" t="s">
        <v>21</v>
      </c>
      <c r="L775" t="s">
        <v>55</v>
      </c>
      <c r="M775" t="s">
        <v>3735</v>
      </c>
      <c r="N775" t="str">
        <f t="shared" si="48"/>
        <v>Flagged</v>
      </c>
      <c r="O775" t="str">
        <f t="shared" si="51"/>
        <v>Missing Account_Code</v>
      </c>
      <c r="P775" t="str">
        <f t="shared" si="49"/>
        <v>Flagged for Review</v>
      </c>
      <c r="Q775" t="str">
        <f t="shared" si="50"/>
        <v>Valid</v>
      </c>
    </row>
    <row r="776" spans="1:17" x14ac:dyDescent="0.3">
      <c r="A776" t="s">
        <v>3034</v>
      </c>
      <c r="B776" t="s">
        <v>3721</v>
      </c>
      <c r="C776" t="s">
        <v>76</v>
      </c>
      <c r="D776" t="s">
        <v>25</v>
      </c>
      <c r="E776" t="s">
        <v>26</v>
      </c>
      <c r="F776" t="s">
        <v>151</v>
      </c>
      <c r="G776" s="1">
        <v>45404</v>
      </c>
      <c r="H776" s="1">
        <v>45684</v>
      </c>
      <c r="I776" t="s">
        <v>3035</v>
      </c>
      <c r="J776" t="s">
        <v>3036</v>
      </c>
      <c r="K776" t="s">
        <v>21</v>
      </c>
      <c r="L776" t="s">
        <v>91</v>
      </c>
      <c r="M776" t="s">
        <v>3735</v>
      </c>
      <c r="N776" t="str">
        <f t="shared" si="48"/>
        <v>Flagged</v>
      </c>
      <c r="O776" t="str">
        <f t="shared" si="51"/>
        <v>Missing Vendor_Name</v>
      </c>
      <c r="P776" t="str">
        <f t="shared" si="49"/>
        <v>Flagged for Review</v>
      </c>
      <c r="Q776" t="str">
        <f t="shared" si="50"/>
        <v>Valid</v>
      </c>
    </row>
    <row r="777" spans="1:17" x14ac:dyDescent="0.3">
      <c r="A777" t="s">
        <v>3037</v>
      </c>
      <c r="B777" t="s">
        <v>3038</v>
      </c>
      <c r="C777" t="s">
        <v>87</v>
      </c>
      <c r="D777" t="s">
        <v>41</v>
      </c>
      <c r="E777" t="s">
        <v>17</v>
      </c>
      <c r="F777" t="s">
        <v>18</v>
      </c>
      <c r="G777" s="1">
        <v>44978</v>
      </c>
      <c r="H777" s="1">
        <v>45276</v>
      </c>
      <c r="I777" t="s">
        <v>3039</v>
      </c>
      <c r="J777" t="s">
        <v>3040</v>
      </c>
      <c r="K777" t="s">
        <v>21</v>
      </c>
      <c r="L777" t="s">
        <v>55</v>
      </c>
      <c r="M777" t="s">
        <v>22</v>
      </c>
      <c r="N777" t="str">
        <f t="shared" si="48"/>
        <v>Clean</v>
      </c>
      <c r="O777" t="str">
        <f t="shared" si="51"/>
        <v/>
      </c>
      <c r="P777" t="str">
        <f t="shared" si="49"/>
        <v>Clean</v>
      </c>
      <c r="Q777" t="str">
        <f t="shared" si="50"/>
        <v>Valid</v>
      </c>
    </row>
    <row r="778" spans="1:17" x14ac:dyDescent="0.3">
      <c r="A778" t="s">
        <v>3041</v>
      </c>
      <c r="B778" t="s">
        <v>3042</v>
      </c>
      <c r="C778" t="s">
        <v>46</v>
      </c>
      <c r="D778" t="s">
        <v>34</v>
      </c>
      <c r="E778" t="s">
        <v>26</v>
      </c>
      <c r="F778" t="s">
        <v>151</v>
      </c>
      <c r="G778" s="1">
        <v>45402</v>
      </c>
      <c r="H778" s="1">
        <v>45601</v>
      </c>
      <c r="I778" t="s">
        <v>3043</v>
      </c>
      <c r="J778" t="s">
        <v>3044</v>
      </c>
      <c r="K778" t="s">
        <v>37</v>
      </c>
      <c r="M778" t="s">
        <v>3735</v>
      </c>
      <c r="N778" t="str">
        <f t="shared" si="48"/>
        <v>Flagged</v>
      </c>
      <c r="O778" t="str">
        <f t="shared" si="51"/>
        <v>Missing Verified_By</v>
      </c>
      <c r="P778" t="str">
        <f t="shared" si="49"/>
        <v>Flagged for Review</v>
      </c>
      <c r="Q778" t="str">
        <f t="shared" si="50"/>
        <v>Valid</v>
      </c>
    </row>
    <row r="779" spans="1:17" x14ac:dyDescent="0.3">
      <c r="A779" t="s">
        <v>3045</v>
      </c>
      <c r="B779" t="s">
        <v>3046</v>
      </c>
      <c r="C779" t="s">
        <v>181</v>
      </c>
      <c r="D779" t="s">
        <v>34</v>
      </c>
      <c r="E779" t="s">
        <v>26</v>
      </c>
      <c r="F779" t="s">
        <v>18</v>
      </c>
      <c r="G779" s="1">
        <v>45224</v>
      </c>
      <c r="H779" s="1">
        <v>45224</v>
      </c>
      <c r="I779" t="s">
        <v>3047</v>
      </c>
      <c r="J779" t="s">
        <v>3048</v>
      </c>
      <c r="K779" t="s">
        <v>37</v>
      </c>
      <c r="L779" t="s">
        <v>91</v>
      </c>
      <c r="M779" t="s">
        <v>22</v>
      </c>
      <c r="N779" t="str">
        <f t="shared" si="48"/>
        <v>Clean</v>
      </c>
      <c r="O779" t="str">
        <f t="shared" si="51"/>
        <v/>
      </c>
      <c r="P779" t="str">
        <f t="shared" si="49"/>
        <v>Clean</v>
      </c>
      <c r="Q779" t="str">
        <f t="shared" si="50"/>
        <v>Valid</v>
      </c>
    </row>
    <row r="780" spans="1:17" x14ac:dyDescent="0.3">
      <c r="A780" t="s">
        <v>3049</v>
      </c>
      <c r="B780" t="s">
        <v>3050</v>
      </c>
      <c r="C780" t="s">
        <v>76</v>
      </c>
      <c r="D780" t="s">
        <v>34</v>
      </c>
      <c r="E780" t="s">
        <v>26</v>
      </c>
      <c r="F780" t="s">
        <v>151</v>
      </c>
      <c r="G780" s="1">
        <v>43577</v>
      </c>
      <c r="H780" s="1">
        <v>43723</v>
      </c>
      <c r="I780" t="s">
        <v>3051</v>
      </c>
      <c r="J780" t="s">
        <v>3052</v>
      </c>
      <c r="K780" t="s">
        <v>37</v>
      </c>
      <c r="L780" t="s">
        <v>91</v>
      </c>
      <c r="M780" t="s">
        <v>22</v>
      </c>
      <c r="N780" t="str">
        <f t="shared" si="48"/>
        <v>Clean</v>
      </c>
      <c r="O780" t="str">
        <f t="shared" si="51"/>
        <v/>
      </c>
      <c r="P780" t="str">
        <f t="shared" si="49"/>
        <v>Clean</v>
      </c>
      <c r="Q780" t="str">
        <f t="shared" si="50"/>
        <v>Valid</v>
      </c>
    </row>
    <row r="781" spans="1:17" x14ac:dyDescent="0.3">
      <c r="A781" t="s">
        <v>3053</v>
      </c>
      <c r="B781" t="s">
        <v>3054</v>
      </c>
      <c r="C781" t="s">
        <v>76</v>
      </c>
      <c r="D781" t="s">
        <v>25</v>
      </c>
      <c r="E781" t="s">
        <v>26</v>
      </c>
      <c r="F781" t="s">
        <v>151</v>
      </c>
      <c r="G781" s="1">
        <v>43602</v>
      </c>
      <c r="H781" s="1">
        <v>43795</v>
      </c>
      <c r="I781" t="s">
        <v>3055</v>
      </c>
      <c r="J781" t="s">
        <v>3056</v>
      </c>
      <c r="K781" t="s">
        <v>37</v>
      </c>
      <c r="L781" t="s">
        <v>60</v>
      </c>
      <c r="M781" t="s">
        <v>22</v>
      </c>
      <c r="N781" t="str">
        <f t="shared" si="48"/>
        <v>Clean</v>
      </c>
      <c r="O781" t="str">
        <f t="shared" si="51"/>
        <v/>
      </c>
      <c r="P781" t="str">
        <f t="shared" si="49"/>
        <v>Clean</v>
      </c>
      <c r="Q781" t="str">
        <f t="shared" si="50"/>
        <v>Valid</v>
      </c>
    </row>
    <row r="782" spans="1:17" x14ac:dyDescent="0.3">
      <c r="A782" t="s">
        <v>3057</v>
      </c>
      <c r="B782" t="s">
        <v>3058</v>
      </c>
      <c r="C782" t="s">
        <v>76</v>
      </c>
      <c r="D782" t="s">
        <v>67</v>
      </c>
      <c r="E782" t="s">
        <v>26</v>
      </c>
      <c r="F782" t="s">
        <v>18</v>
      </c>
      <c r="G782" s="1">
        <v>44383</v>
      </c>
      <c r="H782" s="1">
        <v>44632</v>
      </c>
      <c r="I782" t="s">
        <v>3059</v>
      </c>
      <c r="K782" t="s">
        <v>29</v>
      </c>
      <c r="L782" t="s">
        <v>60</v>
      </c>
      <c r="M782" t="s">
        <v>3735</v>
      </c>
      <c r="N782" t="str">
        <f t="shared" si="48"/>
        <v>Flagged</v>
      </c>
      <c r="O782" t="str">
        <f t="shared" si="51"/>
        <v>Missing Account_Code</v>
      </c>
      <c r="P782" t="str">
        <f t="shared" si="49"/>
        <v>Flagged for Review</v>
      </c>
      <c r="Q782" t="str">
        <f t="shared" si="50"/>
        <v>Valid</v>
      </c>
    </row>
    <row r="783" spans="1:17" x14ac:dyDescent="0.3">
      <c r="A783" t="s">
        <v>3060</v>
      </c>
      <c r="B783" t="s">
        <v>3061</v>
      </c>
      <c r="C783" t="s">
        <v>33</v>
      </c>
      <c r="D783" t="s">
        <v>67</v>
      </c>
      <c r="E783" t="s">
        <v>26</v>
      </c>
      <c r="F783" t="s">
        <v>160</v>
      </c>
      <c r="G783" s="1">
        <v>45070</v>
      </c>
      <c r="H783" s="1">
        <v>45096</v>
      </c>
      <c r="I783" t="s">
        <v>3062</v>
      </c>
      <c r="J783" t="s">
        <v>551</v>
      </c>
      <c r="K783" t="s">
        <v>90</v>
      </c>
      <c r="M783" t="s">
        <v>3735</v>
      </c>
      <c r="N783" t="str">
        <f t="shared" si="48"/>
        <v>Flagged</v>
      </c>
      <c r="O783" t="str">
        <f t="shared" si="51"/>
        <v>Missing Verified_By</v>
      </c>
      <c r="P783" t="str">
        <f t="shared" si="49"/>
        <v>Flagged for Review</v>
      </c>
      <c r="Q783" t="str">
        <f t="shared" si="50"/>
        <v>Valid</v>
      </c>
    </row>
    <row r="784" spans="1:17" x14ac:dyDescent="0.3">
      <c r="A784" t="s">
        <v>3063</v>
      </c>
      <c r="B784" t="s">
        <v>2796</v>
      </c>
      <c r="C784" t="s">
        <v>76</v>
      </c>
      <c r="D784" t="s">
        <v>25</v>
      </c>
      <c r="E784" t="s">
        <v>26</v>
      </c>
      <c r="F784" t="s">
        <v>18</v>
      </c>
      <c r="G784" s="1">
        <v>43622</v>
      </c>
      <c r="H784" s="1">
        <v>43901</v>
      </c>
      <c r="I784" t="s">
        <v>3064</v>
      </c>
      <c r="J784" t="s">
        <v>3065</v>
      </c>
      <c r="K784" t="s">
        <v>37</v>
      </c>
      <c r="M784" t="s">
        <v>3735</v>
      </c>
      <c r="N784" t="str">
        <f t="shared" si="48"/>
        <v>Flagged</v>
      </c>
      <c r="O784" t="str">
        <f t="shared" si="51"/>
        <v>Missing Verified_By</v>
      </c>
      <c r="P784" t="str">
        <f t="shared" si="49"/>
        <v>Flagged for Review</v>
      </c>
      <c r="Q784" t="str">
        <f t="shared" si="50"/>
        <v>Valid</v>
      </c>
    </row>
    <row r="785" spans="1:17" x14ac:dyDescent="0.3">
      <c r="A785" t="s">
        <v>3066</v>
      </c>
      <c r="B785" t="s">
        <v>3067</v>
      </c>
      <c r="C785" t="s">
        <v>87</v>
      </c>
      <c r="D785" t="s">
        <v>41</v>
      </c>
      <c r="E785" t="s">
        <v>17</v>
      </c>
      <c r="F785" t="s">
        <v>18</v>
      </c>
      <c r="G785" s="1">
        <v>44601</v>
      </c>
      <c r="H785" s="1">
        <v>44853</v>
      </c>
      <c r="I785" t="s">
        <v>3068</v>
      </c>
      <c r="J785" t="s">
        <v>3069</v>
      </c>
      <c r="K785" t="s">
        <v>21</v>
      </c>
      <c r="L785" t="s">
        <v>91</v>
      </c>
      <c r="M785" t="s">
        <v>22</v>
      </c>
      <c r="N785" t="str">
        <f t="shared" si="48"/>
        <v>Clean</v>
      </c>
      <c r="O785" t="str">
        <f t="shared" si="51"/>
        <v/>
      </c>
      <c r="P785" t="str">
        <f t="shared" si="49"/>
        <v>Clean</v>
      </c>
      <c r="Q785" t="str">
        <f t="shared" si="50"/>
        <v>Valid</v>
      </c>
    </row>
    <row r="786" spans="1:17" x14ac:dyDescent="0.3">
      <c r="A786" t="s">
        <v>3070</v>
      </c>
      <c r="B786" t="s">
        <v>857</v>
      </c>
      <c r="C786" t="s">
        <v>46</v>
      </c>
      <c r="D786" t="s">
        <v>67</v>
      </c>
      <c r="E786" t="s">
        <v>26</v>
      </c>
      <c r="F786" t="s">
        <v>160</v>
      </c>
      <c r="G786" s="1">
        <v>44025</v>
      </c>
      <c r="H786" s="1">
        <v>44060</v>
      </c>
      <c r="I786" t="s">
        <v>858</v>
      </c>
      <c r="J786" t="s">
        <v>3071</v>
      </c>
      <c r="K786" t="s">
        <v>29</v>
      </c>
      <c r="L786" t="s">
        <v>91</v>
      </c>
      <c r="M786" t="s">
        <v>22</v>
      </c>
      <c r="N786" t="str">
        <f t="shared" si="48"/>
        <v>Clean</v>
      </c>
      <c r="O786" t="str">
        <f t="shared" si="51"/>
        <v/>
      </c>
      <c r="P786" t="str">
        <f t="shared" si="49"/>
        <v>Clean</v>
      </c>
      <c r="Q786" t="str">
        <f t="shared" si="50"/>
        <v>Valid</v>
      </c>
    </row>
    <row r="787" spans="1:17" x14ac:dyDescent="0.3">
      <c r="A787" t="s">
        <v>3072</v>
      </c>
      <c r="B787" t="s">
        <v>3073</v>
      </c>
      <c r="C787" t="s">
        <v>181</v>
      </c>
      <c r="D787" t="s">
        <v>41</v>
      </c>
      <c r="E787" t="s">
        <v>17</v>
      </c>
      <c r="F787" t="s">
        <v>18</v>
      </c>
      <c r="G787" s="1">
        <v>44489</v>
      </c>
      <c r="H787" s="1">
        <v>44608</v>
      </c>
      <c r="I787" t="s">
        <v>3074</v>
      </c>
      <c r="J787" t="s">
        <v>3075</v>
      </c>
      <c r="K787" t="s">
        <v>90</v>
      </c>
      <c r="L787" t="s">
        <v>91</v>
      </c>
      <c r="M787" t="s">
        <v>22</v>
      </c>
      <c r="N787" t="str">
        <f t="shared" si="48"/>
        <v>Clean</v>
      </c>
      <c r="O787" t="str">
        <f t="shared" si="51"/>
        <v/>
      </c>
      <c r="P787" t="str">
        <f t="shared" si="49"/>
        <v>Clean</v>
      </c>
      <c r="Q787" t="str">
        <f t="shared" si="50"/>
        <v>Valid</v>
      </c>
    </row>
    <row r="788" spans="1:17" x14ac:dyDescent="0.3">
      <c r="A788" t="s">
        <v>3076</v>
      </c>
      <c r="B788" t="s">
        <v>3077</v>
      </c>
      <c r="C788" t="s">
        <v>33</v>
      </c>
      <c r="D788" t="s">
        <v>41</v>
      </c>
      <c r="E788" t="s">
        <v>17</v>
      </c>
      <c r="F788" t="s">
        <v>160</v>
      </c>
      <c r="G788" s="1">
        <v>44772</v>
      </c>
      <c r="H788" s="1">
        <v>45067</v>
      </c>
      <c r="I788" t="s">
        <v>3078</v>
      </c>
      <c r="J788" t="s">
        <v>3079</v>
      </c>
      <c r="K788" t="s">
        <v>37</v>
      </c>
      <c r="L788" t="s">
        <v>116</v>
      </c>
      <c r="M788" t="s">
        <v>22</v>
      </c>
      <c r="N788" t="str">
        <f t="shared" si="48"/>
        <v>Clean</v>
      </c>
      <c r="O788" t="str">
        <f t="shared" si="51"/>
        <v/>
      </c>
      <c r="P788" t="str">
        <f t="shared" si="49"/>
        <v>Clean</v>
      </c>
      <c r="Q788" t="str">
        <f t="shared" si="50"/>
        <v>Valid</v>
      </c>
    </row>
    <row r="789" spans="1:17" x14ac:dyDescent="0.3">
      <c r="A789" t="s">
        <v>3080</v>
      </c>
      <c r="B789" t="s">
        <v>3729</v>
      </c>
      <c r="C789" t="s">
        <v>87</v>
      </c>
      <c r="D789" t="s">
        <v>41</v>
      </c>
      <c r="E789" t="s">
        <v>17</v>
      </c>
      <c r="F789" t="s">
        <v>151</v>
      </c>
      <c r="G789" s="1">
        <v>44725</v>
      </c>
      <c r="H789" s="1">
        <v>44789</v>
      </c>
      <c r="I789" t="s">
        <v>3082</v>
      </c>
      <c r="J789" t="s">
        <v>3083</v>
      </c>
      <c r="K789" t="s">
        <v>90</v>
      </c>
      <c r="L789" t="s">
        <v>30</v>
      </c>
      <c r="M789" t="s">
        <v>22</v>
      </c>
      <c r="N789" t="str">
        <f t="shared" si="48"/>
        <v>Clean</v>
      </c>
      <c r="O789" t="str">
        <f t="shared" si="51"/>
        <v/>
      </c>
      <c r="P789" t="str">
        <f t="shared" si="49"/>
        <v>Clean</v>
      </c>
      <c r="Q789" t="str">
        <f t="shared" si="50"/>
        <v>Valid</v>
      </c>
    </row>
    <row r="790" spans="1:17" x14ac:dyDescent="0.3">
      <c r="A790" t="s">
        <v>3084</v>
      </c>
      <c r="B790" t="s">
        <v>3085</v>
      </c>
      <c r="C790" t="s">
        <v>15</v>
      </c>
      <c r="D790" t="s">
        <v>41</v>
      </c>
      <c r="E790" t="s">
        <v>17</v>
      </c>
      <c r="F790" t="s">
        <v>18</v>
      </c>
      <c r="G790" s="1">
        <v>44997</v>
      </c>
      <c r="H790" s="1">
        <v>45076</v>
      </c>
      <c r="I790" t="s">
        <v>3086</v>
      </c>
      <c r="J790" t="s">
        <v>3087</v>
      </c>
      <c r="K790" t="s">
        <v>90</v>
      </c>
      <c r="L790" t="s">
        <v>55</v>
      </c>
      <c r="M790" t="s">
        <v>22</v>
      </c>
      <c r="N790" t="str">
        <f t="shared" si="48"/>
        <v>Clean</v>
      </c>
      <c r="O790" t="str">
        <f t="shared" si="51"/>
        <v/>
      </c>
      <c r="P790" t="str">
        <f t="shared" si="49"/>
        <v>Clean</v>
      </c>
      <c r="Q790" t="str">
        <f t="shared" si="50"/>
        <v>Valid</v>
      </c>
    </row>
    <row r="791" spans="1:17" x14ac:dyDescent="0.3">
      <c r="A791" t="s">
        <v>3088</v>
      </c>
      <c r="B791" t="s">
        <v>3089</v>
      </c>
      <c r="C791" t="s">
        <v>15</v>
      </c>
      <c r="D791" t="s">
        <v>41</v>
      </c>
      <c r="E791" t="s">
        <v>17</v>
      </c>
      <c r="F791" t="s">
        <v>18</v>
      </c>
      <c r="G791" s="1">
        <v>45409</v>
      </c>
      <c r="H791" s="1">
        <v>45663</v>
      </c>
      <c r="I791" t="s">
        <v>3090</v>
      </c>
      <c r="J791" t="s">
        <v>3091</v>
      </c>
      <c r="K791" t="s">
        <v>90</v>
      </c>
      <c r="L791" t="s">
        <v>60</v>
      </c>
      <c r="M791" t="s">
        <v>22</v>
      </c>
      <c r="N791" t="str">
        <f t="shared" si="48"/>
        <v>Clean</v>
      </c>
      <c r="O791" t="str">
        <f t="shared" si="51"/>
        <v/>
      </c>
      <c r="P791" t="str">
        <f t="shared" si="49"/>
        <v>Clean</v>
      </c>
      <c r="Q791" t="str">
        <f t="shared" si="50"/>
        <v>Valid</v>
      </c>
    </row>
    <row r="792" spans="1:17" x14ac:dyDescent="0.3">
      <c r="A792" t="s">
        <v>3092</v>
      </c>
      <c r="B792" t="s">
        <v>3093</v>
      </c>
      <c r="C792" t="s">
        <v>46</v>
      </c>
      <c r="D792" t="s">
        <v>77</v>
      </c>
      <c r="E792" t="s">
        <v>52</v>
      </c>
      <c r="F792" t="s">
        <v>18</v>
      </c>
      <c r="G792" s="1">
        <v>43814</v>
      </c>
      <c r="H792" s="1">
        <v>43970</v>
      </c>
      <c r="I792" t="s">
        <v>3094</v>
      </c>
      <c r="J792" t="s">
        <v>3095</v>
      </c>
      <c r="K792" t="s">
        <v>37</v>
      </c>
      <c r="L792" t="s">
        <v>30</v>
      </c>
      <c r="M792" t="s">
        <v>22</v>
      </c>
      <c r="N792" t="str">
        <f t="shared" si="48"/>
        <v>Clean</v>
      </c>
      <c r="O792" t="str">
        <f t="shared" si="51"/>
        <v/>
      </c>
      <c r="P792" t="str">
        <f t="shared" si="49"/>
        <v>Clean</v>
      </c>
      <c r="Q792" t="str">
        <f t="shared" si="50"/>
        <v>Valid</v>
      </c>
    </row>
    <row r="793" spans="1:17" x14ac:dyDescent="0.3">
      <c r="A793" t="s">
        <v>3096</v>
      </c>
      <c r="B793" t="s">
        <v>3097</v>
      </c>
      <c r="C793" t="s">
        <v>46</v>
      </c>
      <c r="D793" t="s">
        <v>51</v>
      </c>
      <c r="E793" t="s">
        <v>52</v>
      </c>
      <c r="F793" t="s">
        <v>18</v>
      </c>
      <c r="G793" s="1">
        <v>44370</v>
      </c>
      <c r="H793" s="1">
        <v>44680</v>
      </c>
      <c r="I793" t="s">
        <v>3098</v>
      </c>
      <c r="J793" t="s">
        <v>3099</v>
      </c>
      <c r="K793" t="s">
        <v>37</v>
      </c>
      <c r="M793" t="s">
        <v>3735</v>
      </c>
      <c r="N793" t="str">
        <f t="shared" si="48"/>
        <v>Flagged</v>
      </c>
      <c r="O793" t="str">
        <f t="shared" si="51"/>
        <v>Missing Verified_By</v>
      </c>
      <c r="P793" t="str">
        <f t="shared" si="49"/>
        <v>Flagged for Review</v>
      </c>
      <c r="Q793" t="str">
        <f t="shared" si="50"/>
        <v>Valid</v>
      </c>
    </row>
    <row r="794" spans="1:17" x14ac:dyDescent="0.3">
      <c r="A794" t="s">
        <v>3100</v>
      </c>
      <c r="B794" t="s">
        <v>192</v>
      </c>
      <c r="C794" t="s">
        <v>46</v>
      </c>
      <c r="D794" t="s">
        <v>51</v>
      </c>
      <c r="E794" t="s">
        <v>52</v>
      </c>
      <c r="F794" t="s">
        <v>18</v>
      </c>
      <c r="G794" s="1">
        <v>43908</v>
      </c>
      <c r="H794" s="1">
        <v>44154</v>
      </c>
      <c r="I794" t="s">
        <v>3101</v>
      </c>
      <c r="J794" t="s">
        <v>3102</v>
      </c>
      <c r="K794" t="s">
        <v>29</v>
      </c>
      <c r="M794" t="s">
        <v>3735</v>
      </c>
      <c r="N794" t="str">
        <f t="shared" si="48"/>
        <v>Flagged</v>
      </c>
      <c r="O794" t="str">
        <f t="shared" si="51"/>
        <v>Missing Verified_By</v>
      </c>
      <c r="P794" t="str">
        <f t="shared" si="49"/>
        <v>Flagged for Review</v>
      </c>
      <c r="Q794" t="str">
        <f t="shared" si="50"/>
        <v>Valid</v>
      </c>
    </row>
    <row r="795" spans="1:17" x14ac:dyDescent="0.3">
      <c r="A795" t="s">
        <v>3103</v>
      </c>
      <c r="B795" t="s">
        <v>3104</v>
      </c>
      <c r="C795" t="s">
        <v>40</v>
      </c>
      <c r="D795" t="s">
        <v>16</v>
      </c>
      <c r="E795" t="s">
        <v>17</v>
      </c>
      <c r="F795" t="s">
        <v>160</v>
      </c>
      <c r="G795" s="1">
        <v>44385</v>
      </c>
      <c r="H795" s="1">
        <v>44395</v>
      </c>
      <c r="I795" t="s">
        <v>3105</v>
      </c>
      <c r="J795" t="s">
        <v>3106</v>
      </c>
      <c r="K795" t="s">
        <v>90</v>
      </c>
      <c r="L795" t="s">
        <v>30</v>
      </c>
      <c r="M795" t="s">
        <v>22</v>
      </c>
      <c r="N795" t="str">
        <f t="shared" si="48"/>
        <v>Clean</v>
      </c>
      <c r="O795" t="str">
        <f t="shared" si="51"/>
        <v/>
      </c>
      <c r="P795" t="str">
        <f t="shared" si="49"/>
        <v>Clean</v>
      </c>
      <c r="Q795" t="str">
        <f t="shared" si="50"/>
        <v>Valid</v>
      </c>
    </row>
    <row r="796" spans="1:17" x14ac:dyDescent="0.3">
      <c r="A796" t="s">
        <v>3107</v>
      </c>
      <c r="B796" t="s">
        <v>3108</v>
      </c>
      <c r="C796" t="s">
        <v>46</v>
      </c>
      <c r="D796" t="s">
        <v>41</v>
      </c>
      <c r="E796" t="s">
        <v>17</v>
      </c>
      <c r="F796" t="s">
        <v>18</v>
      </c>
      <c r="G796" s="1">
        <v>45394</v>
      </c>
      <c r="H796" s="1">
        <v>45459</v>
      </c>
      <c r="I796" t="s">
        <v>3109</v>
      </c>
      <c r="J796" t="s">
        <v>3110</v>
      </c>
      <c r="K796" t="s">
        <v>29</v>
      </c>
      <c r="M796" t="s">
        <v>3735</v>
      </c>
      <c r="N796" t="str">
        <f t="shared" si="48"/>
        <v>Flagged</v>
      </c>
      <c r="O796" t="str">
        <f t="shared" si="51"/>
        <v>Missing Verified_By</v>
      </c>
      <c r="P796" t="str">
        <f t="shared" si="49"/>
        <v>Flagged for Review</v>
      </c>
      <c r="Q796" t="str">
        <f t="shared" si="50"/>
        <v>Valid</v>
      </c>
    </row>
    <row r="797" spans="1:17" x14ac:dyDescent="0.3">
      <c r="A797" t="s">
        <v>3111</v>
      </c>
      <c r="B797" t="s">
        <v>3112</v>
      </c>
      <c r="C797" t="s">
        <v>76</v>
      </c>
      <c r="D797" t="s">
        <v>34</v>
      </c>
      <c r="E797" t="s">
        <v>26</v>
      </c>
      <c r="F797" t="s">
        <v>18</v>
      </c>
      <c r="G797" s="1">
        <v>44714</v>
      </c>
      <c r="H797" s="1">
        <v>44772</v>
      </c>
      <c r="I797" t="s">
        <v>3113</v>
      </c>
      <c r="J797" t="s">
        <v>3114</v>
      </c>
      <c r="K797" t="s">
        <v>90</v>
      </c>
      <c r="L797" t="s">
        <v>91</v>
      </c>
      <c r="M797" t="s">
        <v>22</v>
      </c>
      <c r="N797" t="str">
        <f t="shared" si="48"/>
        <v>Clean</v>
      </c>
      <c r="O797" t="str">
        <f t="shared" si="51"/>
        <v/>
      </c>
      <c r="P797" t="str">
        <f t="shared" si="49"/>
        <v>Clean</v>
      </c>
      <c r="Q797" t="str">
        <f t="shared" si="50"/>
        <v>Valid</v>
      </c>
    </row>
    <row r="798" spans="1:17" x14ac:dyDescent="0.3">
      <c r="A798" t="s">
        <v>3115</v>
      </c>
      <c r="B798" t="s">
        <v>3116</v>
      </c>
      <c r="C798" t="s">
        <v>181</v>
      </c>
      <c r="D798" t="s">
        <v>16</v>
      </c>
      <c r="E798" t="s">
        <v>17</v>
      </c>
      <c r="F798" t="s">
        <v>18</v>
      </c>
      <c r="G798" s="1">
        <v>44395</v>
      </c>
      <c r="H798" s="1">
        <v>44502</v>
      </c>
      <c r="I798" t="s">
        <v>704</v>
      </c>
      <c r="J798" t="s">
        <v>3117</v>
      </c>
      <c r="K798" t="s">
        <v>21</v>
      </c>
      <c r="M798" t="s">
        <v>3735</v>
      </c>
      <c r="N798" t="str">
        <f t="shared" si="48"/>
        <v>Flagged</v>
      </c>
      <c r="O798" t="str">
        <f t="shared" si="51"/>
        <v>Missing Verified_By Invalid Email Format</v>
      </c>
      <c r="P798" t="str">
        <f t="shared" si="49"/>
        <v>Flagged for Review</v>
      </c>
      <c r="Q798" t="str">
        <f t="shared" si="50"/>
        <v>Invalid</v>
      </c>
    </row>
    <row r="799" spans="1:17" x14ac:dyDescent="0.3">
      <c r="A799" t="s">
        <v>3118</v>
      </c>
      <c r="B799" t="s">
        <v>3119</v>
      </c>
      <c r="C799" t="s">
        <v>46</v>
      </c>
      <c r="D799" t="s">
        <v>41</v>
      </c>
      <c r="E799" t="s">
        <v>17</v>
      </c>
      <c r="F799" t="s">
        <v>18</v>
      </c>
      <c r="G799" s="1">
        <v>43681</v>
      </c>
      <c r="H799" s="1">
        <v>43732</v>
      </c>
      <c r="J799" t="s">
        <v>3120</v>
      </c>
      <c r="K799" t="s">
        <v>21</v>
      </c>
      <c r="L799" t="s">
        <v>60</v>
      </c>
      <c r="M799" t="s">
        <v>3735</v>
      </c>
      <c r="N799" t="str">
        <f t="shared" si="48"/>
        <v>Flagged</v>
      </c>
      <c r="O799" t="str">
        <f t="shared" si="51"/>
        <v>Missing Contact_Email</v>
      </c>
      <c r="P799" t="str">
        <f t="shared" si="49"/>
        <v>Flagged for Review</v>
      </c>
      <c r="Q799" t="str">
        <f t="shared" si="50"/>
        <v>Blank</v>
      </c>
    </row>
    <row r="800" spans="1:17" x14ac:dyDescent="0.3">
      <c r="A800" t="s">
        <v>3122</v>
      </c>
      <c r="B800" t="s">
        <v>3123</v>
      </c>
      <c r="C800" t="s">
        <v>40</v>
      </c>
      <c r="D800" t="s">
        <v>67</v>
      </c>
      <c r="E800" t="s">
        <v>26</v>
      </c>
      <c r="F800" t="s">
        <v>18</v>
      </c>
      <c r="G800" s="1">
        <v>43866</v>
      </c>
      <c r="H800" s="1">
        <v>44116</v>
      </c>
      <c r="I800" t="s">
        <v>417</v>
      </c>
      <c r="J800" t="s">
        <v>3124</v>
      </c>
      <c r="K800" t="s">
        <v>29</v>
      </c>
      <c r="L800" t="s">
        <v>30</v>
      </c>
      <c r="M800" t="s">
        <v>3735</v>
      </c>
      <c r="N800" t="str">
        <f t="shared" si="48"/>
        <v>Flagged</v>
      </c>
      <c r="O800" t="str">
        <f t="shared" si="51"/>
        <v>Invalid Email Format</v>
      </c>
      <c r="P800" t="str">
        <f t="shared" si="49"/>
        <v>Flagged for Review</v>
      </c>
      <c r="Q800" t="str">
        <f t="shared" si="50"/>
        <v>Invalid</v>
      </c>
    </row>
    <row r="801" spans="1:17" x14ac:dyDescent="0.3">
      <c r="A801" t="s">
        <v>3125</v>
      </c>
      <c r="B801" t="s">
        <v>3126</v>
      </c>
      <c r="C801" t="s">
        <v>76</v>
      </c>
      <c r="D801" t="s">
        <v>67</v>
      </c>
      <c r="E801" t="s">
        <v>26</v>
      </c>
      <c r="F801" t="s">
        <v>18</v>
      </c>
      <c r="G801" s="1">
        <v>45556</v>
      </c>
      <c r="H801" s="1">
        <v>45762</v>
      </c>
      <c r="I801" t="s">
        <v>3127</v>
      </c>
      <c r="J801" t="s">
        <v>3128</v>
      </c>
      <c r="K801" t="s">
        <v>90</v>
      </c>
      <c r="L801" t="s">
        <v>116</v>
      </c>
      <c r="M801" t="s">
        <v>22</v>
      </c>
      <c r="N801" t="str">
        <f t="shared" si="48"/>
        <v>Clean</v>
      </c>
      <c r="O801" t="str">
        <f t="shared" si="51"/>
        <v/>
      </c>
      <c r="P801" t="str">
        <f t="shared" si="49"/>
        <v>Clean</v>
      </c>
      <c r="Q801" t="str">
        <f t="shared" si="50"/>
        <v>Valid</v>
      </c>
    </row>
    <row r="802" spans="1:17" x14ac:dyDescent="0.3">
      <c r="A802" t="s">
        <v>3129</v>
      </c>
      <c r="B802" t="s">
        <v>3130</v>
      </c>
      <c r="C802" t="s">
        <v>46</v>
      </c>
      <c r="D802" t="s">
        <v>34</v>
      </c>
      <c r="E802" t="s">
        <v>26</v>
      </c>
      <c r="F802" t="s">
        <v>18</v>
      </c>
      <c r="G802" s="1">
        <v>43980</v>
      </c>
      <c r="H802" s="1">
        <v>44135</v>
      </c>
      <c r="I802" t="s">
        <v>3131</v>
      </c>
      <c r="J802" t="s">
        <v>3132</v>
      </c>
      <c r="K802" t="s">
        <v>21</v>
      </c>
      <c r="L802" t="s">
        <v>60</v>
      </c>
      <c r="M802" t="s">
        <v>22</v>
      </c>
      <c r="N802" t="str">
        <f t="shared" si="48"/>
        <v>Clean</v>
      </c>
      <c r="O802" t="str">
        <f t="shared" si="51"/>
        <v/>
      </c>
      <c r="P802" t="str">
        <f t="shared" si="49"/>
        <v>Clean</v>
      </c>
      <c r="Q802" t="str">
        <f t="shared" si="50"/>
        <v>Valid</v>
      </c>
    </row>
    <row r="803" spans="1:17" x14ac:dyDescent="0.3">
      <c r="A803" t="s">
        <v>3133</v>
      </c>
      <c r="B803" t="s">
        <v>3134</v>
      </c>
      <c r="C803" t="s">
        <v>87</v>
      </c>
      <c r="D803" t="s">
        <v>16</v>
      </c>
      <c r="E803" t="s">
        <v>17</v>
      </c>
      <c r="F803" t="s">
        <v>18</v>
      </c>
      <c r="G803" s="1">
        <v>45164</v>
      </c>
      <c r="H803" s="1">
        <v>45375</v>
      </c>
      <c r="I803" t="s">
        <v>3135</v>
      </c>
      <c r="J803" t="s">
        <v>3065</v>
      </c>
      <c r="K803" t="s">
        <v>29</v>
      </c>
      <c r="L803" t="s">
        <v>91</v>
      </c>
      <c r="M803" t="s">
        <v>22</v>
      </c>
      <c r="N803" t="str">
        <f t="shared" si="48"/>
        <v>Clean</v>
      </c>
      <c r="O803" t="str">
        <f t="shared" si="51"/>
        <v/>
      </c>
      <c r="P803" t="str">
        <f t="shared" si="49"/>
        <v>Clean</v>
      </c>
      <c r="Q803" t="str">
        <f t="shared" si="50"/>
        <v>Valid</v>
      </c>
    </row>
    <row r="804" spans="1:17" x14ac:dyDescent="0.3">
      <c r="A804" t="s">
        <v>3136</v>
      </c>
      <c r="B804" t="s">
        <v>3137</v>
      </c>
      <c r="C804" t="s">
        <v>33</v>
      </c>
      <c r="D804" t="s">
        <v>16</v>
      </c>
      <c r="E804" t="s">
        <v>17</v>
      </c>
      <c r="F804" t="s">
        <v>18</v>
      </c>
      <c r="G804" s="1">
        <v>44026</v>
      </c>
      <c r="H804" s="1">
        <v>44291</v>
      </c>
      <c r="I804" t="s">
        <v>3138</v>
      </c>
      <c r="J804" t="s">
        <v>3139</v>
      </c>
      <c r="K804" t="s">
        <v>21</v>
      </c>
      <c r="L804" t="s">
        <v>30</v>
      </c>
      <c r="M804" t="s">
        <v>22</v>
      </c>
      <c r="N804" t="str">
        <f t="shared" si="48"/>
        <v>Clean</v>
      </c>
      <c r="O804" t="str">
        <f t="shared" si="51"/>
        <v/>
      </c>
      <c r="P804" t="str">
        <f t="shared" si="49"/>
        <v>Clean</v>
      </c>
      <c r="Q804" t="str">
        <f t="shared" si="50"/>
        <v>Valid</v>
      </c>
    </row>
    <row r="805" spans="1:17" x14ac:dyDescent="0.3">
      <c r="A805" t="s">
        <v>3140</v>
      </c>
      <c r="B805" t="s">
        <v>3141</v>
      </c>
      <c r="C805" t="s">
        <v>87</v>
      </c>
      <c r="D805" t="s">
        <v>77</v>
      </c>
      <c r="E805" t="s">
        <v>52</v>
      </c>
      <c r="F805" t="s">
        <v>18</v>
      </c>
      <c r="G805" s="1">
        <v>44017</v>
      </c>
      <c r="H805" s="1">
        <v>44145</v>
      </c>
      <c r="I805" t="s">
        <v>3142</v>
      </c>
      <c r="J805" t="s">
        <v>3143</v>
      </c>
      <c r="K805" t="s">
        <v>21</v>
      </c>
      <c r="L805" t="s">
        <v>91</v>
      </c>
      <c r="M805" t="s">
        <v>22</v>
      </c>
      <c r="N805" t="str">
        <f t="shared" si="48"/>
        <v>Clean</v>
      </c>
      <c r="O805" t="str">
        <f t="shared" si="51"/>
        <v/>
      </c>
      <c r="P805" t="str">
        <f t="shared" si="49"/>
        <v>Clean</v>
      </c>
      <c r="Q805" t="str">
        <f t="shared" si="50"/>
        <v>Valid</v>
      </c>
    </row>
    <row r="806" spans="1:17" x14ac:dyDescent="0.3">
      <c r="A806" t="s">
        <v>3144</v>
      </c>
      <c r="B806" t="s">
        <v>3145</v>
      </c>
      <c r="C806" t="s">
        <v>76</v>
      </c>
      <c r="D806" t="s">
        <v>67</v>
      </c>
      <c r="E806" t="s">
        <v>26</v>
      </c>
      <c r="F806" t="s">
        <v>18</v>
      </c>
      <c r="G806" s="1">
        <v>45474</v>
      </c>
      <c r="H806" s="1">
        <v>45636</v>
      </c>
      <c r="I806" t="s">
        <v>3146</v>
      </c>
      <c r="J806" t="s">
        <v>1611</v>
      </c>
      <c r="K806" t="s">
        <v>90</v>
      </c>
      <c r="M806" t="s">
        <v>3735</v>
      </c>
      <c r="N806" t="str">
        <f t="shared" si="48"/>
        <v>Flagged</v>
      </c>
      <c r="O806" t="str">
        <f t="shared" si="51"/>
        <v>Missing Verified_By</v>
      </c>
      <c r="P806" t="str">
        <f t="shared" si="49"/>
        <v>Flagged for Review</v>
      </c>
      <c r="Q806" t="str">
        <f t="shared" si="50"/>
        <v>Valid</v>
      </c>
    </row>
    <row r="807" spans="1:17" x14ac:dyDescent="0.3">
      <c r="A807" t="s">
        <v>3147</v>
      </c>
      <c r="B807" t="s">
        <v>3148</v>
      </c>
      <c r="C807" t="s">
        <v>46</v>
      </c>
      <c r="D807" t="s">
        <v>67</v>
      </c>
      <c r="E807" t="s">
        <v>26</v>
      </c>
      <c r="F807" t="s">
        <v>18</v>
      </c>
      <c r="G807" s="1">
        <v>44339</v>
      </c>
      <c r="H807" s="1">
        <v>44362</v>
      </c>
      <c r="I807" t="s">
        <v>3149</v>
      </c>
      <c r="J807" t="s">
        <v>3150</v>
      </c>
      <c r="K807" t="s">
        <v>29</v>
      </c>
      <c r="L807" t="s">
        <v>60</v>
      </c>
      <c r="M807" t="s">
        <v>22</v>
      </c>
      <c r="N807" t="str">
        <f t="shared" si="48"/>
        <v>Clean</v>
      </c>
      <c r="O807" t="str">
        <f t="shared" si="51"/>
        <v/>
      </c>
      <c r="P807" t="str">
        <f t="shared" si="49"/>
        <v>Clean</v>
      </c>
      <c r="Q807" t="str">
        <f t="shared" si="50"/>
        <v>Valid</v>
      </c>
    </row>
    <row r="808" spans="1:17" x14ac:dyDescent="0.3">
      <c r="A808" t="s">
        <v>3151</v>
      </c>
      <c r="B808" t="s">
        <v>3152</v>
      </c>
      <c r="C808" t="s">
        <v>33</v>
      </c>
      <c r="D808" t="s">
        <v>77</v>
      </c>
      <c r="E808" t="s">
        <v>52</v>
      </c>
      <c r="F808" t="s">
        <v>18</v>
      </c>
      <c r="G808" s="1">
        <v>44765</v>
      </c>
      <c r="H808" s="1">
        <v>45128</v>
      </c>
      <c r="I808" t="s">
        <v>3153</v>
      </c>
      <c r="J808" t="s">
        <v>3154</v>
      </c>
      <c r="K808" t="s">
        <v>37</v>
      </c>
      <c r="L808" t="s">
        <v>116</v>
      </c>
      <c r="M808" t="s">
        <v>22</v>
      </c>
      <c r="N808" t="str">
        <f t="shared" si="48"/>
        <v>Clean</v>
      </c>
      <c r="O808" t="str">
        <f t="shared" si="51"/>
        <v/>
      </c>
      <c r="P808" t="str">
        <f t="shared" si="49"/>
        <v>Clean</v>
      </c>
      <c r="Q808" t="str">
        <f t="shared" si="50"/>
        <v>Valid</v>
      </c>
    </row>
    <row r="809" spans="1:17" x14ac:dyDescent="0.3">
      <c r="A809" t="s">
        <v>3155</v>
      </c>
      <c r="B809" t="s">
        <v>3156</v>
      </c>
      <c r="C809" t="s">
        <v>40</v>
      </c>
      <c r="D809" t="s">
        <v>16</v>
      </c>
      <c r="E809" t="s">
        <v>17</v>
      </c>
      <c r="F809" t="s">
        <v>18</v>
      </c>
      <c r="G809" s="1">
        <v>44349</v>
      </c>
      <c r="H809" s="1">
        <v>44576</v>
      </c>
      <c r="I809" t="s">
        <v>3157</v>
      </c>
      <c r="J809" t="s">
        <v>3158</v>
      </c>
      <c r="K809" t="s">
        <v>29</v>
      </c>
      <c r="L809" t="s">
        <v>55</v>
      </c>
      <c r="M809" t="s">
        <v>22</v>
      </c>
      <c r="N809" t="str">
        <f t="shared" si="48"/>
        <v>Clean</v>
      </c>
      <c r="O809" t="str">
        <f t="shared" si="51"/>
        <v/>
      </c>
      <c r="P809" t="str">
        <f t="shared" si="49"/>
        <v>Clean</v>
      </c>
      <c r="Q809" t="str">
        <f t="shared" si="50"/>
        <v>Valid</v>
      </c>
    </row>
    <row r="810" spans="1:17" x14ac:dyDescent="0.3">
      <c r="A810" t="s">
        <v>3159</v>
      </c>
      <c r="B810" t="s">
        <v>3160</v>
      </c>
      <c r="C810" t="s">
        <v>87</v>
      </c>
      <c r="D810" t="s">
        <v>25</v>
      </c>
      <c r="E810" t="s">
        <v>26</v>
      </c>
      <c r="F810" t="s">
        <v>160</v>
      </c>
      <c r="G810" s="1">
        <v>44159</v>
      </c>
      <c r="H810" s="1">
        <v>44338</v>
      </c>
      <c r="I810" t="s">
        <v>3161</v>
      </c>
      <c r="J810" t="s">
        <v>3162</v>
      </c>
      <c r="K810" t="s">
        <v>37</v>
      </c>
      <c r="L810" t="s">
        <v>30</v>
      </c>
      <c r="M810" t="s">
        <v>22</v>
      </c>
      <c r="N810" t="str">
        <f t="shared" si="48"/>
        <v>Clean</v>
      </c>
      <c r="O810" t="str">
        <f t="shared" si="51"/>
        <v/>
      </c>
      <c r="P810" t="str">
        <f t="shared" si="49"/>
        <v>Clean</v>
      </c>
      <c r="Q810" t="str">
        <f t="shared" si="50"/>
        <v>Valid</v>
      </c>
    </row>
    <row r="811" spans="1:17" x14ac:dyDescent="0.3">
      <c r="A811" t="s">
        <v>3163</v>
      </c>
      <c r="B811" t="s">
        <v>3164</v>
      </c>
      <c r="C811" t="s">
        <v>33</v>
      </c>
      <c r="D811" t="s">
        <v>51</v>
      </c>
      <c r="E811" t="s">
        <v>52</v>
      </c>
      <c r="F811" t="s">
        <v>18</v>
      </c>
      <c r="G811" s="1">
        <v>45597</v>
      </c>
      <c r="H811" s="1">
        <v>45902</v>
      </c>
      <c r="I811" t="s">
        <v>3165</v>
      </c>
      <c r="J811" t="s">
        <v>3166</v>
      </c>
      <c r="K811" t="s">
        <v>21</v>
      </c>
      <c r="M811" t="s">
        <v>3735</v>
      </c>
      <c r="N811" t="str">
        <f t="shared" si="48"/>
        <v>Flagged</v>
      </c>
      <c r="O811" t="str">
        <f t="shared" si="51"/>
        <v>Missing Verified_By</v>
      </c>
      <c r="P811" t="str">
        <f t="shared" si="49"/>
        <v>Flagged for Review</v>
      </c>
      <c r="Q811" t="str">
        <f t="shared" si="50"/>
        <v>Valid</v>
      </c>
    </row>
    <row r="812" spans="1:17" x14ac:dyDescent="0.3">
      <c r="A812" t="s">
        <v>3167</v>
      </c>
      <c r="B812" t="s">
        <v>3168</v>
      </c>
      <c r="C812" t="s">
        <v>15</v>
      </c>
      <c r="D812" t="s">
        <v>41</v>
      </c>
      <c r="E812" t="s">
        <v>17</v>
      </c>
      <c r="F812" t="s">
        <v>160</v>
      </c>
      <c r="G812" s="1">
        <v>45345</v>
      </c>
      <c r="H812" s="1">
        <v>45693</v>
      </c>
      <c r="I812" t="s">
        <v>3169</v>
      </c>
      <c r="J812" t="s">
        <v>3170</v>
      </c>
      <c r="K812" t="s">
        <v>21</v>
      </c>
      <c r="L812" t="s">
        <v>60</v>
      </c>
      <c r="M812" t="s">
        <v>22</v>
      </c>
      <c r="N812" t="str">
        <f t="shared" si="48"/>
        <v>Clean</v>
      </c>
      <c r="O812" t="str">
        <f t="shared" si="51"/>
        <v/>
      </c>
      <c r="P812" t="str">
        <f t="shared" si="49"/>
        <v>Clean</v>
      </c>
      <c r="Q812" t="str">
        <f t="shared" si="50"/>
        <v>Valid</v>
      </c>
    </row>
    <row r="813" spans="1:17" x14ac:dyDescent="0.3">
      <c r="A813" t="s">
        <v>3171</v>
      </c>
      <c r="B813" t="s">
        <v>3172</v>
      </c>
      <c r="C813" t="s">
        <v>181</v>
      </c>
      <c r="D813" t="s">
        <v>67</v>
      </c>
      <c r="E813" t="s">
        <v>26</v>
      </c>
      <c r="F813" t="s">
        <v>18</v>
      </c>
      <c r="G813" s="1">
        <v>44161</v>
      </c>
      <c r="H813" s="1">
        <v>44498</v>
      </c>
      <c r="I813" t="s">
        <v>3173</v>
      </c>
      <c r="J813" t="s">
        <v>3174</v>
      </c>
      <c r="K813" t="s">
        <v>29</v>
      </c>
      <c r="L813" t="s">
        <v>60</v>
      </c>
      <c r="M813" t="s">
        <v>22</v>
      </c>
      <c r="N813" t="str">
        <f t="shared" si="48"/>
        <v>Clean</v>
      </c>
      <c r="O813" t="str">
        <f t="shared" si="51"/>
        <v/>
      </c>
      <c r="P813" t="str">
        <f t="shared" si="49"/>
        <v>Clean</v>
      </c>
      <c r="Q813" t="str">
        <f t="shared" si="50"/>
        <v>Valid</v>
      </c>
    </row>
    <row r="814" spans="1:17" x14ac:dyDescent="0.3">
      <c r="A814" t="s">
        <v>3175</v>
      </c>
      <c r="B814" t="s">
        <v>3176</v>
      </c>
      <c r="C814" t="s">
        <v>76</v>
      </c>
      <c r="D814" t="s">
        <v>34</v>
      </c>
      <c r="E814" t="s">
        <v>26</v>
      </c>
      <c r="F814" t="s">
        <v>18</v>
      </c>
      <c r="G814" s="1">
        <v>44581</v>
      </c>
      <c r="H814" s="1">
        <v>44725</v>
      </c>
      <c r="I814" t="s">
        <v>3177</v>
      </c>
      <c r="J814" t="s">
        <v>3178</v>
      </c>
      <c r="K814" t="s">
        <v>29</v>
      </c>
      <c r="L814" t="s">
        <v>55</v>
      </c>
      <c r="M814" t="s">
        <v>22</v>
      </c>
      <c r="N814" t="str">
        <f t="shared" si="48"/>
        <v>Clean</v>
      </c>
      <c r="O814" t="str">
        <f t="shared" si="51"/>
        <v/>
      </c>
      <c r="P814" t="str">
        <f t="shared" si="49"/>
        <v>Clean</v>
      </c>
      <c r="Q814" t="str">
        <f t="shared" si="50"/>
        <v>Valid</v>
      </c>
    </row>
    <row r="815" spans="1:17" x14ac:dyDescent="0.3">
      <c r="A815" t="s">
        <v>3179</v>
      </c>
      <c r="B815" t="s">
        <v>3180</v>
      </c>
      <c r="C815" t="s">
        <v>15</v>
      </c>
      <c r="D815" t="s">
        <v>51</v>
      </c>
      <c r="E815" t="s">
        <v>52</v>
      </c>
      <c r="F815" t="s">
        <v>18</v>
      </c>
      <c r="G815" s="1">
        <v>44186</v>
      </c>
      <c r="H815" s="1">
        <v>44515</v>
      </c>
      <c r="I815" t="s">
        <v>3181</v>
      </c>
      <c r="J815" t="s">
        <v>3182</v>
      </c>
      <c r="K815" t="s">
        <v>90</v>
      </c>
      <c r="L815" t="s">
        <v>60</v>
      </c>
      <c r="M815" t="s">
        <v>22</v>
      </c>
      <c r="N815" t="str">
        <f t="shared" si="48"/>
        <v>Clean</v>
      </c>
      <c r="O815" t="str">
        <f t="shared" si="51"/>
        <v/>
      </c>
      <c r="P815" t="str">
        <f t="shared" si="49"/>
        <v>Clean</v>
      </c>
      <c r="Q815" t="str">
        <f t="shared" si="50"/>
        <v>Valid</v>
      </c>
    </row>
    <row r="816" spans="1:17" x14ac:dyDescent="0.3">
      <c r="A816" t="s">
        <v>3183</v>
      </c>
      <c r="B816" t="s">
        <v>3184</v>
      </c>
      <c r="C816" t="s">
        <v>40</v>
      </c>
      <c r="D816" t="s">
        <v>77</v>
      </c>
      <c r="E816" t="s">
        <v>52</v>
      </c>
      <c r="F816" t="s">
        <v>160</v>
      </c>
      <c r="G816" s="1">
        <v>45503</v>
      </c>
      <c r="H816" s="1">
        <v>45514</v>
      </c>
      <c r="I816" t="s">
        <v>3185</v>
      </c>
      <c r="J816" t="s">
        <v>3186</v>
      </c>
      <c r="K816" t="s">
        <v>21</v>
      </c>
      <c r="L816" t="s">
        <v>55</v>
      </c>
      <c r="M816" t="s">
        <v>22</v>
      </c>
      <c r="N816" t="str">
        <f t="shared" si="48"/>
        <v>Clean</v>
      </c>
      <c r="O816" t="str">
        <f t="shared" si="51"/>
        <v/>
      </c>
      <c r="P816" t="str">
        <f t="shared" si="49"/>
        <v>Clean</v>
      </c>
      <c r="Q816" t="str">
        <f t="shared" si="50"/>
        <v>Valid</v>
      </c>
    </row>
    <row r="817" spans="1:17" x14ac:dyDescent="0.3">
      <c r="A817" t="s">
        <v>3187</v>
      </c>
      <c r="B817" t="s">
        <v>3188</v>
      </c>
      <c r="C817" t="s">
        <v>15</v>
      </c>
      <c r="D817" t="s">
        <v>77</v>
      </c>
      <c r="E817" t="s">
        <v>52</v>
      </c>
      <c r="F817" t="s">
        <v>160</v>
      </c>
      <c r="G817" s="1">
        <v>43573</v>
      </c>
      <c r="H817" s="1">
        <v>43884</v>
      </c>
      <c r="I817" t="s">
        <v>3189</v>
      </c>
      <c r="J817" t="s">
        <v>3190</v>
      </c>
      <c r="K817" t="s">
        <v>37</v>
      </c>
      <c r="L817" t="s">
        <v>116</v>
      </c>
      <c r="M817" t="s">
        <v>22</v>
      </c>
      <c r="N817" t="str">
        <f t="shared" si="48"/>
        <v>Clean</v>
      </c>
      <c r="O817" t="str">
        <f t="shared" si="51"/>
        <v/>
      </c>
      <c r="P817" t="str">
        <f t="shared" si="49"/>
        <v>Clean</v>
      </c>
      <c r="Q817" t="str">
        <f t="shared" si="50"/>
        <v>Valid</v>
      </c>
    </row>
    <row r="818" spans="1:17" x14ac:dyDescent="0.3">
      <c r="A818" t="s">
        <v>3191</v>
      </c>
      <c r="B818" t="s">
        <v>3192</v>
      </c>
      <c r="C818" t="s">
        <v>40</v>
      </c>
      <c r="D818" t="s">
        <v>25</v>
      </c>
      <c r="E818" t="s">
        <v>26</v>
      </c>
      <c r="F818" t="s">
        <v>151</v>
      </c>
      <c r="G818" s="1">
        <v>44474</v>
      </c>
      <c r="H818" s="1">
        <v>44770</v>
      </c>
      <c r="I818" t="s">
        <v>3193</v>
      </c>
      <c r="J818" t="s">
        <v>3194</v>
      </c>
      <c r="K818" t="s">
        <v>90</v>
      </c>
      <c r="L818" t="s">
        <v>30</v>
      </c>
      <c r="M818" t="s">
        <v>22</v>
      </c>
      <c r="N818" t="str">
        <f t="shared" si="48"/>
        <v>Clean</v>
      </c>
      <c r="O818" t="str">
        <f t="shared" si="51"/>
        <v/>
      </c>
      <c r="P818" t="str">
        <f t="shared" si="49"/>
        <v>Clean</v>
      </c>
      <c r="Q818" t="str">
        <f t="shared" si="50"/>
        <v>Valid</v>
      </c>
    </row>
    <row r="819" spans="1:17" x14ac:dyDescent="0.3">
      <c r="A819" t="s">
        <v>3195</v>
      </c>
      <c r="B819" t="s">
        <v>3730</v>
      </c>
      <c r="C819" t="s">
        <v>46</v>
      </c>
      <c r="D819" t="s">
        <v>67</v>
      </c>
      <c r="E819" t="s">
        <v>26</v>
      </c>
      <c r="F819" t="s">
        <v>18</v>
      </c>
      <c r="G819" s="1">
        <v>43833</v>
      </c>
      <c r="H819" s="1">
        <v>44035</v>
      </c>
      <c r="I819" t="s">
        <v>3197</v>
      </c>
      <c r="J819" t="s">
        <v>3198</v>
      </c>
      <c r="K819" t="s">
        <v>29</v>
      </c>
      <c r="L819" t="s">
        <v>30</v>
      </c>
      <c r="M819" t="s">
        <v>22</v>
      </c>
      <c r="N819" t="str">
        <f t="shared" si="48"/>
        <v>Clean</v>
      </c>
      <c r="O819" t="str">
        <f t="shared" si="51"/>
        <v/>
      </c>
      <c r="P819" t="str">
        <f t="shared" si="49"/>
        <v>Clean</v>
      </c>
      <c r="Q819" t="str">
        <f t="shared" si="50"/>
        <v>Valid</v>
      </c>
    </row>
    <row r="820" spans="1:17" x14ac:dyDescent="0.3">
      <c r="A820" t="s">
        <v>3199</v>
      </c>
      <c r="B820" t="s">
        <v>3200</v>
      </c>
      <c r="C820" t="s">
        <v>181</v>
      </c>
      <c r="D820" t="s">
        <v>51</v>
      </c>
      <c r="E820" t="s">
        <v>52</v>
      </c>
      <c r="F820" t="s">
        <v>160</v>
      </c>
      <c r="G820" s="1">
        <v>45275</v>
      </c>
      <c r="H820" s="1">
        <v>45334</v>
      </c>
      <c r="I820" t="s">
        <v>3201</v>
      </c>
      <c r="J820" t="s">
        <v>3202</v>
      </c>
      <c r="K820" t="s">
        <v>90</v>
      </c>
      <c r="L820" t="s">
        <v>91</v>
      </c>
      <c r="M820" t="s">
        <v>22</v>
      </c>
      <c r="N820" t="str">
        <f t="shared" si="48"/>
        <v>Clean</v>
      </c>
      <c r="O820" t="str">
        <f t="shared" si="51"/>
        <v/>
      </c>
      <c r="P820" t="str">
        <f t="shared" si="49"/>
        <v>Clean</v>
      </c>
      <c r="Q820" t="str">
        <f t="shared" si="50"/>
        <v>Valid</v>
      </c>
    </row>
    <row r="821" spans="1:17" x14ac:dyDescent="0.3">
      <c r="A821" t="s">
        <v>3203</v>
      </c>
      <c r="B821" t="s">
        <v>3204</v>
      </c>
      <c r="C821" t="s">
        <v>46</v>
      </c>
      <c r="D821" t="s">
        <v>25</v>
      </c>
      <c r="E821" t="s">
        <v>26</v>
      </c>
      <c r="F821" t="s">
        <v>18</v>
      </c>
      <c r="G821" s="1">
        <v>44307</v>
      </c>
      <c r="H821" s="1">
        <v>44659</v>
      </c>
      <c r="I821" t="s">
        <v>3205</v>
      </c>
      <c r="J821" t="s">
        <v>3206</v>
      </c>
      <c r="K821" t="s">
        <v>29</v>
      </c>
      <c r="L821" t="s">
        <v>60</v>
      </c>
      <c r="M821" t="s">
        <v>22</v>
      </c>
      <c r="N821" t="str">
        <f t="shared" si="48"/>
        <v>Clean</v>
      </c>
      <c r="O821" t="str">
        <f t="shared" si="51"/>
        <v/>
      </c>
      <c r="P821" t="str">
        <f t="shared" si="49"/>
        <v>Clean</v>
      </c>
      <c r="Q821" t="str">
        <f t="shared" si="50"/>
        <v>Valid</v>
      </c>
    </row>
    <row r="822" spans="1:17" x14ac:dyDescent="0.3">
      <c r="A822" t="s">
        <v>3207</v>
      </c>
      <c r="B822" t="s">
        <v>3208</v>
      </c>
      <c r="C822" t="s">
        <v>46</v>
      </c>
      <c r="D822" t="s">
        <v>77</v>
      </c>
      <c r="E822" t="s">
        <v>52</v>
      </c>
      <c r="F822" t="s">
        <v>18</v>
      </c>
      <c r="G822" s="1">
        <v>44888</v>
      </c>
      <c r="H822" s="1">
        <v>44927</v>
      </c>
      <c r="I822" t="s">
        <v>3209</v>
      </c>
      <c r="J822" t="s">
        <v>3210</v>
      </c>
      <c r="K822" t="s">
        <v>29</v>
      </c>
      <c r="L822" t="s">
        <v>30</v>
      </c>
      <c r="M822" t="s">
        <v>22</v>
      </c>
      <c r="N822" t="str">
        <f t="shared" si="48"/>
        <v>Clean</v>
      </c>
      <c r="O822" t="str">
        <f t="shared" si="51"/>
        <v/>
      </c>
      <c r="P822" t="str">
        <f t="shared" si="49"/>
        <v>Clean</v>
      </c>
      <c r="Q822" t="str">
        <f t="shared" si="50"/>
        <v>Valid</v>
      </c>
    </row>
    <row r="823" spans="1:17" x14ac:dyDescent="0.3">
      <c r="A823" t="s">
        <v>3211</v>
      </c>
      <c r="B823" t="s">
        <v>3212</v>
      </c>
      <c r="C823" t="s">
        <v>181</v>
      </c>
      <c r="D823" t="s">
        <v>67</v>
      </c>
      <c r="E823" t="s">
        <v>26</v>
      </c>
      <c r="F823" t="s">
        <v>18</v>
      </c>
      <c r="G823" s="1">
        <v>43876</v>
      </c>
      <c r="H823" s="1">
        <v>43930</v>
      </c>
      <c r="I823" t="s">
        <v>3213</v>
      </c>
      <c r="J823" t="s">
        <v>952</v>
      </c>
      <c r="K823" t="s">
        <v>29</v>
      </c>
      <c r="L823" t="s">
        <v>91</v>
      </c>
      <c r="M823" t="s">
        <v>22</v>
      </c>
      <c r="N823" t="str">
        <f t="shared" si="48"/>
        <v>Clean</v>
      </c>
      <c r="O823" t="str">
        <f t="shared" si="51"/>
        <v/>
      </c>
      <c r="P823" t="str">
        <f t="shared" si="49"/>
        <v>Clean</v>
      </c>
      <c r="Q823" t="str">
        <f t="shared" si="50"/>
        <v>Valid</v>
      </c>
    </row>
    <row r="824" spans="1:17" x14ac:dyDescent="0.3">
      <c r="A824" t="s">
        <v>3214</v>
      </c>
      <c r="B824" t="s">
        <v>184</v>
      </c>
      <c r="C824" t="s">
        <v>76</v>
      </c>
      <c r="D824" t="s">
        <v>67</v>
      </c>
      <c r="E824" t="s">
        <v>26</v>
      </c>
      <c r="F824" t="s">
        <v>18</v>
      </c>
      <c r="G824" s="1">
        <v>44231</v>
      </c>
      <c r="H824" s="1">
        <v>44418</v>
      </c>
      <c r="I824" t="s">
        <v>3215</v>
      </c>
      <c r="J824" t="s">
        <v>3216</v>
      </c>
      <c r="K824" t="s">
        <v>21</v>
      </c>
      <c r="L824" t="s">
        <v>60</v>
      </c>
      <c r="M824" t="s">
        <v>22</v>
      </c>
      <c r="N824" t="str">
        <f t="shared" si="48"/>
        <v>Clean</v>
      </c>
      <c r="O824" t="str">
        <f t="shared" si="51"/>
        <v/>
      </c>
      <c r="P824" t="str">
        <f t="shared" si="49"/>
        <v>Clean</v>
      </c>
      <c r="Q824" t="str">
        <f t="shared" si="50"/>
        <v>Valid</v>
      </c>
    </row>
    <row r="825" spans="1:17" x14ac:dyDescent="0.3">
      <c r="A825" t="s">
        <v>3217</v>
      </c>
      <c r="B825" t="s">
        <v>3218</v>
      </c>
      <c r="C825" t="s">
        <v>181</v>
      </c>
      <c r="D825" t="s">
        <v>25</v>
      </c>
      <c r="E825" t="s">
        <v>26</v>
      </c>
      <c r="F825" t="s">
        <v>18</v>
      </c>
      <c r="G825" s="1">
        <v>45335</v>
      </c>
      <c r="H825" s="1">
        <v>45474</v>
      </c>
      <c r="I825" t="s">
        <v>3219</v>
      </c>
      <c r="J825" t="s">
        <v>3220</v>
      </c>
      <c r="K825" t="s">
        <v>21</v>
      </c>
      <c r="M825" t="s">
        <v>3735</v>
      </c>
      <c r="N825" t="str">
        <f t="shared" si="48"/>
        <v>Flagged</v>
      </c>
      <c r="O825" t="str">
        <f t="shared" si="51"/>
        <v>Missing Verified_By</v>
      </c>
      <c r="P825" t="str">
        <f t="shared" si="49"/>
        <v>Flagged for Review</v>
      </c>
      <c r="Q825" t="str">
        <f t="shared" si="50"/>
        <v>Valid</v>
      </c>
    </row>
    <row r="826" spans="1:17" x14ac:dyDescent="0.3">
      <c r="A826" t="s">
        <v>3221</v>
      </c>
      <c r="B826" t="s">
        <v>3222</v>
      </c>
      <c r="C826" t="s">
        <v>15</v>
      </c>
      <c r="D826" t="s">
        <v>77</v>
      </c>
      <c r="E826" t="s">
        <v>52</v>
      </c>
      <c r="F826" t="s">
        <v>18</v>
      </c>
      <c r="G826" s="1">
        <v>44936</v>
      </c>
      <c r="H826" s="1">
        <v>45106</v>
      </c>
      <c r="I826" t="s">
        <v>3223</v>
      </c>
      <c r="J826" t="s">
        <v>2770</v>
      </c>
      <c r="K826" t="s">
        <v>90</v>
      </c>
      <c r="M826" t="s">
        <v>3735</v>
      </c>
      <c r="N826" t="str">
        <f t="shared" si="48"/>
        <v>Flagged</v>
      </c>
      <c r="O826" t="str">
        <f t="shared" si="51"/>
        <v>Missing Verified_By</v>
      </c>
      <c r="P826" t="str">
        <f t="shared" si="49"/>
        <v>Flagged for Review</v>
      </c>
      <c r="Q826" t="str">
        <f t="shared" si="50"/>
        <v>Valid</v>
      </c>
    </row>
    <row r="827" spans="1:17" x14ac:dyDescent="0.3">
      <c r="A827" t="s">
        <v>3224</v>
      </c>
      <c r="B827" t="s">
        <v>2985</v>
      </c>
      <c r="C827" t="s">
        <v>33</v>
      </c>
      <c r="D827" t="s">
        <v>34</v>
      </c>
      <c r="E827" t="s">
        <v>26</v>
      </c>
      <c r="F827" t="s">
        <v>18</v>
      </c>
      <c r="G827" s="1">
        <v>45301</v>
      </c>
      <c r="H827" s="1">
        <v>45391</v>
      </c>
      <c r="I827" t="s">
        <v>3225</v>
      </c>
      <c r="J827" t="s">
        <v>3226</v>
      </c>
      <c r="K827" t="s">
        <v>29</v>
      </c>
      <c r="L827" t="s">
        <v>91</v>
      </c>
      <c r="M827" t="s">
        <v>22</v>
      </c>
      <c r="N827" t="str">
        <f t="shared" si="48"/>
        <v>Clean</v>
      </c>
      <c r="O827" t="str">
        <f t="shared" si="51"/>
        <v/>
      </c>
      <c r="P827" t="str">
        <f t="shared" si="49"/>
        <v>Clean</v>
      </c>
      <c r="Q827" t="str">
        <f t="shared" si="50"/>
        <v>Valid</v>
      </c>
    </row>
    <row r="828" spans="1:17" x14ac:dyDescent="0.3">
      <c r="A828" t="s">
        <v>3227</v>
      </c>
      <c r="B828" t="s">
        <v>3228</v>
      </c>
      <c r="C828" t="s">
        <v>15</v>
      </c>
      <c r="D828" t="s">
        <v>41</v>
      </c>
      <c r="E828" t="s">
        <v>17</v>
      </c>
      <c r="F828" t="s">
        <v>18</v>
      </c>
      <c r="G828" s="1">
        <v>45265</v>
      </c>
      <c r="H828" s="1">
        <v>45580</v>
      </c>
      <c r="I828" t="s">
        <v>3229</v>
      </c>
      <c r="J828" t="s">
        <v>3230</v>
      </c>
      <c r="K828" t="s">
        <v>21</v>
      </c>
      <c r="L828" t="s">
        <v>55</v>
      </c>
      <c r="M828" t="s">
        <v>22</v>
      </c>
      <c r="N828" t="str">
        <f t="shared" si="48"/>
        <v>Clean</v>
      </c>
      <c r="O828" t="str">
        <f t="shared" si="51"/>
        <v/>
      </c>
      <c r="P828" t="str">
        <f t="shared" si="49"/>
        <v>Clean</v>
      </c>
      <c r="Q828" t="str">
        <f t="shared" si="50"/>
        <v>Valid</v>
      </c>
    </row>
    <row r="829" spans="1:17" x14ac:dyDescent="0.3">
      <c r="A829" t="s">
        <v>3231</v>
      </c>
      <c r="B829" t="s">
        <v>2364</v>
      </c>
      <c r="C829" t="s">
        <v>181</v>
      </c>
      <c r="D829" t="s">
        <v>25</v>
      </c>
      <c r="E829" t="s">
        <v>26</v>
      </c>
      <c r="F829" t="s">
        <v>151</v>
      </c>
      <c r="G829" s="1">
        <v>45102</v>
      </c>
      <c r="H829" s="1">
        <v>45282</v>
      </c>
      <c r="I829" t="s">
        <v>3232</v>
      </c>
      <c r="J829" t="s">
        <v>2416</v>
      </c>
      <c r="K829" t="s">
        <v>37</v>
      </c>
      <c r="L829" t="s">
        <v>91</v>
      </c>
      <c r="M829" t="s">
        <v>22</v>
      </c>
      <c r="N829" t="str">
        <f t="shared" si="48"/>
        <v>Clean</v>
      </c>
      <c r="O829" t="str">
        <f t="shared" si="51"/>
        <v/>
      </c>
      <c r="P829" t="str">
        <f t="shared" si="49"/>
        <v>Clean</v>
      </c>
      <c r="Q829" t="str">
        <f t="shared" si="50"/>
        <v>Valid</v>
      </c>
    </row>
    <row r="830" spans="1:17" x14ac:dyDescent="0.3">
      <c r="A830" t="s">
        <v>3233</v>
      </c>
      <c r="B830" t="s">
        <v>3234</v>
      </c>
      <c r="C830" t="s">
        <v>40</v>
      </c>
      <c r="D830" t="s">
        <v>34</v>
      </c>
      <c r="E830" t="s">
        <v>26</v>
      </c>
      <c r="F830" t="s">
        <v>18</v>
      </c>
      <c r="G830" s="1">
        <v>45276</v>
      </c>
      <c r="H830" s="1">
        <v>45488</v>
      </c>
      <c r="I830" t="s">
        <v>3235</v>
      </c>
      <c r="J830" t="s">
        <v>3236</v>
      </c>
      <c r="K830" t="s">
        <v>90</v>
      </c>
      <c r="L830" t="s">
        <v>116</v>
      </c>
      <c r="M830" t="s">
        <v>22</v>
      </c>
      <c r="N830" t="str">
        <f t="shared" si="48"/>
        <v>Clean</v>
      </c>
      <c r="O830" t="str">
        <f t="shared" si="51"/>
        <v/>
      </c>
      <c r="P830" t="str">
        <f t="shared" si="49"/>
        <v>Clean</v>
      </c>
      <c r="Q830" t="str">
        <f t="shared" si="50"/>
        <v>Valid</v>
      </c>
    </row>
    <row r="831" spans="1:17" x14ac:dyDescent="0.3">
      <c r="A831" t="s">
        <v>3237</v>
      </c>
      <c r="B831" t="s">
        <v>3238</v>
      </c>
      <c r="C831" t="s">
        <v>76</v>
      </c>
      <c r="D831" t="s">
        <v>67</v>
      </c>
      <c r="E831" t="s">
        <v>26</v>
      </c>
      <c r="F831" t="s">
        <v>18</v>
      </c>
      <c r="G831" s="1">
        <v>43983</v>
      </c>
      <c r="H831" s="1">
        <v>44225</v>
      </c>
      <c r="I831" t="s">
        <v>3239</v>
      </c>
      <c r="J831" t="s">
        <v>3240</v>
      </c>
      <c r="K831" t="s">
        <v>21</v>
      </c>
      <c r="M831" t="s">
        <v>3735</v>
      </c>
      <c r="N831" t="str">
        <f t="shared" si="48"/>
        <v>Flagged</v>
      </c>
      <c r="O831" t="str">
        <f t="shared" si="51"/>
        <v>Missing Verified_By</v>
      </c>
      <c r="P831" t="str">
        <f t="shared" si="49"/>
        <v>Flagged for Review</v>
      </c>
      <c r="Q831" t="str">
        <f t="shared" si="50"/>
        <v>Valid</v>
      </c>
    </row>
    <row r="832" spans="1:17" x14ac:dyDescent="0.3">
      <c r="A832" t="s">
        <v>3241</v>
      </c>
      <c r="B832" t="s">
        <v>3242</v>
      </c>
      <c r="C832" t="s">
        <v>76</v>
      </c>
      <c r="D832" t="s">
        <v>34</v>
      </c>
      <c r="E832" t="s">
        <v>26</v>
      </c>
      <c r="F832" t="s">
        <v>18</v>
      </c>
      <c r="G832" s="1">
        <v>44145</v>
      </c>
      <c r="H832" s="1">
        <v>44408</v>
      </c>
      <c r="I832" t="s">
        <v>3243</v>
      </c>
      <c r="J832" t="s">
        <v>3244</v>
      </c>
      <c r="K832" t="s">
        <v>37</v>
      </c>
      <c r="L832" t="s">
        <v>55</v>
      </c>
      <c r="M832" t="s">
        <v>22</v>
      </c>
      <c r="N832" t="str">
        <f t="shared" si="48"/>
        <v>Clean</v>
      </c>
      <c r="O832" t="str">
        <f t="shared" si="51"/>
        <v/>
      </c>
      <c r="P832" t="str">
        <f t="shared" si="49"/>
        <v>Clean</v>
      </c>
      <c r="Q832" t="str">
        <f t="shared" si="50"/>
        <v>Valid</v>
      </c>
    </row>
    <row r="833" spans="1:17" x14ac:dyDescent="0.3">
      <c r="A833" t="s">
        <v>3245</v>
      </c>
      <c r="B833" t="s">
        <v>3246</v>
      </c>
      <c r="C833" t="s">
        <v>40</v>
      </c>
      <c r="D833" t="s">
        <v>16</v>
      </c>
      <c r="E833" t="s">
        <v>17</v>
      </c>
      <c r="F833" t="s">
        <v>18</v>
      </c>
      <c r="G833" s="1">
        <v>45209</v>
      </c>
      <c r="H833" s="1">
        <v>45528</v>
      </c>
      <c r="I833" t="s">
        <v>3247</v>
      </c>
      <c r="J833" t="s">
        <v>3248</v>
      </c>
      <c r="K833" t="s">
        <v>21</v>
      </c>
      <c r="L833" t="s">
        <v>91</v>
      </c>
      <c r="M833" t="s">
        <v>22</v>
      </c>
      <c r="N833" t="str">
        <f t="shared" si="48"/>
        <v>Clean</v>
      </c>
      <c r="O833" t="str">
        <f t="shared" si="51"/>
        <v/>
      </c>
      <c r="P833" t="str">
        <f t="shared" si="49"/>
        <v>Clean</v>
      </c>
      <c r="Q833" t="str">
        <f t="shared" si="50"/>
        <v>Valid</v>
      </c>
    </row>
    <row r="834" spans="1:17" x14ac:dyDescent="0.3">
      <c r="A834" t="s">
        <v>3249</v>
      </c>
      <c r="B834" t="s">
        <v>3250</v>
      </c>
      <c r="C834" t="s">
        <v>40</v>
      </c>
      <c r="D834" t="s">
        <v>25</v>
      </c>
      <c r="E834" t="s">
        <v>26</v>
      </c>
      <c r="F834" t="s">
        <v>160</v>
      </c>
      <c r="G834" s="1">
        <v>43934</v>
      </c>
      <c r="H834" s="1">
        <v>44269</v>
      </c>
      <c r="I834" t="s">
        <v>3251</v>
      </c>
      <c r="J834" t="s">
        <v>3252</v>
      </c>
      <c r="K834" t="s">
        <v>21</v>
      </c>
      <c r="L834" t="s">
        <v>30</v>
      </c>
      <c r="M834" t="s">
        <v>22</v>
      </c>
      <c r="N834" t="str">
        <f t="shared" ref="N834:N897" si="52">IF(OR(B834="",H834="",I834="",J834="",L834="",Q834="Invalid"),"Flagged","Clean")</f>
        <v>Clean</v>
      </c>
      <c r="O834" t="str">
        <f t="shared" si="51"/>
        <v/>
      </c>
      <c r="P834" t="str">
        <f t="shared" ref="P834:P897" si="53">IF(N834="Clean","Clean","Flagged for Review")</f>
        <v>Clean</v>
      </c>
      <c r="Q834" t="str">
        <f t="shared" ref="Q834:Q897" si="54">IF(I834="","Blank",IF(ISERROR(FIND("@",I834&amp;"")),"Invalid",IF(FIND("@",I834&amp;"")&lt;2,"Invalid",IF(LEN(I834&amp;"")-FIND("@",I834&amp;"")&lt;4,"Invalid","Valid"))))</f>
        <v>Valid</v>
      </c>
    </row>
    <row r="835" spans="1:17" x14ac:dyDescent="0.3">
      <c r="A835" t="s">
        <v>3253</v>
      </c>
      <c r="B835" t="s">
        <v>3254</v>
      </c>
      <c r="C835" t="s">
        <v>76</v>
      </c>
      <c r="D835" t="s">
        <v>77</v>
      </c>
      <c r="E835" t="s">
        <v>52</v>
      </c>
      <c r="F835" t="s">
        <v>18</v>
      </c>
      <c r="G835" s="1">
        <v>45365</v>
      </c>
      <c r="H835" s="1">
        <v>45688</v>
      </c>
      <c r="I835" t="s">
        <v>3255</v>
      </c>
      <c r="J835" t="s">
        <v>3256</v>
      </c>
      <c r="K835" t="s">
        <v>29</v>
      </c>
      <c r="L835" t="s">
        <v>30</v>
      </c>
      <c r="M835" t="s">
        <v>22</v>
      </c>
      <c r="N835" t="str">
        <f t="shared" si="52"/>
        <v>Clean</v>
      </c>
      <c r="O835" t="str">
        <f t="shared" ref="O835:O898" si="55">TRIM(IF(B835="","Missing Vendor_Name ","")&amp;IF(I835="","Missing Contact_Email ","")&amp;IF(J835="","Missing Account_Code ","")&amp;IF(L835="","Missing Verified_By ","")&amp;IF(Q835="Invalid","Invalid Email Format ","")&amp;IF(H835="","Missing Last_Updated ",""))</f>
        <v/>
      </c>
      <c r="P835" t="str">
        <f t="shared" si="53"/>
        <v>Clean</v>
      </c>
      <c r="Q835" t="str">
        <f t="shared" si="54"/>
        <v>Valid</v>
      </c>
    </row>
    <row r="836" spans="1:17" x14ac:dyDescent="0.3">
      <c r="A836" t="s">
        <v>3257</v>
      </c>
      <c r="B836" t="s">
        <v>3258</v>
      </c>
      <c r="C836" t="s">
        <v>76</v>
      </c>
      <c r="D836" t="s">
        <v>25</v>
      </c>
      <c r="E836" t="s">
        <v>26</v>
      </c>
      <c r="F836" t="s">
        <v>18</v>
      </c>
      <c r="G836" s="1">
        <v>44534</v>
      </c>
      <c r="H836" s="1">
        <v>44716</v>
      </c>
      <c r="I836" t="s">
        <v>3259</v>
      </c>
      <c r="J836" t="s">
        <v>3260</v>
      </c>
      <c r="K836" t="s">
        <v>90</v>
      </c>
      <c r="L836" t="s">
        <v>60</v>
      </c>
      <c r="M836" t="s">
        <v>22</v>
      </c>
      <c r="N836" t="str">
        <f t="shared" si="52"/>
        <v>Clean</v>
      </c>
      <c r="O836" t="str">
        <f t="shared" si="55"/>
        <v/>
      </c>
      <c r="P836" t="str">
        <f t="shared" si="53"/>
        <v>Clean</v>
      </c>
      <c r="Q836" t="str">
        <f t="shared" si="54"/>
        <v>Valid</v>
      </c>
    </row>
    <row r="837" spans="1:17" x14ac:dyDescent="0.3">
      <c r="A837" t="s">
        <v>3261</v>
      </c>
      <c r="B837" t="s">
        <v>3262</v>
      </c>
      <c r="C837" t="s">
        <v>76</v>
      </c>
      <c r="D837" t="s">
        <v>51</v>
      </c>
      <c r="E837" t="s">
        <v>52</v>
      </c>
      <c r="F837" t="s">
        <v>18</v>
      </c>
      <c r="G837" s="1">
        <v>43896</v>
      </c>
      <c r="H837" s="1">
        <v>44154</v>
      </c>
      <c r="I837" t="s">
        <v>3263</v>
      </c>
      <c r="J837" t="s">
        <v>3264</v>
      </c>
      <c r="K837" t="s">
        <v>21</v>
      </c>
      <c r="L837" t="s">
        <v>55</v>
      </c>
      <c r="M837" t="s">
        <v>22</v>
      </c>
      <c r="N837" t="str">
        <f t="shared" si="52"/>
        <v>Clean</v>
      </c>
      <c r="O837" t="str">
        <f t="shared" si="55"/>
        <v/>
      </c>
      <c r="P837" t="str">
        <f t="shared" si="53"/>
        <v>Clean</v>
      </c>
      <c r="Q837" t="str">
        <f t="shared" si="54"/>
        <v>Valid</v>
      </c>
    </row>
    <row r="838" spans="1:17" x14ac:dyDescent="0.3">
      <c r="A838" t="s">
        <v>3265</v>
      </c>
      <c r="B838" t="s">
        <v>3266</v>
      </c>
      <c r="C838" t="s">
        <v>87</v>
      </c>
      <c r="D838" t="s">
        <v>77</v>
      </c>
      <c r="E838" t="s">
        <v>52</v>
      </c>
      <c r="F838" t="s">
        <v>18</v>
      </c>
      <c r="G838" s="1">
        <v>44569</v>
      </c>
      <c r="H838" s="1">
        <v>44873</v>
      </c>
      <c r="I838" t="s">
        <v>3267</v>
      </c>
      <c r="J838" t="s">
        <v>3268</v>
      </c>
      <c r="K838" t="s">
        <v>90</v>
      </c>
      <c r="M838" t="s">
        <v>3735</v>
      </c>
      <c r="N838" t="str">
        <f t="shared" si="52"/>
        <v>Flagged</v>
      </c>
      <c r="O838" t="str">
        <f t="shared" si="55"/>
        <v>Missing Verified_By</v>
      </c>
      <c r="P838" t="str">
        <f t="shared" si="53"/>
        <v>Flagged for Review</v>
      </c>
      <c r="Q838" t="str">
        <f t="shared" si="54"/>
        <v>Valid</v>
      </c>
    </row>
    <row r="839" spans="1:17" x14ac:dyDescent="0.3">
      <c r="A839" t="s">
        <v>3269</v>
      </c>
      <c r="B839" t="s">
        <v>3270</v>
      </c>
      <c r="C839" t="s">
        <v>87</v>
      </c>
      <c r="D839" t="s">
        <v>77</v>
      </c>
      <c r="E839" t="s">
        <v>52</v>
      </c>
      <c r="F839" t="s">
        <v>18</v>
      </c>
      <c r="G839" s="1">
        <v>43813</v>
      </c>
      <c r="H839" s="1">
        <v>43971</v>
      </c>
      <c r="I839" t="s">
        <v>3271</v>
      </c>
      <c r="J839" t="s">
        <v>3272</v>
      </c>
      <c r="K839" t="s">
        <v>29</v>
      </c>
      <c r="L839" t="s">
        <v>55</v>
      </c>
      <c r="M839" t="s">
        <v>22</v>
      </c>
      <c r="N839" t="str">
        <f t="shared" si="52"/>
        <v>Clean</v>
      </c>
      <c r="O839" t="str">
        <f t="shared" si="55"/>
        <v/>
      </c>
      <c r="P839" t="str">
        <f t="shared" si="53"/>
        <v>Clean</v>
      </c>
      <c r="Q839" t="str">
        <f t="shared" si="54"/>
        <v>Valid</v>
      </c>
    </row>
    <row r="840" spans="1:17" x14ac:dyDescent="0.3">
      <c r="A840" t="s">
        <v>3273</v>
      </c>
      <c r="B840" t="s">
        <v>3274</v>
      </c>
      <c r="C840" t="s">
        <v>40</v>
      </c>
      <c r="D840" t="s">
        <v>51</v>
      </c>
      <c r="E840" t="s">
        <v>52</v>
      </c>
      <c r="F840" t="s">
        <v>18</v>
      </c>
      <c r="G840" s="1">
        <v>43750</v>
      </c>
      <c r="H840" s="1">
        <v>43892</v>
      </c>
      <c r="I840" t="s">
        <v>3275</v>
      </c>
      <c r="J840" t="s">
        <v>3276</v>
      </c>
      <c r="K840" t="s">
        <v>21</v>
      </c>
      <c r="M840" t="s">
        <v>3735</v>
      </c>
      <c r="N840" t="str">
        <f t="shared" si="52"/>
        <v>Flagged</v>
      </c>
      <c r="O840" t="str">
        <f t="shared" si="55"/>
        <v>Missing Verified_By</v>
      </c>
      <c r="P840" t="str">
        <f t="shared" si="53"/>
        <v>Flagged for Review</v>
      </c>
      <c r="Q840" t="str">
        <f t="shared" si="54"/>
        <v>Valid</v>
      </c>
    </row>
    <row r="841" spans="1:17" x14ac:dyDescent="0.3">
      <c r="A841" t="s">
        <v>3277</v>
      </c>
      <c r="B841" t="s">
        <v>3278</v>
      </c>
      <c r="C841" t="s">
        <v>15</v>
      </c>
      <c r="D841" t="s">
        <v>34</v>
      </c>
      <c r="E841" t="s">
        <v>26</v>
      </c>
      <c r="F841" t="s">
        <v>18</v>
      </c>
      <c r="G841" s="1">
        <v>44031</v>
      </c>
      <c r="H841" s="1">
        <v>44368</v>
      </c>
      <c r="I841" t="s">
        <v>3279</v>
      </c>
      <c r="K841" t="s">
        <v>21</v>
      </c>
      <c r="M841" t="s">
        <v>3735</v>
      </c>
      <c r="N841" t="str">
        <f t="shared" si="52"/>
        <v>Flagged</v>
      </c>
      <c r="O841" t="str">
        <f t="shared" si="55"/>
        <v>Missing Account_Code Missing Verified_By</v>
      </c>
      <c r="P841" t="str">
        <f t="shared" si="53"/>
        <v>Flagged for Review</v>
      </c>
      <c r="Q841" t="str">
        <f t="shared" si="54"/>
        <v>Valid</v>
      </c>
    </row>
    <row r="842" spans="1:17" x14ac:dyDescent="0.3">
      <c r="A842" t="s">
        <v>3280</v>
      </c>
      <c r="B842" t="s">
        <v>3126</v>
      </c>
      <c r="C842" t="s">
        <v>40</v>
      </c>
      <c r="D842" t="s">
        <v>51</v>
      </c>
      <c r="E842" t="s">
        <v>52</v>
      </c>
      <c r="F842" t="s">
        <v>18</v>
      </c>
      <c r="G842" s="1">
        <v>45454</v>
      </c>
      <c r="H842" s="1">
        <v>45746</v>
      </c>
      <c r="I842" t="s">
        <v>3281</v>
      </c>
      <c r="J842" t="s">
        <v>3282</v>
      </c>
      <c r="K842" t="s">
        <v>90</v>
      </c>
      <c r="L842" t="s">
        <v>55</v>
      </c>
      <c r="M842" t="s">
        <v>22</v>
      </c>
      <c r="N842" t="str">
        <f t="shared" si="52"/>
        <v>Clean</v>
      </c>
      <c r="O842" t="str">
        <f t="shared" si="55"/>
        <v/>
      </c>
      <c r="P842" t="str">
        <f t="shared" si="53"/>
        <v>Clean</v>
      </c>
      <c r="Q842" t="str">
        <f t="shared" si="54"/>
        <v>Valid</v>
      </c>
    </row>
    <row r="843" spans="1:17" x14ac:dyDescent="0.3">
      <c r="A843" t="s">
        <v>3283</v>
      </c>
      <c r="B843" t="s">
        <v>3284</v>
      </c>
      <c r="C843" t="s">
        <v>87</v>
      </c>
      <c r="D843" t="s">
        <v>34</v>
      </c>
      <c r="E843" t="s">
        <v>26</v>
      </c>
      <c r="F843" t="s">
        <v>151</v>
      </c>
      <c r="G843" s="1">
        <v>44179</v>
      </c>
      <c r="H843" s="1">
        <v>44364</v>
      </c>
      <c r="I843" t="s">
        <v>3285</v>
      </c>
      <c r="J843" t="s">
        <v>3286</v>
      </c>
      <c r="K843" t="s">
        <v>90</v>
      </c>
      <c r="L843" t="s">
        <v>55</v>
      </c>
      <c r="M843" t="s">
        <v>22</v>
      </c>
      <c r="N843" t="str">
        <f t="shared" si="52"/>
        <v>Clean</v>
      </c>
      <c r="O843" t="str">
        <f t="shared" si="55"/>
        <v/>
      </c>
      <c r="P843" t="str">
        <f t="shared" si="53"/>
        <v>Clean</v>
      </c>
      <c r="Q843" t="str">
        <f t="shared" si="54"/>
        <v>Valid</v>
      </c>
    </row>
    <row r="844" spans="1:17" x14ac:dyDescent="0.3">
      <c r="A844" t="s">
        <v>3287</v>
      </c>
      <c r="B844" t="s">
        <v>3288</v>
      </c>
      <c r="C844" t="s">
        <v>181</v>
      </c>
      <c r="D844" t="s">
        <v>67</v>
      </c>
      <c r="E844" t="s">
        <v>26</v>
      </c>
      <c r="F844" t="s">
        <v>18</v>
      </c>
      <c r="G844" s="1">
        <v>44544</v>
      </c>
      <c r="H844" s="1">
        <v>44797</v>
      </c>
      <c r="I844" t="s">
        <v>3289</v>
      </c>
      <c r="J844" t="s">
        <v>3290</v>
      </c>
      <c r="K844" t="s">
        <v>29</v>
      </c>
      <c r="L844" t="s">
        <v>116</v>
      </c>
      <c r="M844" t="s">
        <v>22</v>
      </c>
      <c r="N844" t="str">
        <f t="shared" si="52"/>
        <v>Clean</v>
      </c>
      <c r="O844" t="str">
        <f t="shared" si="55"/>
        <v/>
      </c>
      <c r="P844" t="str">
        <f t="shared" si="53"/>
        <v>Clean</v>
      </c>
      <c r="Q844" t="str">
        <f t="shared" si="54"/>
        <v>Valid</v>
      </c>
    </row>
    <row r="845" spans="1:17" x14ac:dyDescent="0.3">
      <c r="A845" t="s">
        <v>3291</v>
      </c>
      <c r="B845" t="s">
        <v>3292</v>
      </c>
      <c r="C845" t="s">
        <v>46</v>
      </c>
      <c r="D845" t="s">
        <v>51</v>
      </c>
      <c r="E845" t="s">
        <v>52</v>
      </c>
      <c r="F845" t="s">
        <v>151</v>
      </c>
      <c r="G845" s="1">
        <v>44578</v>
      </c>
      <c r="H845" s="1">
        <v>44648</v>
      </c>
      <c r="I845" t="s">
        <v>3293</v>
      </c>
      <c r="J845" t="s">
        <v>1784</v>
      </c>
      <c r="K845" t="s">
        <v>37</v>
      </c>
      <c r="L845" t="s">
        <v>60</v>
      </c>
      <c r="M845" t="s">
        <v>22</v>
      </c>
      <c r="N845" t="str">
        <f t="shared" si="52"/>
        <v>Clean</v>
      </c>
      <c r="O845" t="str">
        <f t="shared" si="55"/>
        <v/>
      </c>
      <c r="P845" t="str">
        <f t="shared" si="53"/>
        <v>Clean</v>
      </c>
      <c r="Q845" t="str">
        <f t="shared" si="54"/>
        <v>Valid</v>
      </c>
    </row>
    <row r="846" spans="1:17" x14ac:dyDescent="0.3">
      <c r="A846" t="s">
        <v>3294</v>
      </c>
      <c r="B846" t="s">
        <v>3295</v>
      </c>
      <c r="C846" t="s">
        <v>87</v>
      </c>
      <c r="D846" t="s">
        <v>41</v>
      </c>
      <c r="E846" t="s">
        <v>17</v>
      </c>
      <c r="F846" t="s">
        <v>18</v>
      </c>
      <c r="G846" s="1">
        <v>44285</v>
      </c>
      <c r="H846" s="1">
        <v>44606</v>
      </c>
      <c r="I846" t="s">
        <v>3296</v>
      </c>
      <c r="J846" t="s">
        <v>1103</v>
      </c>
      <c r="K846" t="s">
        <v>90</v>
      </c>
      <c r="L846" t="s">
        <v>60</v>
      </c>
      <c r="M846" t="s">
        <v>22</v>
      </c>
      <c r="N846" t="str">
        <f t="shared" si="52"/>
        <v>Clean</v>
      </c>
      <c r="O846" t="str">
        <f t="shared" si="55"/>
        <v/>
      </c>
      <c r="P846" t="str">
        <f t="shared" si="53"/>
        <v>Clean</v>
      </c>
      <c r="Q846" t="str">
        <f t="shared" si="54"/>
        <v>Valid</v>
      </c>
    </row>
    <row r="847" spans="1:17" x14ac:dyDescent="0.3">
      <c r="A847" t="s">
        <v>3297</v>
      </c>
      <c r="B847" t="s">
        <v>3298</v>
      </c>
      <c r="C847" t="s">
        <v>46</v>
      </c>
      <c r="D847" t="s">
        <v>77</v>
      </c>
      <c r="E847" t="s">
        <v>52</v>
      </c>
      <c r="F847" t="s">
        <v>160</v>
      </c>
      <c r="G847" s="1">
        <v>45292</v>
      </c>
      <c r="H847" s="1">
        <v>45373</v>
      </c>
      <c r="I847" t="s">
        <v>3299</v>
      </c>
      <c r="J847" t="s">
        <v>3300</v>
      </c>
      <c r="K847" t="s">
        <v>29</v>
      </c>
      <c r="L847" t="s">
        <v>55</v>
      </c>
      <c r="M847" t="s">
        <v>22</v>
      </c>
      <c r="N847" t="str">
        <f t="shared" si="52"/>
        <v>Clean</v>
      </c>
      <c r="O847" t="str">
        <f t="shared" si="55"/>
        <v/>
      </c>
      <c r="P847" t="str">
        <f t="shared" si="53"/>
        <v>Clean</v>
      </c>
      <c r="Q847" t="str">
        <f t="shared" si="54"/>
        <v>Valid</v>
      </c>
    </row>
    <row r="848" spans="1:17" x14ac:dyDescent="0.3">
      <c r="A848" t="s">
        <v>3301</v>
      </c>
      <c r="B848" t="s">
        <v>3302</v>
      </c>
      <c r="C848" t="s">
        <v>76</v>
      </c>
      <c r="D848" t="s">
        <v>67</v>
      </c>
      <c r="E848" t="s">
        <v>26</v>
      </c>
      <c r="F848" t="s">
        <v>18</v>
      </c>
      <c r="G848" s="1">
        <v>45247</v>
      </c>
      <c r="H848" s="1">
        <v>45586</v>
      </c>
      <c r="I848" t="s">
        <v>3303</v>
      </c>
      <c r="J848" t="s">
        <v>3304</v>
      </c>
      <c r="K848" t="s">
        <v>29</v>
      </c>
      <c r="L848" t="s">
        <v>116</v>
      </c>
      <c r="M848" t="s">
        <v>22</v>
      </c>
      <c r="N848" t="str">
        <f t="shared" si="52"/>
        <v>Clean</v>
      </c>
      <c r="O848" t="str">
        <f t="shared" si="55"/>
        <v/>
      </c>
      <c r="P848" t="str">
        <f t="shared" si="53"/>
        <v>Clean</v>
      </c>
      <c r="Q848" t="str">
        <f t="shared" si="54"/>
        <v>Valid</v>
      </c>
    </row>
    <row r="849" spans="1:17" x14ac:dyDescent="0.3">
      <c r="A849" t="s">
        <v>3305</v>
      </c>
      <c r="B849" t="s">
        <v>3306</v>
      </c>
      <c r="C849" t="s">
        <v>46</v>
      </c>
      <c r="D849" t="s">
        <v>25</v>
      </c>
      <c r="E849" t="s">
        <v>26</v>
      </c>
      <c r="F849" t="s">
        <v>151</v>
      </c>
      <c r="G849" s="1">
        <v>43870</v>
      </c>
      <c r="H849" s="1">
        <v>43979</v>
      </c>
      <c r="I849" t="s">
        <v>3307</v>
      </c>
      <c r="J849" t="s">
        <v>3308</v>
      </c>
      <c r="K849" t="s">
        <v>29</v>
      </c>
      <c r="M849" t="s">
        <v>3735</v>
      </c>
      <c r="N849" t="str">
        <f t="shared" si="52"/>
        <v>Flagged</v>
      </c>
      <c r="O849" t="str">
        <f t="shared" si="55"/>
        <v>Missing Verified_By</v>
      </c>
      <c r="P849" t="str">
        <f t="shared" si="53"/>
        <v>Flagged for Review</v>
      </c>
      <c r="Q849" t="str">
        <f t="shared" si="54"/>
        <v>Valid</v>
      </c>
    </row>
    <row r="850" spans="1:17" x14ac:dyDescent="0.3">
      <c r="A850" t="s">
        <v>3309</v>
      </c>
      <c r="B850" t="s">
        <v>3310</v>
      </c>
      <c r="C850" t="s">
        <v>33</v>
      </c>
      <c r="D850" t="s">
        <v>51</v>
      </c>
      <c r="E850" t="s">
        <v>52</v>
      </c>
      <c r="F850" t="s">
        <v>18</v>
      </c>
      <c r="G850" s="1">
        <v>43608</v>
      </c>
      <c r="H850" s="1">
        <v>43948</v>
      </c>
      <c r="I850" t="s">
        <v>3311</v>
      </c>
      <c r="J850" t="s">
        <v>3095</v>
      </c>
      <c r="K850" t="s">
        <v>37</v>
      </c>
      <c r="L850" t="s">
        <v>116</v>
      </c>
      <c r="M850" t="s">
        <v>22</v>
      </c>
      <c r="N850" t="str">
        <f t="shared" si="52"/>
        <v>Clean</v>
      </c>
      <c r="O850" t="str">
        <f t="shared" si="55"/>
        <v/>
      </c>
      <c r="P850" t="str">
        <f t="shared" si="53"/>
        <v>Clean</v>
      </c>
      <c r="Q850" t="str">
        <f t="shared" si="54"/>
        <v>Valid</v>
      </c>
    </row>
    <row r="851" spans="1:17" x14ac:dyDescent="0.3">
      <c r="A851" t="s">
        <v>3312</v>
      </c>
      <c r="B851" t="s">
        <v>3313</v>
      </c>
      <c r="C851" t="s">
        <v>181</v>
      </c>
      <c r="D851" t="s">
        <v>67</v>
      </c>
      <c r="E851" t="s">
        <v>26</v>
      </c>
      <c r="F851" t="s">
        <v>18</v>
      </c>
      <c r="G851" s="1">
        <v>44604</v>
      </c>
      <c r="H851" s="1">
        <v>44704</v>
      </c>
      <c r="I851" t="s">
        <v>3314</v>
      </c>
      <c r="J851" t="s">
        <v>3315</v>
      </c>
      <c r="K851" t="s">
        <v>21</v>
      </c>
      <c r="M851" t="s">
        <v>3735</v>
      </c>
      <c r="N851" t="str">
        <f t="shared" si="52"/>
        <v>Flagged</v>
      </c>
      <c r="O851" t="str">
        <f t="shared" si="55"/>
        <v>Missing Verified_By</v>
      </c>
      <c r="P851" t="str">
        <f t="shared" si="53"/>
        <v>Flagged for Review</v>
      </c>
      <c r="Q851" t="str">
        <f t="shared" si="54"/>
        <v>Valid</v>
      </c>
    </row>
    <row r="852" spans="1:17" x14ac:dyDescent="0.3">
      <c r="A852" t="s">
        <v>3316</v>
      </c>
      <c r="B852" t="s">
        <v>3317</v>
      </c>
      <c r="C852" t="s">
        <v>15</v>
      </c>
      <c r="D852" t="s">
        <v>16</v>
      </c>
      <c r="E852" t="s">
        <v>17</v>
      </c>
      <c r="F852" t="s">
        <v>18</v>
      </c>
      <c r="G852" s="1">
        <v>43599</v>
      </c>
      <c r="H852" s="1">
        <v>43739</v>
      </c>
      <c r="I852" t="s">
        <v>1532</v>
      </c>
      <c r="J852" t="s">
        <v>3318</v>
      </c>
      <c r="K852" t="s">
        <v>29</v>
      </c>
      <c r="L852" t="s">
        <v>55</v>
      </c>
      <c r="M852" t="s">
        <v>22</v>
      </c>
      <c r="N852" t="str">
        <f t="shared" si="52"/>
        <v>Clean</v>
      </c>
      <c r="O852" t="str">
        <f t="shared" si="55"/>
        <v/>
      </c>
      <c r="P852" t="str">
        <f t="shared" si="53"/>
        <v>Clean</v>
      </c>
      <c r="Q852" t="str">
        <f t="shared" si="54"/>
        <v>Valid</v>
      </c>
    </row>
    <row r="853" spans="1:17" x14ac:dyDescent="0.3">
      <c r="A853" t="s">
        <v>3319</v>
      </c>
      <c r="B853" t="s">
        <v>3320</v>
      </c>
      <c r="C853" t="s">
        <v>76</v>
      </c>
      <c r="D853" t="s">
        <v>77</v>
      </c>
      <c r="E853" t="s">
        <v>52</v>
      </c>
      <c r="F853" t="s">
        <v>18</v>
      </c>
      <c r="G853" s="1">
        <v>45429</v>
      </c>
      <c r="H853" s="1">
        <v>45785</v>
      </c>
      <c r="I853" t="s">
        <v>3321</v>
      </c>
      <c r="J853" t="s">
        <v>3322</v>
      </c>
      <c r="K853" t="s">
        <v>21</v>
      </c>
      <c r="L853" t="s">
        <v>55</v>
      </c>
      <c r="M853" t="s">
        <v>22</v>
      </c>
      <c r="N853" t="str">
        <f t="shared" si="52"/>
        <v>Clean</v>
      </c>
      <c r="O853" t="str">
        <f t="shared" si="55"/>
        <v/>
      </c>
      <c r="P853" t="str">
        <f t="shared" si="53"/>
        <v>Clean</v>
      </c>
      <c r="Q853" t="str">
        <f t="shared" si="54"/>
        <v>Valid</v>
      </c>
    </row>
    <row r="854" spans="1:17" x14ac:dyDescent="0.3">
      <c r="A854" t="s">
        <v>3323</v>
      </c>
      <c r="B854" t="s">
        <v>3324</v>
      </c>
      <c r="C854" t="s">
        <v>181</v>
      </c>
      <c r="D854" t="s">
        <v>77</v>
      </c>
      <c r="E854" t="s">
        <v>52</v>
      </c>
      <c r="F854" t="s">
        <v>18</v>
      </c>
      <c r="G854" s="1">
        <v>44472</v>
      </c>
      <c r="H854" s="1">
        <v>44727</v>
      </c>
      <c r="I854" t="s">
        <v>3325</v>
      </c>
      <c r="J854" t="s">
        <v>3326</v>
      </c>
      <c r="K854" t="s">
        <v>29</v>
      </c>
      <c r="L854" t="s">
        <v>30</v>
      </c>
      <c r="M854" t="s">
        <v>22</v>
      </c>
      <c r="N854" t="str">
        <f t="shared" si="52"/>
        <v>Clean</v>
      </c>
      <c r="O854" t="str">
        <f t="shared" si="55"/>
        <v/>
      </c>
      <c r="P854" t="str">
        <f t="shared" si="53"/>
        <v>Clean</v>
      </c>
      <c r="Q854" t="str">
        <f t="shared" si="54"/>
        <v>Valid</v>
      </c>
    </row>
    <row r="855" spans="1:17" x14ac:dyDescent="0.3">
      <c r="A855" t="s">
        <v>3327</v>
      </c>
      <c r="B855" t="s">
        <v>3328</v>
      </c>
      <c r="C855" t="s">
        <v>181</v>
      </c>
      <c r="D855" t="s">
        <v>34</v>
      </c>
      <c r="E855" t="s">
        <v>26</v>
      </c>
      <c r="F855" t="s">
        <v>160</v>
      </c>
      <c r="G855" s="1">
        <v>44980</v>
      </c>
      <c r="H855" s="1">
        <v>45177</v>
      </c>
      <c r="I855" t="s">
        <v>3329</v>
      </c>
      <c r="J855" t="s">
        <v>3330</v>
      </c>
      <c r="K855" t="s">
        <v>29</v>
      </c>
      <c r="L855" t="s">
        <v>116</v>
      </c>
      <c r="M855" t="s">
        <v>22</v>
      </c>
      <c r="N855" t="str">
        <f t="shared" si="52"/>
        <v>Clean</v>
      </c>
      <c r="O855" t="str">
        <f t="shared" si="55"/>
        <v/>
      </c>
      <c r="P855" t="str">
        <f t="shared" si="53"/>
        <v>Clean</v>
      </c>
      <c r="Q855" t="str">
        <f t="shared" si="54"/>
        <v>Valid</v>
      </c>
    </row>
    <row r="856" spans="1:17" x14ac:dyDescent="0.3">
      <c r="A856" t="s">
        <v>3331</v>
      </c>
      <c r="B856" t="s">
        <v>3332</v>
      </c>
      <c r="C856" t="s">
        <v>15</v>
      </c>
      <c r="D856" t="s">
        <v>67</v>
      </c>
      <c r="E856" t="s">
        <v>26</v>
      </c>
      <c r="F856" t="s">
        <v>18</v>
      </c>
      <c r="G856" s="1">
        <v>44219</v>
      </c>
      <c r="H856" s="1">
        <v>44332</v>
      </c>
      <c r="I856" t="s">
        <v>3333</v>
      </c>
      <c r="J856" t="s">
        <v>3334</v>
      </c>
      <c r="K856" t="s">
        <v>37</v>
      </c>
      <c r="L856" t="s">
        <v>60</v>
      </c>
      <c r="M856" t="s">
        <v>22</v>
      </c>
      <c r="N856" t="str">
        <f t="shared" si="52"/>
        <v>Clean</v>
      </c>
      <c r="O856" t="str">
        <f t="shared" si="55"/>
        <v/>
      </c>
      <c r="P856" t="str">
        <f t="shared" si="53"/>
        <v>Clean</v>
      </c>
      <c r="Q856" t="str">
        <f t="shared" si="54"/>
        <v>Valid</v>
      </c>
    </row>
    <row r="857" spans="1:17" x14ac:dyDescent="0.3">
      <c r="A857" t="s">
        <v>3335</v>
      </c>
      <c r="B857" t="s">
        <v>3336</v>
      </c>
      <c r="C857" t="s">
        <v>15</v>
      </c>
      <c r="D857" t="s">
        <v>51</v>
      </c>
      <c r="E857" t="s">
        <v>52</v>
      </c>
      <c r="F857" t="s">
        <v>18</v>
      </c>
      <c r="G857" s="1">
        <v>44398</v>
      </c>
      <c r="H857" s="1">
        <v>44530</v>
      </c>
      <c r="I857" t="s">
        <v>3337</v>
      </c>
      <c r="J857" t="s">
        <v>3338</v>
      </c>
      <c r="K857" t="s">
        <v>21</v>
      </c>
      <c r="M857" t="s">
        <v>3735</v>
      </c>
      <c r="N857" t="str">
        <f t="shared" si="52"/>
        <v>Flagged</v>
      </c>
      <c r="O857" t="str">
        <f t="shared" si="55"/>
        <v>Missing Verified_By</v>
      </c>
      <c r="P857" t="str">
        <f t="shared" si="53"/>
        <v>Flagged for Review</v>
      </c>
      <c r="Q857" t="str">
        <f t="shared" si="54"/>
        <v>Valid</v>
      </c>
    </row>
    <row r="858" spans="1:17" x14ac:dyDescent="0.3">
      <c r="A858" t="s">
        <v>3339</v>
      </c>
      <c r="B858" t="s">
        <v>3340</v>
      </c>
      <c r="C858" t="s">
        <v>181</v>
      </c>
      <c r="D858" t="s">
        <v>41</v>
      </c>
      <c r="E858" t="s">
        <v>17</v>
      </c>
      <c r="F858" t="s">
        <v>18</v>
      </c>
      <c r="G858" s="1">
        <v>45114</v>
      </c>
      <c r="H858" s="1">
        <v>45259</v>
      </c>
      <c r="I858" t="s">
        <v>3341</v>
      </c>
      <c r="J858" t="s">
        <v>3342</v>
      </c>
      <c r="K858" t="s">
        <v>29</v>
      </c>
      <c r="L858" t="s">
        <v>30</v>
      </c>
      <c r="M858" t="s">
        <v>22</v>
      </c>
      <c r="N858" t="str">
        <f t="shared" si="52"/>
        <v>Clean</v>
      </c>
      <c r="O858" t="str">
        <f t="shared" si="55"/>
        <v/>
      </c>
      <c r="P858" t="str">
        <f t="shared" si="53"/>
        <v>Clean</v>
      </c>
      <c r="Q858" t="str">
        <f t="shared" si="54"/>
        <v>Valid</v>
      </c>
    </row>
    <row r="859" spans="1:17" x14ac:dyDescent="0.3">
      <c r="A859" t="s">
        <v>3343</v>
      </c>
      <c r="B859" t="s">
        <v>3344</v>
      </c>
      <c r="C859" t="s">
        <v>46</v>
      </c>
      <c r="D859" t="s">
        <v>51</v>
      </c>
      <c r="E859" t="s">
        <v>52</v>
      </c>
      <c r="F859" t="s">
        <v>151</v>
      </c>
      <c r="G859" s="1">
        <v>43952</v>
      </c>
      <c r="H859" s="1">
        <v>44260</v>
      </c>
      <c r="I859" t="s">
        <v>3345</v>
      </c>
      <c r="J859" t="s">
        <v>3346</v>
      </c>
      <c r="K859" t="s">
        <v>90</v>
      </c>
      <c r="L859" t="s">
        <v>116</v>
      </c>
      <c r="M859" t="s">
        <v>22</v>
      </c>
      <c r="N859" t="str">
        <f t="shared" si="52"/>
        <v>Clean</v>
      </c>
      <c r="O859" t="str">
        <f t="shared" si="55"/>
        <v/>
      </c>
      <c r="P859" t="str">
        <f t="shared" si="53"/>
        <v>Clean</v>
      </c>
      <c r="Q859" t="str">
        <f t="shared" si="54"/>
        <v>Valid</v>
      </c>
    </row>
    <row r="860" spans="1:17" x14ac:dyDescent="0.3">
      <c r="A860" t="s">
        <v>3347</v>
      </c>
      <c r="B860" t="s">
        <v>3348</v>
      </c>
      <c r="C860" t="s">
        <v>46</v>
      </c>
      <c r="D860" t="s">
        <v>67</v>
      </c>
      <c r="E860" t="s">
        <v>26</v>
      </c>
      <c r="F860" t="s">
        <v>18</v>
      </c>
      <c r="G860" s="1">
        <v>43573</v>
      </c>
      <c r="H860" s="1">
        <v>43618</v>
      </c>
      <c r="I860" t="s">
        <v>3349</v>
      </c>
      <c r="J860" t="s">
        <v>1930</v>
      </c>
      <c r="K860" t="s">
        <v>29</v>
      </c>
      <c r="L860" t="s">
        <v>30</v>
      </c>
      <c r="M860" t="s">
        <v>22</v>
      </c>
      <c r="N860" t="str">
        <f t="shared" si="52"/>
        <v>Clean</v>
      </c>
      <c r="O860" t="str">
        <f t="shared" si="55"/>
        <v/>
      </c>
      <c r="P860" t="str">
        <f t="shared" si="53"/>
        <v>Clean</v>
      </c>
      <c r="Q860" t="str">
        <f t="shared" si="54"/>
        <v>Valid</v>
      </c>
    </row>
    <row r="861" spans="1:17" x14ac:dyDescent="0.3">
      <c r="A861" t="s">
        <v>3350</v>
      </c>
      <c r="B861" t="s">
        <v>3351</v>
      </c>
      <c r="C861" t="s">
        <v>33</v>
      </c>
      <c r="D861" t="s">
        <v>25</v>
      </c>
      <c r="E861" t="s">
        <v>26</v>
      </c>
      <c r="F861" t="s">
        <v>18</v>
      </c>
      <c r="G861" s="1">
        <v>45493</v>
      </c>
      <c r="H861" s="1">
        <v>45798</v>
      </c>
      <c r="I861" t="s">
        <v>3352</v>
      </c>
      <c r="J861" t="s">
        <v>3353</v>
      </c>
      <c r="K861" t="s">
        <v>90</v>
      </c>
      <c r="L861" t="s">
        <v>60</v>
      </c>
      <c r="M861" t="s">
        <v>22</v>
      </c>
      <c r="N861" t="str">
        <f t="shared" si="52"/>
        <v>Clean</v>
      </c>
      <c r="O861" t="str">
        <f t="shared" si="55"/>
        <v/>
      </c>
      <c r="P861" t="str">
        <f t="shared" si="53"/>
        <v>Clean</v>
      </c>
      <c r="Q861" t="str">
        <f t="shared" si="54"/>
        <v>Valid</v>
      </c>
    </row>
    <row r="862" spans="1:17" x14ac:dyDescent="0.3">
      <c r="A862" t="s">
        <v>3354</v>
      </c>
      <c r="B862" t="s">
        <v>3355</v>
      </c>
      <c r="C862" t="s">
        <v>40</v>
      </c>
      <c r="D862" t="s">
        <v>67</v>
      </c>
      <c r="E862" t="s">
        <v>26</v>
      </c>
      <c r="F862" t="s">
        <v>18</v>
      </c>
      <c r="G862" s="1">
        <v>45304</v>
      </c>
      <c r="H862" s="1">
        <v>45423</v>
      </c>
      <c r="I862" t="s">
        <v>3356</v>
      </c>
      <c r="J862" t="s">
        <v>3357</v>
      </c>
      <c r="K862" t="s">
        <v>29</v>
      </c>
      <c r="L862" t="s">
        <v>30</v>
      </c>
      <c r="M862" t="s">
        <v>22</v>
      </c>
      <c r="N862" t="str">
        <f t="shared" si="52"/>
        <v>Clean</v>
      </c>
      <c r="O862" t="str">
        <f t="shared" si="55"/>
        <v/>
      </c>
      <c r="P862" t="str">
        <f t="shared" si="53"/>
        <v>Clean</v>
      </c>
      <c r="Q862" t="str">
        <f t="shared" si="54"/>
        <v>Valid</v>
      </c>
    </row>
    <row r="863" spans="1:17" x14ac:dyDescent="0.3">
      <c r="A863" t="s">
        <v>3358</v>
      </c>
      <c r="B863" t="s">
        <v>3359</v>
      </c>
      <c r="C863" t="s">
        <v>46</v>
      </c>
      <c r="D863" t="s">
        <v>51</v>
      </c>
      <c r="E863" t="s">
        <v>52</v>
      </c>
      <c r="F863" t="s">
        <v>18</v>
      </c>
      <c r="G863" s="1">
        <v>43754</v>
      </c>
      <c r="H863" s="1">
        <v>43909</v>
      </c>
      <c r="I863" t="s">
        <v>3360</v>
      </c>
      <c r="J863" t="s">
        <v>3361</v>
      </c>
      <c r="K863" t="s">
        <v>90</v>
      </c>
      <c r="L863" t="s">
        <v>60</v>
      </c>
      <c r="M863" t="s">
        <v>22</v>
      </c>
      <c r="N863" t="str">
        <f t="shared" si="52"/>
        <v>Clean</v>
      </c>
      <c r="O863" t="str">
        <f t="shared" si="55"/>
        <v/>
      </c>
      <c r="P863" t="str">
        <f t="shared" si="53"/>
        <v>Clean</v>
      </c>
      <c r="Q863" t="str">
        <f t="shared" si="54"/>
        <v>Valid</v>
      </c>
    </row>
    <row r="864" spans="1:17" x14ac:dyDescent="0.3">
      <c r="A864" t="s">
        <v>3362</v>
      </c>
      <c r="B864" t="s">
        <v>3363</v>
      </c>
      <c r="C864" t="s">
        <v>46</v>
      </c>
      <c r="D864" t="s">
        <v>67</v>
      </c>
      <c r="E864" t="s">
        <v>26</v>
      </c>
      <c r="F864" t="s">
        <v>151</v>
      </c>
      <c r="G864" s="1">
        <v>43736</v>
      </c>
      <c r="H864" s="1">
        <v>44038</v>
      </c>
      <c r="I864" t="s">
        <v>3364</v>
      </c>
      <c r="J864" t="s">
        <v>3365</v>
      </c>
      <c r="K864" t="s">
        <v>90</v>
      </c>
      <c r="L864" t="s">
        <v>30</v>
      </c>
      <c r="M864" t="s">
        <v>22</v>
      </c>
      <c r="N864" t="str">
        <f t="shared" si="52"/>
        <v>Clean</v>
      </c>
      <c r="O864" t="str">
        <f t="shared" si="55"/>
        <v/>
      </c>
      <c r="P864" t="str">
        <f t="shared" si="53"/>
        <v>Clean</v>
      </c>
      <c r="Q864" t="str">
        <f t="shared" si="54"/>
        <v>Valid</v>
      </c>
    </row>
    <row r="865" spans="1:17" x14ac:dyDescent="0.3">
      <c r="A865" t="s">
        <v>3366</v>
      </c>
      <c r="B865" t="s">
        <v>3367</v>
      </c>
      <c r="C865" t="s">
        <v>40</v>
      </c>
      <c r="D865" t="s">
        <v>41</v>
      </c>
      <c r="E865" t="s">
        <v>17</v>
      </c>
      <c r="F865" t="s">
        <v>18</v>
      </c>
      <c r="G865" s="1">
        <v>44204</v>
      </c>
      <c r="H865" s="1">
        <v>44245</v>
      </c>
      <c r="I865" t="s">
        <v>3368</v>
      </c>
      <c r="J865" t="s">
        <v>3369</v>
      </c>
      <c r="K865" t="s">
        <v>37</v>
      </c>
      <c r="L865" t="s">
        <v>116</v>
      </c>
      <c r="M865" t="s">
        <v>22</v>
      </c>
      <c r="N865" t="str">
        <f t="shared" si="52"/>
        <v>Clean</v>
      </c>
      <c r="O865" t="str">
        <f t="shared" si="55"/>
        <v/>
      </c>
      <c r="P865" t="str">
        <f t="shared" si="53"/>
        <v>Clean</v>
      </c>
      <c r="Q865" t="str">
        <f t="shared" si="54"/>
        <v>Valid</v>
      </c>
    </row>
    <row r="866" spans="1:17" x14ac:dyDescent="0.3">
      <c r="A866" t="s">
        <v>3370</v>
      </c>
      <c r="B866" t="s">
        <v>3371</v>
      </c>
      <c r="C866" t="s">
        <v>15</v>
      </c>
      <c r="D866" t="s">
        <v>25</v>
      </c>
      <c r="E866" t="s">
        <v>26</v>
      </c>
      <c r="F866" t="s">
        <v>18</v>
      </c>
      <c r="G866" s="1">
        <v>45131</v>
      </c>
      <c r="H866" s="1">
        <v>45242</v>
      </c>
      <c r="I866" t="s">
        <v>3372</v>
      </c>
      <c r="J866" t="s">
        <v>3373</v>
      </c>
      <c r="K866" t="s">
        <v>29</v>
      </c>
      <c r="L866" t="s">
        <v>55</v>
      </c>
      <c r="M866" t="s">
        <v>22</v>
      </c>
      <c r="N866" t="str">
        <f t="shared" si="52"/>
        <v>Clean</v>
      </c>
      <c r="O866" t="str">
        <f t="shared" si="55"/>
        <v/>
      </c>
      <c r="P866" t="str">
        <f t="shared" si="53"/>
        <v>Clean</v>
      </c>
      <c r="Q866" t="str">
        <f t="shared" si="54"/>
        <v>Valid</v>
      </c>
    </row>
    <row r="867" spans="1:17" x14ac:dyDescent="0.3">
      <c r="A867" t="s">
        <v>3374</v>
      </c>
      <c r="B867" t="s">
        <v>3375</v>
      </c>
      <c r="C867" t="s">
        <v>15</v>
      </c>
      <c r="D867" t="s">
        <v>16</v>
      </c>
      <c r="E867" t="s">
        <v>17</v>
      </c>
      <c r="F867" t="s">
        <v>18</v>
      </c>
      <c r="G867" s="1">
        <v>45440</v>
      </c>
      <c r="H867" s="1">
        <v>45749</v>
      </c>
      <c r="I867" t="s">
        <v>3376</v>
      </c>
      <c r="J867" t="s">
        <v>3377</v>
      </c>
      <c r="K867" t="s">
        <v>37</v>
      </c>
      <c r="L867" t="s">
        <v>30</v>
      </c>
      <c r="M867" t="s">
        <v>22</v>
      </c>
      <c r="N867" t="str">
        <f t="shared" si="52"/>
        <v>Clean</v>
      </c>
      <c r="O867" t="str">
        <f t="shared" si="55"/>
        <v/>
      </c>
      <c r="P867" t="str">
        <f t="shared" si="53"/>
        <v>Clean</v>
      </c>
      <c r="Q867" t="str">
        <f t="shared" si="54"/>
        <v>Valid</v>
      </c>
    </row>
    <row r="868" spans="1:17" x14ac:dyDescent="0.3">
      <c r="A868" t="s">
        <v>3378</v>
      </c>
      <c r="B868" t="s">
        <v>3379</v>
      </c>
      <c r="C868" t="s">
        <v>46</v>
      </c>
      <c r="D868" t="s">
        <v>77</v>
      </c>
      <c r="E868" t="s">
        <v>52</v>
      </c>
      <c r="F868" t="s">
        <v>18</v>
      </c>
      <c r="G868" s="1">
        <v>45369</v>
      </c>
      <c r="H868" s="1">
        <v>45707</v>
      </c>
      <c r="I868" t="s">
        <v>3380</v>
      </c>
      <c r="J868" t="s">
        <v>3381</v>
      </c>
      <c r="K868" t="s">
        <v>29</v>
      </c>
      <c r="L868" t="s">
        <v>116</v>
      </c>
      <c r="M868" t="s">
        <v>22</v>
      </c>
      <c r="N868" t="str">
        <f t="shared" si="52"/>
        <v>Clean</v>
      </c>
      <c r="O868" t="str">
        <f t="shared" si="55"/>
        <v/>
      </c>
      <c r="P868" t="str">
        <f t="shared" si="53"/>
        <v>Clean</v>
      </c>
      <c r="Q868" t="str">
        <f t="shared" si="54"/>
        <v>Valid</v>
      </c>
    </row>
    <row r="869" spans="1:17" x14ac:dyDescent="0.3">
      <c r="A869" t="s">
        <v>3382</v>
      </c>
      <c r="B869" t="s">
        <v>3383</v>
      </c>
      <c r="C869" t="s">
        <v>181</v>
      </c>
      <c r="D869" t="s">
        <v>67</v>
      </c>
      <c r="E869" t="s">
        <v>26</v>
      </c>
      <c r="F869" t="s">
        <v>160</v>
      </c>
      <c r="G869" s="1">
        <v>43842</v>
      </c>
      <c r="H869" s="1">
        <v>44138</v>
      </c>
      <c r="I869" t="s">
        <v>3384</v>
      </c>
      <c r="J869" t="s">
        <v>3385</v>
      </c>
      <c r="K869" t="s">
        <v>29</v>
      </c>
      <c r="L869" t="s">
        <v>60</v>
      </c>
      <c r="M869" t="s">
        <v>22</v>
      </c>
      <c r="N869" t="str">
        <f t="shared" si="52"/>
        <v>Clean</v>
      </c>
      <c r="O869" t="str">
        <f t="shared" si="55"/>
        <v/>
      </c>
      <c r="P869" t="str">
        <f t="shared" si="53"/>
        <v>Clean</v>
      </c>
      <c r="Q869" t="str">
        <f t="shared" si="54"/>
        <v>Valid</v>
      </c>
    </row>
    <row r="870" spans="1:17" x14ac:dyDescent="0.3">
      <c r="A870" t="s">
        <v>3386</v>
      </c>
      <c r="B870" t="s">
        <v>3387</v>
      </c>
      <c r="C870" t="s">
        <v>40</v>
      </c>
      <c r="D870" t="s">
        <v>67</v>
      </c>
      <c r="E870" t="s">
        <v>26</v>
      </c>
      <c r="F870" t="s">
        <v>18</v>
      </c>
      <c r="G870" s="1">
        <v>45354</v>
      </c>
      <c r="H870" s="1">
        <v>45680</v>
      </c>
      <c r="I870" t="s">
        <v>3388</v>
      </c>
      <c r="J870" t="s">
        <v>3389</v>
      </c>
      <c r="K870" t="s">
        <v>29</v>
      </c>
      <c r="M870" t="s">
        <v>3735</v>
      </c>
      <c r="N870" t="str">
        <f t="shared" si="52"/>
        <v>Flagged</v>
      </c>
      <c r="O870" t="str">
        <f t="shared" si="55"/>
        <v>Missing Verified_By</v>
      </c>
      <c r="P870" t="str">
        <f t="shared" si="53"/>
        <v>Flagged for Review</v>
      </c>
      <c r="Q870" t="str">
        <f t="shared" si="54"/>
        <v>Valid</v>
      </c>
    </row>
    <row r="871" spans="1:17" x14ac:dyDescent="0.3">
      <c r="A871" t="s">
        <v>3390</v>
      </c>
      <c r="B871" t="s">
        <v>3391</v>
      </c>
      <c r="C871" t="s">
        <v>76</v>
      </c>
      <c r="D871" t="s">
        <v>34</v>
      </c>
      <c r="E871" t="s">
        <v>26</v>
      </c>
      <c r="F871" t="s">
        <v>160</v>
      </c>
      <c r="G871" s="1">
        <v>45028</v>
      </c>
      <c r="H871" s="1">
        <v>45068</v>
      </c>
      <c r="I871" t="s">
        <v>3392</v>
      </c>
      <c r="J871" t="s">
        <v>3393</v>
      </c>
      <c r="K871" t="s">
        <v>29</v>
      </c>
      <c r="L871" t="s">
        <v>30</v>
      </c>
      <c r="M871" t="s">
        <v>22</v>
      </c>
      <c r="N871" t="str">
        <f t="shared" si="52"/>
        <v>Clean</v>
      </c>
      <c r="O871" t="str">
        <f t="shared" si="55"/>
        <v/>
      </c>
      <c r="P871" t="str">
        <f t="shared" si="53"/>
        <v>Clean</v>
      </c>
      <c r="Q871" t="str">
        <f t="shared" si="54"/>
        <v>Valid</v>
      </c>
    </row>
    <row r="872" spans="1:17" x14ac:dyDescent="0.3">
      <c r="A872" t="s">
        <v>3394</v>
      </c>
      <c r="B872" t="s">
        <v>3395</v>
      </c>
      <c r="C872" t="s">
        <v>76</v>
      </c>
      <c r="D872" t="s">
        <v>16</v>
      </c>
      <c r="E872" t="s">
        <v>17</v>
      </c>
      <c r="F872" t="s">
        <v>160</v>
      </c>
      <c r="G872" s="1">
        <v>43502</v>
      </c>
      <c r="H872" s="1">
        <v>43744</v>
      </c>
      <c r="I872" t="s">
        <v>3396</v>
      </c>
      <c r="J872" t="s">
        <v>3397</v>
      </c>
      <c r="K872" t="s">
        <v>90</v>
      </c>
      <c r="L872" t="s">
        <v>55</v>
      </c>
      <c r="M872" t="s">
        <v>22</v>
      </c>
      <c r="N872" t="str">
        <f t="shared" si="52"/>
        <v>Clean</v>
      </c>
      <c r="O872" t="str">
        <f t="shared" si="55"/>
        <v/>
      </c>
      <c r="P872" t="str">
        <f t="shared" si="53"/>
        <v>Clean</v>
      </c>
      <c r="Q872" t="str">
        <f t="shared" si="54"/>
        <v>Valid</v>
      </c>
    </row>
    <row r="873" spans="1:17" x14ac:dyDescent="0.3">
      <c r="A873" t="s">
        <v>3398</v>
      </c>
      <c r="B873" t="s">
        <v>3399</v>
      </c>
      <c r="C873" t="s">
        <v>76</v>
      </c>
      <c r="D873" t="s">
        <v>25</v>
      </c>
      <c r="E873" t="s">
        <v>26</v>
      </c>
      <c r="F873" t="s">
        <v>18</v>
      </c>
      <c r="G873" s="1">
        <v>45535</v>
      </c>
      <c r="H873" s="1">
        <v>45843</v>
      </c>
      <c r="I873" t="s">
        <v>3400</v>
      </c>
      <c r="J873" t="s">
        <v>3401</v>
      </c>
      <c r="K873" t="s">
        <v>21</v>
      </c>
      <c r="L873" t="s">
        <v>55</v>
      </c>
      <c r="M873" t="s">
        <v>22</v>
      </c>
      <c r="N873" t="str">
        <f t="shared" si="52"/>
        <v>Clean</v>
      </c>
      <c r="O873" t="str">
        <f t="shared" si="55"/>
        <v/>
      </c>
      <c r="P873" t="str">
        <f t="shared" si="53"/>
        <v>Clean</v>
      </c>
      <c r="Q873" t="str">
        <f t="shared" si="54"/>
        <v>Valid</v>
      </c>
    </row>
    <row r="874" spans="1:17" x14ac:dyDescent="0.3">
      <c r="A874" t="s">
        <v>3402</v>
      </c>
      <c r="B874" t="s">
        <v>3403</v>
      </c>
      <c r="C874" t="s">
        <v>46</v>
      </c>
      <c r="D874" t="s">
        <v>25</v>
      </c>
      <c r="E874" t="s">
        <v>26</v>
      </c>
      <c r="F874" t="s">
        <v>18</v>
      </c>
      <c r="G874" s="1">
        <v>45092</v>
      </c>
      <c r="H874" s="1">
        <v>45385</v>
      </c>
      <c r="I874" t="s">
        <v>3404</v>
      </c>
      <c r="J874" t="s">
        <v>3405</v>
      </c>
      <c r="K874" t="s">
        <v>21</v>
      </c>
      <c r="L874" t="s">
        <v>91</v>
      </c>
      <c r="M874" t="s">
        <v>22</v>
      </c>
      <c r="N874" t="str">
        <f t="shared" si="52"/>
        <v>Clean</v>
      </c>
      <c r="O874" t="str">
        <f t="shared" si="55"/>
        <v/>
      </c>
      <c r="P874" t="str">
        <f t="shared" si="53"/>
        <v>Clean</v>
      </c>
      <c r="Q874" t="str">
        <f t="shared" si="54"/>
        <v>Valid</v>
      </c>
    </row>
    <row r="875" spans="1:17" x14ac:dyDescent="0.3">
      <c r="A875" t="s">
        <v>3407</v>
      </c>
      <c r="B875" t="s">
        <v>3408</v>
      </c>
      <c r="C875" t="s">
        <v>46</v>
      </c>
      <c r="D875" t="s">
        <v>41</v>
      </c>
      <c r="E875" t="s">
        <v>17</v>
      </c>
      <c r="F875" t="s">
        <v>151</v>
      </c>
      <c r="G875" s="1">
        <v>44702</v>
      </c>
      <c r="H875" s="1">
        <v>44705</v>
      </c>
      <c r="I875" t="s">
        <v>3409</v>
      </c>
      <c r="J875" t="s">
        <v>3410</v>
      </c>
      <c r="K875" t="s">
        <v>37</v>
      </c>
      <c r="L875" t="s">
        <v>116</v>
      </c>
      <c r="M875" t="s">
        <v>22</v>
      </c>
      <c r="N875" t="str">
        <f t="shared" si="52"/>
        <v>Clean</v>
      </c>
      <c r="O875" t="str">
        <f t="shared" si="55"/>
        <v/>
      </c>
      <c r="P875" t="str">
        <f t="shared" si="53"/>
        <v>Clean</v>
      </c>
      <c r="Q875" t="str">
        <f t="shared" si="54"/>
        <v>Valid</v>
      </c>
    </row>
    <row r="876" spans="1:17" x14ac:dyDescent="0.3">
      <c r="A876" t="s">
        <v>3411</v>
      </c>
      <c r="B876" t="s">
        <v>897</v>
      </c>
      <c r="C876" t="s">
        <v>40</v>
      </c>
      <c r="D876" t="s">
        <v>51</v>
      </c>
      <c r="E876" t="s">
        <v>52</v>
      </c>
      <c r="F876" t="s">
        <v>18</v>
      </c>
      <c r="G876" s="1">
        <v>45222</v>
      </c>
      <c r="H876" s="1">
        <v>45378</v>
      </c>
      <c r="I876" t="s">
        <v>3412</v>
      </c>
      <c r="J876" t="s">
        <v>3413</v>
      </c>
      <c r="K876" t="s">
        <v>90</v>
      </c>
      <c r="L876" t="s">
        <v>55</v>
      </c>
      <c r="M876" t="s">
        <v>22</v>
      </c>
      <c r="N876" t="str">
        <f t="shared" si="52"/>
        <v>Clean</v>
      </c>
      <c r="O876" t="str">
        <f t="shared" si="55"/>
        <v/>
      </c>
      <c r="P876" t="str">
        <f t="shared" si="53"/>
        <v>Clean</v>
      </c>
      <c r="Q876" t="str">
        <f t="shared" si="54"/>
        <v>Valid</v>
      </c>
    </row>
    <row r="877" spans="1:17" x14ac:dyDescent="0.3">
      <c r="A877" t="s">
        <v>3414</v>
      </c>
      <c r="B877" t="s">
        <v>3415</v>
      </c>
      <c r="C877" t="s">
        <v>76</v>
      </c>
      <c r="D877" t="s">
        <v>41</v>
      </c>
      <c r="E877" t="s">
        <v>17</v>
      </c>
      <c r="F877" t="s">
        <v>160</v>
      </c>
      <c r="G877" s="1">
        <v>45406</v>
      </c>
      <c r="H877" s="1">
        <v>45671</v>
      </c>
      <c r="I877" t="s">
        <v>3416</v>
      </c>
      <c r="J877" t="s">
        <v>1729</v>
      </c>
      <c r="K877" t="s">
        <v>37</v>
      </c>
      <c r="L877" t="s">
        <v>116</v>
      </c>
      <c r="M877" t="s">
        <v>22</v>
      </c>
      <c r="N877" t="str">
        <f t="shared" si="52"/>
        <v>Clean</v>
      </c>
      <c r="O877" t="str">
        <f t="shared" si="55"/>
        <v/>
      </c>
      <c r="P877" t="str">
        <f t="shared" si="53"/>
        <v>Clean</v>
      </c>
      <c r="Q877" t="str">
        <f t="shared" si="54"/>
        <v>Valid</v>
      </c>
    </row>
    <row r="878" spans="1:17" x14ac:dyDescent="0.3">
      <c r="A878" t="s">
        <v>3417</v>
      </c>
      <c r="B878" t="s">
        <v>3418</v>
      </c>
      <c r="C878" t="s">
        <v>15</v>
      </c>
      <c r="D878" t="s">
        <v>41</v>
      </c>
      <c r="E878" t="s">
        <v>17</v>
      </c>
      <c r="F878" t="s">
        <v>18</v>
      </c>
      <c r="G878" s="1">
        <v>44538</v>
      </c>
      <c r="H878" s="1">
        <v>44620</v>
      </c>
      <c r="I878" t="s">
        <v>3419</v>
      </c>
      <c r="J878" t="s">
        <v>3420</v>
      </c>
      <c r="K878" t="s">
        <v>90</v>
      </c>
      <c r="L878" t="s">
        <v>60</v>
      </c>
      <c r="M878" t="s">
        <v>22</v>
      </c>
      <c r="N878" t="str">
        <f t="shared" si="52"/>
        <v>Clean</v>
      </c>
      <c r="O878" t="str">
        <f t="shared" si="55"/>
        <v/>
      </c>
      <c r="P878" t="str">
        <f t="shared" si="53"/>
        <v>Clean</v>
      </c>
      <c r="Q878" t="str">
        <f t="shared" si="54"/>
        <v>Valid</v>
      </c>
    </row>
    <row r="879" spans="1:17" x14ac:dyDescent="0.3">
      <c r="A879" t="s">
        <v>3421</v>
      </c>
      <c r="B879" t="s">
        <v>3422</v>
      </c>
      <c r="C879" t="s">
        <v>76</v>
      </c>
      <c r="D879" t="s">
        <v>67</v>
      </c>
      <c r="E879" t="s">
        <v>26</v>
      </c>
      <c r="F879" t="s">
        <v>18</v>
      </c>
      <c r="G879" s="1">
        <v>44270</v>
      </c>
      <c r="H879" s="1">
        <v>45435</v>
      </c>
      <c r="I879" t="s">
        <v>3423</v>
      </c>
      <c r="J879" t="s">
        <v>3424</v>
      </c>
      <c r="K879" t="s">
        <v>29</v>
      </c>
      <c r="L879" t="s">
        <v>30</v>
      </c>
      <c r="M879" t="s">
        <v>22</v>
      </c>
      <c r="N879" t="str">
        <f t="shared" si="52"/>
        <v>Clean</v>
      </c>
      <c r="O879" t="str">
        <f t="shared" si="55"/>
        <v/>
      </c>
      <c r="P879" t="str">
        <f t="shared" si="53"/>
        <v>Clean</v>
      </c>
      <c r="Q879" t="str">
        <f t="shared" si="54"/>
        <v>Valid</v>
      </c>
    </row>
    <row r="880" spans="1:17" x14ac:dyDescent="0.3">
      <c r="A880" t="s">
        <v>3425</v>
      </c>
      <c r="B880" t="s">
        <v>3426</v>
      </c>
      <c r="C880" t="s">
        <v>33</v>
      </c>
      <c r="D880" t="s">
        <v>77</v>
      </c>
      <c r="E880" t="s">
        <v>52</v>
      </c>
      <c r="F880" t="s">
        <v>160</v>
      </c>
      <c r="G880" s="1">
        <v>44591</v>
      </c>
      <c r="H880" s="1">
        <v>44842</v>
      </c>
      <c r="I880" t="s">
        <v>3427</v>
      </c>
      <c r="J880" t="s">
        <v>3428</v>
      </c>
      <c r="K880" t="s">
        <v>29</v>
      </c>
      <c r="L880" t="s">
        <v>30</v>
      </c>
      <c r="M880" t="s">
        <v>22</v>
      </c>
      <c r="N880" t="str">
        <f t="shared" si="52"/>
        <v>Clean</v>
      </c>
      <c r="O880" t="str">
        <f t="shared" si="55"/>
        <v/>
      </c>
      <c r="P880" t="str">
        <f t="shared" si="53"/>
        <v>Clean</v>
      </c>
      <c r="Q880" t="str">
        <f t="shared" si="54"/>
        <v>Valid</v>
      </c>
    </row>
    <row r="881" spans="1:17" x14ac:dyDescent="0.3">
      <c r="A881" t="s">
        <v>3429</v>
      </c>
      <c r="B881" t="s">
        <v>3430</v>
      </c>
      <c r="C881" t="s">
        <v>15</v>
      </c>
      <c r="D881" t="s">
        <v>25</v>
      </c>
      <c r="E881" t="s">
        <v>26</v>
      </c>
      <c r="F881" t="s">
        <v>160</v>
      </c>
      <c r="G881" s="1">
        <v>44713</v>
      </c>
      <c r="H881" s="1">
        <v>44973</v>
      </c>
      <c r="I881" t="s">
        <v>3431</v>
      </c>
      <c r="J881" t="s">
        <v>3432</v>
      </c>
      <c r="K881" t="s">
        <v>21</v>
      </c>
      <c r="L881" t="s">
        <v>116</v>
      </c>
      <c r="M881" t="s">
        <v>22</v>
      </c>
      <c r="N881" t="str">
        <f t="shared" si="52"/>
        <v>Clean</v>
      </c>
      <c r="O881" t="str">
        <f t="shared" si="55"/>
        <v/>
      </c>
      <c r="P881" t="str">
        <f t="shared" si="53"/>
        <v>Clean</v>
      </c>
      <c r="Q881" t="str">
        <f t="shared" si="54"/>
        <v>Valid</v>
      </c>
    </row>
    <row r="882" spans="1:17" x14ac:dyDescent="0.3">
      <c r="A882" t="s">
        <v>3433</v>
      </c>
      <c r="B882" t="s">
        <v>3434</v>
      </c>
      <c r="C882" t="s">
        <v>76</v>
      </c>
      <c r="D882" t="s">
        <v>34</v>
      </c>
      <c r="E882" t="s">
        <v>26</v>
      </c>
      <c r="F882" t="s">
        <v>18</v>
      </c>
      <c r="G882" s="1">
        <v>43563</v>
      </c>
      <c r="H882" s="1">
        <v>43798</v>
      </c>
      <c r="I882" t="s">
        <v>3435</v>
      </c>
      <c r="J882" t="s">
        <v>3436</v>
      </c>
      <c r="K882" t="s">
        <v>90</v>
      </c>
      <c r="L882" t="s">
        <v>60</v>
      </c>
      <c r="M882" t="s">
        <v>22</v>
      </c>
      <c r="N882" t="str">
        <f t="shared" si="52"/>
        <v>Clean</v>
      </c>
      <c r="O882" t="str">
        <f t="shared" si="55"/>
        <v/>
      </c>
      <c r="P882" t="str">
        <f t="shared" si="53"/>
        <v>Clean</v>
      </c>
      <c r="Q882" t="str">
        <f t="shared" si="54"/>
        <v>Valid</v>
      </c>
    </row>
    <row r="883" spans="1:17" x14ac:dyDescent="0.3">
      <c r="A883" t="s">
        <v>3437</v>
      </c>
      <c r="B883" t="s">
        <v>3438</v>
      </c>
      <c r="C883" t="s">
        <v>40</v>
      </c>
      <c r="D883" t="s">
        <v>34</v>
      </c>
      <c r="E883" t="s">
        <v>26</v>
      </c>
      <c r="F883" t="s">
        <v>18</v>
      </c>
      <c r="G883" s="1">
        <v>44141</v>
      </c>
      <c r="H883" s="1">
        <v>44451</v>
      </c>
      <c r="I883" t="s">
        <v>3439</v>
      </c>
      <c r="J883" t="s">
        <v>3440</v>
      </c>
      <c r="K883" t="s">
        <v>90</v>
      </c>
      <c r="L883" t="s">
        <v>60</v>
      </c>
      <c r="M883" t="s">
        <v>22</v>
      </c>
      <c r="N883" t="str">
        <f t="shared" si="52"/>
        <v>Clean</v>
      </c>
      <c r="O883" t="str">
        <f t="shared" si="55"/>
        <v/>
      </c>
      <c r="P883" t="str">
        <f t="shared" si="53"/>
        <v>Clean</v>
      </c>
      <c r="Q883" t="str">
        <f t="shared" si="54"/>
        <v>Valid</v>
      </c>
    </row>
    <row r="884" spans="1:17" x14ac:dyDescent="0.3">
      <c r="A884" t="s">
        <v>3441</v>
      </c>
      <c r="B884" t="s">
        <v>3442</v>
      </c>
      <c r="C884" t="s">
        <v>46</v>
      </c>
      <c r="D884" t="s">
        <v>51</v>
      </c>
      <c r="E884" t="s">
        <v>52</v>
      </c>
      <c r="F884" t="s">
        <v>18</v>
      </c>
      <c r="G884" s="1">
        <v>45507</v>
      </c>
      <c r="H884" s="1">
        <v>45827</v>
      </c>
      <c r="I884" t="s">
        <v>3443</v>
      </c>
      <c r="J884" t="s">
        <v>3444</v>
      </c>
      <c r="K884" t="s">
        <v>37</v>
      </c>
      <c r="L884" t="s">
        <v>116</v>
      </c>
      <c r="M884" t="s">
        <v>22</v>
      </c>
      <c r="N884" t="str">
        <f t="shared" si="52"/>
        <v>Clean</v>
      </c>
      <c r="O884" t="str">
        <f t="shared" si="55"/>
        <v/>
      </c>
      <c r="P884" t="str">
        <f t="shared" si="53"/>
        <v>Clean</v>
      </c>
      <c r="Q884" t="str">
        <f t="shared" si="54"/>
        <v>Valid</v>
      </c>
    </row>
    <row r="885" spans="1:17" x14ac:dyDescent="0.3">
      <c r="A885" t="s">
        <v>3445</v>
      </c>
      <c r="B885" t="s">
        <v>3446</v>
      </c>
      <c r="C885" t="s">
        <v>15</v>
      </c>
      <c r="D885" t="s">
        <v>16</v>
      </c>
      <c r="E885" t="s">
        <v>17</v>
      </c>
      <c r="F885" t="s">
        <v>18</v>
      </c>
      <c r="G885" s="1">
        <v>44102</v>
      </c>
      <c r="H885" s="1">
        <v>44156</v>
      </c>
      <c r="I885" t="s">
        <v>736</v>
      </c>
      <c r="J885" t="s">
        <v>3447</v>
      </c>
      <c r="K885" t="s">
        <v>21</v>
      </c>
      <c r="L885" t="s">
        <v>116</v>
      </c>
      <c r="M885" t="s">
        <v>3735</v>
      </c>
      <c r="N885" t="str">
        <f t="shared" si="52"/>
        <v>Flagged</v>
      </c>
      <c r="O885" t="str">
        <f t="shared" si="55"/>
        <v>Invalid Email Format</v>
      </c>
      <c r="P885" t="str">
        <f t="shared" si="53"/>
        <v>Flagged for Review</v>
      </c>
      <c r="Q885" t="str">
        <f t="shared" si="54"/>
        <v>Invalid</v>
      </c>
    </row>
    <row r="886" spans="1:17" x14ac:dyDescent="0.3">
      <c r="A886" t="s">
        <v>3448</v>
      </c>
      <c r="B886" t="s">
        <v>3449</v>
      </c>
      <c r="C886" t="s">
        <v>76</v>
      </c>
      <c r="D886" t="s">
        <v>16</v>
      </c>
      <c r="E886" t="s">
        <v>17</v>
      </c>
      <c r="F886" t="s">
        <v>18</v>
      </c>
      <c r="G886" s="1">
        <v>44435</v>
      </c>
      <c r="H886" s="1">
        <v>44472</v>
      </c>
      <c r="I886" t="s">
        <v>3450</v>
      </c>
      <c r="J886" t="s">
        <v>3451</v>
      </c>
      <c r="K886" t="s">
        <v>90</v>
      </c>
      <c r="M886" t="s">
        <v>3735</v>
      </c>
      <c r="N886" t="str">
        <f t="shared" si="52"/>
        <v>Flagged</v>
      </c>
      <c r="O886" t="str">
        <f t="shared" si="55"/>
        <v>Missing Verified_By</v>
      </c>
      <c r="P886" t="str">
        <f t="shared" si="53"/>
        <v>Flagged for Review</v>
      </c>
      <c r="Q886" t="str">
        <f t="shared" si="54"/>
        <v>Valid</v>
      </c>
    </row>
    <row r="887" spans="1:17" x14ac:dyDescent="0.3">
      <c r="A887" t="s">
        <v>3452</v>
      </c>
      <c r="B887" t="s">
        <v>3453</v>
      </c>
      <c r="C887" t="s">
        <v>181</v>
      </c>
      <c r="D887" t="s">
        <v>34</v>
      </c>
      <c r="E887" t="s">
        <v>26</v>
      </c>
      <c r="F887" t="s">
        <v>18</v>
      </c>
      <c r="G887" s="1">
        <v>44795</v>
      </c>
      <c r="H887" s="1">
        <v>45042</v>
      </c>
      <c r="I887" t="s">
        <v>3454</v>
      </c>
      <c r="J887" t="s">
        <v>3455</v>
      </c>
      <c r="K887" t="s">
        <v>90</v>
      </c>
      <c r="L887" t="s">
        <v>91</v>
      </c>
      <c r="M887" t="s">
        <v>22</v>
      </c>
      <c r="N887" t="str">
        <f t="shared" si="52"/>
        <v>Clean</v>
      </c>
      <c r="O887" t="str">
        <f t="shared" si="55"/>
        <v/>
      </c>
      <c r="P887" t="str">
        <f t="shared" si="53"/>
        <v>Clean</v>
      </c>
      <c r="Q887" t="str">
        <f t="shared" si="54"/>
        <v>Valid</v>
      </c>
    </row>
    <row r="888" spans="1:17" x14ac:dyDescent="0.3">
      <c r="A888" t="s">
        <v>3456</v>
      </c>
      <c r="B888" t="s">
        <v>3457</v>
      </c>
      <c r="C888" t="s">
        <v>15</v>
      </c>
      <c r="D888" t="s">
        <v>16</v>
      </c>
      <c r="E888" t="s">
        <v>17</v>
      </c>
      <c r="F888" t="s">
        <v>151</v>
      </c>
      <c r="G888" s="1">
        <v>44299</v>
      </c>
      <c r="H888" s="1">
        <v>44510</v>
      </c>
      <c r="I888" t="s">
        <v>3458</v>
      </c>
      <c r="J888" t="s">
        <v>3459</v>
      </c>
      <c r="K888" t="s">
        <v>37</v>
      </c>
      <c r="L888" t="s">
        <v>116</v>
      </c>
      <c r="M888" t="s">
        <v>22</v>
      </c>
      <c r="N888" t="str">
        <f t="shared" si="52"/>
        <v>Clean</v>
      </c>
      <c r="O888" t="str">
        <f t="shared" si="55"/>
        <v/>
      </c>
      <c r="P888" t="str">
        <f t="shared" si="53"/>
        <v>Clean</v>
      </c>
      <c r="Q888" t="str">
        <f t="shared" si="54"/>
        <v>Valid</v>
      </c>
    </row>
    <row r="889" spans="1:17" x14ac:dyDescent="0.3">
      <c r="A889" t="s">
        <v>3460</v>
      </c>
      <c r="B889" t="s">
        <v>3461</v>
      </c>
      <c r="C889" t="s">
        <v>87</v>
      </c>
      <c r="D889" t="s">
        <v>67</v>
      </c>
      <c r="E889" t="s">
        <v>26</v>
      </c>
      <c r="F889" t="s">
        <v>151</v>
      </c>
      <c r="G889" s="1">
        <v>44696</v>
      </c>
      <c r="H889" s="1">
        <v>44836</v>
      </c>
      <c r="I889" t="s">
        <v>3462</v>
      </c>
      <c r="J889" t="s">
        <v>3463</v>
      </c>
      <c r="K889" t="s">
        <v>21</v>
      </c>
      <c r="L889" t="s">
        <v>91</v>
      </c>
      <c r="M889" t="s">
        <v>22</v>
      </c>
      <c r="N889" t="str">
        <f t="shared" si="52"/>
        <v>Clean</v>
      </c>
      <c r="O889" t="str">
        <f t="shared" si="55"/>
        <v/>
      </c>
      <c r="P889" t="str">
        <f t="shared" si="53"/>
        <v>Clean</v>
      </c>
      <c r="Q889" t="str">
        <f t="shared" si="54"/>
        <v>Valid</v>
      </c>
    </row>
    <row r="890" spans="1:17" x14ac:dyDescent="0.3">
      <c r="A890" t="s">
        <v>3464</v>
      </c>
      <c r="B890" t="s">
        <v>3731</v>
      </c>
      <c r="C890" t="s">
        <v>87</v>
      </c>
      <c r="D890" t="s">
        <v>67</v>
      </c>
      <c r="E890" t="s">
        <v>26</v>
      </c>
      <c r="F890" t="s">
        <v>18</v>
      </c>
      <c r="G890" s="1">
        <v>45092</v>
      </c>
      <c r="H890" s="1">
        <v>44283</v>
      </c>
      <c r="I890" t="s">
        <v>3466</v>
      </c>
      <c r="J890" t="s">
        <v>157</v>
      </c>
      <c r="K890" t="s">
        <v>90</v>
      </c>
      <c r="L890" t="s">
        <v>91</v>
      </c>
      <c r="M890" t="s">
        <v>22</v>
      </c>
      <c r="N890" t="str">
        <f t="shared" si="52"/>
        <v>Clean</v>
      </c>
      <c r="O890" t="str">
        <f t="shared" si="55"/>
        <v/>
      </c>
      <c r="P890" t="str">
        <f t="shared" si="53"/>
        <v>Clean</v>
      </c>
      <c r="Q890" t="str">
        <f t="shared" si="54"/>
        <v>Valid</v>
      </c>
    </row>
    <row r="891" spans="1:17" x14ac:dyDescent="0.3">
      <c r="A891" t="s">
        <v>3467</v>
      </c>
      <c r="B891" t="s">
        <v>3732</v>
      </c>
      <c r="C891" t="s">
        <v>40</v>
      </c>
      <c r="D891" t="s">
        <v>51</v>
      </c>
      <c r="E891" t="s">
        <v>52</v>
      </c>
      <c r="F891" t="s">
        <v>151</v>
      </c>
      <c r="G891" s="1">
        <v>44754</v>
      </c>
      <c r="H891" s="1">
        <v>44825</v>
      </c>
      <c r="I891" t="s">
        <v>3469</v>
      </c>
      <c r="J891" t="s">
        <v>3470</v>
      </c>
      <c r="K891" t="s">
        <v>90</v>
      </c>
      <c r="L891" t="s">
        <v>55</v>
      </c>
      <c r="M891" t="s">
        <v>22</v>
      </c>
      <c r="N891" t="str">
        <f t="shared" si="52"/>
        <v>Clean</v>
      </c>
      <c r="O891" t="str">
        <f t="shared" si="55"/>
        <v/>
      </c>
      <c r="P891" t="str">
        <f t="shared" si="53"/>
        <v>Clean</v>
      </c>
      <c r="Q891" t="str">
        <f t="shared" si="54"/>
        <v>Valid</v>
      </c>
    </row>
    <row r="892" spans="1:17" x14ac:dyDescent="0.3">
      <c r="A892" t="s">
        <v>3471</v>
      </c>
      <c r="B892" t="s">
        <v>3472</v>
      </c>
      <c r="C892" t="s">
        <v>76</v>
      </c>
      <c r="D892" t="s">
        <v>16</v>
      </c>
      <c r="E892" t="s">
        <v>17</v>
      </c>
      <c r="F892" t="s">
        <v>18</v>
      </c>
      <c r="G892" s="1">
        <v>44838</v>
      </c>
      <c r="H892" s="1">
        <v>45127</v>
      </c>
      <c r="I892" t="s">
        <v>3473</v>
      </c>
      <c r="J892" t="s">
        <v>3474</v>
      </c>
      <c r="K892" t="s">
        <v>37</v>
      </c>
      <c r="L892" t="s">
        <v>55</v>
      </c>
      <c r="M892" t="s">
        <v>22</v>
      </c>
      <c r="N892" t="str">
        <f t="shared" si="52"/>
        <v>Clean</v>
      </c>
      <c r="O892" t="str">
        <f t="shared" si="55"/>
        <v/>
      </c>
      <c r="P892" t="str">
        <f t="shared" si="53"/>
        <v>Clean</v>
      </c>
      <c r="Q892" t="str">
        <f t="shared" si="54"/>
        <v>Valid</v>
      </c>
    </row>
    <row r="893" spans="1:17" x14ac:dyDescent="0.3">
      <c r="A893" t="s">
        <v>3475</v>
      </c>
      <c r="B893" t="s">
        <v>3476</v>
      </c>
      <c r="C893" t="s">
        <v>33</v>
      </c>
      <c r="D893" t="s">
        <v>51</v>
      </c>
      <c r="E893" t="s">
        <v>52</v>
      </c>
      <c r="F893" t="s">
        <v>18</v>
      </c>
      <c r="G893" s="1">
        <v>44525</v>
      </c>
      <c r="H893" s="1">
        <v>44877</v>
      </c>
      <c r="I893" t="s">
        <v>3477</v>
      </c>
      <c r="J893" t="s">
        <v>3478</v>
      </c>
      <c r="K893" t="s">
        <v>90</v>
      </c>
      <c r="L893" t="s">
        <v>30</v>
      </c>
      <c r="M893" t="s">
        <v>22</v>
      </c>
      <c r="N893" t="str">
        <f t="shared" si="52"/>
        <v>Clean</v>
      </c>
      <c r="O893" t="str">
        <f t="shared" si="55"/>
        <v/>
      </c>
      <c r="P893" t="str">
        <f t="shared" si="53"/>
        <v>Clean</v>
      </c>
      <c r="Q893" t="str">
        <f t="shared" si="54"/>
        <v>Valid</v>
      </c>
    </row>
    <row r="894" spans="1:17" x14ac:dyDescent="0.3">
      <c r="A894" t="s">
        <v>3479</v>
      </c>
      <c r="B894" t="s">
        <v>3480</v>
      </c>
      <c r="C894" t="s">
        <v>76</v>
      </c>
      <c r="D894" t="s">
        <v>77</v>
      </c>
      <c r="E894" t="s">
        <v>52</v>
      </c>
      <c r="F894" t="s">
        <v>18</v>
      </c>
      <c r="G894" s="1">
        <v>45022</v>
      </c>
      <c r="H894" s="1">
        <v>45190</v>
      </c>
      <c r="I894" t="s">
        <v>3481</v>
      </c>
      <c r="J894" t="s">
        <v>3482</v>
      </c>
      <c r="K894" t="s">
        <v>21</v>
      </c>
      <c r="M894" t="s">
        <v>3735</v>
      </c>
      <c r="N894" t="str">
        <f t="shared" si="52"/>
        <v>Flagged</v>
      </c>
      <c r="O894" t="str">
        <f t="shared" si="55"/>
        <v>Missing Verified_By</v>
      </c>
      <c r="P894" t="str">
        <f t="shared" si="53"/>
        <v>Flagged for Review</v>
      </c>
      <c r="Q894" t="str">
        <f t="shared" si="54"/>
        <v>Valid</v>
      </c>
    </row>
    <row r="895" spans="1:17" x14ac:dyDescent="0.3">
      <c r="A895" t="s">
        <v>3483</v>
      </c>
      <c r="B895" t="s">
        <v>3484</v>
      </c>
      <c r="C895" t="s">
        <v>40</v>
      </c>
      <c r="D895" t="s">
        <v>25</v>
      </c>
      <c r="E895" t="s">
        <v>26</v>
      </c>
      <c r="F895" t="s">
        <v>18</v>
      </c>
      <c r="G895" s="1">
        <v>43581</v>
      </c>
      <c r="H895" s="1">
        <v>43744</v>
      </c>
      <c r="I895" t="s">
        <v>3485</v>
      </c>
      <c r="J895" t="s">
        <v>3486</v>
      </c>
      <c r="K895" t="s">
        <v>37</v>
      </c>
      <c r="L895" t="s">
        <v>55</v>
      </c>
      <c r="M895" t="s">
        <v>22</v>
      </c>
      <c r="N895" t="str">
        <f t="shared" si="52"/>
        <v>Clean</v>
      </c>
      <c r="O895" t="str">
        <f t="shared" si="55"/>
        <v/>
      </c>
      <c r="P895" t="str">
        <f t="shared" si="53"/>
        <v>Clean</v>
      </c>
      <c r="Q895" t="str">
        <f t="shared" si="54"/>
        <v>Valid</v>
      </c>
    </row>
    <row r="896" spans="1:17" x14ac:dyDescent="0.3">
      <c r="A896" t="s">
        <v>3488</v>
      </c>
      <c r="B896" t="s">
        <v>3489</v>
      </c>
      <c r="C896" t="s">
        <v>87</v>
      </c>
      <c r="D896" t="s">
        <v>25</v>
      </c>
      <c r="E896" t="s">
        <v>26</v>
      </c>
      <c r="F896" t="s">
        <v>18</v>
      </c>
      <c r="G896" s="1">
        <v>45459</v>
      </c>
      <c r="H896" s="1">
        <v>45795</v>
      </c>
      <c r="I896" t="s">
        <v>3490</v>
      </c>
      <c r="J896" t="s">
        <v>3491</v>
      </c>
      <c r="K896" t="s">
        <v>90</v>
      </c>
      <c r="L896" t="s">
        <v>55</v>
      </c>
      <c r="M896" t="s">
        <v>22</v>
      </c>
      <c r="N896" t="str">
        <f t="shared" si="52"/>
        <v>Clean</v>
      </c>
      <c r="O896" t="str">
        <f t="shared" si="55"/>
        <v/>
      </c>
      <c r="P896" t="str">
        <f t="shared" si="53"/>
        <v>Clean</v>
      </c>
      <c r="Q896" t="str">
        <f t="shared" si="54"/>
        <v>Valid</v>
      </c>
    </row>
    <row r="897" spans="1:17" x14ac:dyDescent="0.3">
      <c r="A897" t="s">
        <v>3492</v>
      </c>
      <c r="B897" t="s">
        <v>3493</v>
      </c>
      <c r="C897" t="s">
        <v>76</v>
      </c>
      <c r="D897" t="s">
        <v>25</v>
      </c>
      <c r="E897" t="s">
        <v>26</v>
      </c>
      <c r="F897" t="s">
        <v>18</v>
      </c>
      <c r="G897" s="1">
        <v>45364</v>
      </c>
      <c r="H897" s="1">
        <v>45710</v>
      </c>
      <c r="I897" t="s">
        <v>3494</v>
      </c>
      <c r="J897" t="s">
        <v>3495</v>
      </c>
      <c r="K897" t="s">
        <v>21</v>
      </c>
      <c r="L897" t="s">
        <v>91</v>
      </c>
      <c r="M897" t="s">
        <v>22</v>
      </c>
      <c r="N897" t="str">
        <f t="shared" si="52"/>
        <v>Clean</v>
      </c>
      <c r="O897" t="str">
        <f t="shared" si="55"/>
        <v/>
      </c>
      <c r="P897" t="str">
        <f t="shared" si="53"/>
        <v>Clean</v>
      </c>
      <c r="Q897" t="str">
        <f t="shared" si="54"/>
        <v>Valid</v>
      </c>
    </row>
    <row r="898" spans="1:17" x14ac:dyDescent="0.3">
      <c r="A898" t="s">
        <v>3496</v>
      </c>
      <c r="B898" t="s">
        <v>3497</v>
      </c>
      <c r="C898" t="s">
        <v>15</v>
      </c>
      <c r="D898" t="s">
        <v>67</v>
      </c>
      <c r="E898" t="s">
        <v>26</v>
      </c>
      <c r="F898" t="s">
        <v>18</v>
      </c>
      <c r="G898" s="1">
        <v>44078</v>
      </c>
      <c r="H898" s="1">
        <v>44388</v>
      </c>
      <c r="I898" t="s">
        <v>3498</v>
      </c>
      <c r="J898" t="s">
        <v>3499</v>
      </c>
      <c r="K898" t="s">
        <v>21</v>
      </c>
      <c r="L898" t="s">
        <v>91</v>
      </c>
      <c r="M898" t="s">
        <v>22</v>
      </c>
      <c r="N898" t="str">
        <f t="shared" ref="N898:N951" si="56">IF(OR(B898="",H898="",I898="",J898="",L898="",Q898="Invalid"),"Flagged","Clean")</f>
        <v>Clean</v>
      </c>
      <c r="O898" t="str">
        <f t="shared" si="55"/>
        <v/>
      </c>
      <c r="P898" t="str">
        <f t="shared" ref="P898:P951" si="57">IF(N898="Clean","Clean","Flagged for Review")</f>
        <v>Clean</v>
      </c>
      <c r="Q898" t="str">
        <f t="shared" ref="Q898:Q951" si="58">IF(I898="","Blank",IF(ISERROR(FIND("@",I898&amp;"")),"Invalid",IF(FIND("@",I898&amp;"")&lt;2,"Invalid",IF(LEN(I898&amp;"")-FIND("@",I898&amp;"")&lt;4,"Invalid","Valid"))))</f>
        <v>Valid</v>
      </c>
    </row>
    <row r="899" spans="1:17" x14ac:dyDescent="0.3">
      <c r="A899" t="s">
        <v>3500</v>
      </c>
      <c r="B899" t="s">
        <v>3501</v>
      </c>
      <c r="C899" t="s">
        <v>76</v>
      </c>
      <c r="D899" t="s">
        <v>34</v>
      </c>
      <c r="E899" t="s">
        <v>26</v>
      </c>
      <c r="F899" t="s">
        <v>160</v>
      </c>
      <c r="G899" s="1">
        <v>44482</v>
      </c>
      <c r="H899" s="1">
        <v>44629</v>
      </c>
      <c r="I899" t="s">
        <v>3502</v>
      </c>
      <c r="J899" t="s">
        <v>3503</v>
      </c>
      <c r="K899" t="s">
        <v>29</v>
      </c>
      <c r="L899" t="s">
        <v>60</v>
      </c>
      <c r="M899" t="s">
        <v>22</v>
      </c>
      <c r="N899" t="str">
        <f t="shared" si="56"/>
        <v>Clean</v>
      </c>
      <c r="O899" t="str">
        <f t="shared" ref="O899:O951" si="59">TRIM(IF(B899="","Missing Vendor_Name ","")&amp;IF(I899="","Missing Contact_Email ","")&amp;IF(J899="","Missing Account_Code ","")&amp;IF(L899="","Missing Verified_By ","")&amp;IF(Q899="Invalid","Invalid Email Format ","")&amp;IF(H899="","Missing Last_Updated ",""))</f>
        <v/>
      </c>
      <c r="P899" t="str">
        <f t="shared" si="57"/>
        <v>Clean</v>
      </c>
      <c r="Q899" t="str">
        <f t="shared" si="58"/>
        <v>Valid</v>
      </c>
    </row>
    <row r="900" spans="1:17" x14ac:dyDescent="0.3">
      <c r="A900" t="s">
        <v>3504</v>
      </c>
      <c r="B900" t="s">
        <v>3505</v>
      </c>
      <c r="C900" t="s">
        <v>40</v>
      </c>
      <c r="D900" t="s">
        <v>77</v>
      </c>
      <c r="E900" t="s">
        <v>52</v>
      </c>
      <c r="F900" t="s">
        <v>160</v>
      </c>
      <c r="G900" s="1">
        <v>44657</v>
      </c>
      <c r="H900" s="1">
        <v>44675</v>
      </c>
      <c r="I900" t="s">
        <v>3506</v>
      </c>
      <c r="J900" t="s">
        <v>3507</v>
      </c>
      <c r="K900" t="s">
        <v>21</v>
      </c>
      <c r="L900" t="s">
        <v>91</v>
      </c>
      <c r="M900" t="s">
        <v>22</v>
      </c>
      <c r="N900" t="str">
        <f t="shared" si="56"/>
        <v>Clean</v>
      </c>
      <c r="O900" t="str">
        <f t="shared" si="59"/>
        <v/>
      </c>
      <c r="P900" t="str">
        <f t="shared" si="57"/>
        <v>Clean</v>
      </c>
      <c r="Q900" t="str">
        <f t="shared" si="58"/>
        <v>Valid</v>
      </c>
    </row>
    <row r="901" spans="1:17" x14ac:dyDescent="0.3">
      <c r="A901" t="s">
        <v>3508</v>
      </c>
      <c r="B901" t="s">
        <v>3509</v>
      </c>
      <c r="C901" t="s">
        <v>15</v>
      </c>
      <c r="D901" t="s">
        <v>67</v>
      </c>
      <c r="E901" t="s">
        <v>26</v>
      </c>
      <c r="F901" t="s">
        <v>18</v>
      </c>
      <c r="G901" s="1">
        <v>44389</v>
      </c>
      <c r="H901" s="1">
        <v>44542</v>
      </c>
      <c r="I901" t="s">
        <v>3510</v>
      </c>
      <c r="J901" t="s">
        <v>3511</v>
      </c>
      <c r="K901" t="s">
        <v>90</v>
      </c>
      <c r="L901" t="s">
        <v>91</v>
      </c>
      <c r="M901" t="s">
        <v>22</v>
      </c>
      <c r="N901" t="str">
        <f t="shared" si="56"/>
        <v>Clean</v>
      </c>
      <c r="O901" t="str">
        <f t="shared" si="59"/>
        <v/>
      </c>
      <c r="P901" t="str">
        <f t="shared" si="57"/>
        <v>Clean</v>
      </c>
      <c r="Q901" t="str">
        <f t="shared" si="58"/>
        <v>Valid</v>
      </c>
    </row>
    <row r="902" spans="1:17" x14ac:dyDescent="0.3">
      <c r="A902" t="s">
        <v>3512</v>
      </c>
      <c r="B902" t="s">
        <v>3513</v>
      </c>
      <c r="C902" t="s">
        <v>15</v>
      </c>
      <c r="D902" t="s">
        <v>25</v>
      </c>
      <c r="E902" t="s">
        <v>26</v>
      </c>
      <c r="F902" t="s">
        <v>160</v>
      </c>
      <c r="G902" s="1">
        <v>44394</v>
      </c>
      <c r="H902" s="1">
        <v>44728</v>
      </c>
      <c r="I902" t="s">
        <v>3514</v>
      </c>
      <c r="J902" t="s">
        <v>2429</v>
      </c>
      <c r="K902" t="s">
        <v>21</v>
      </c>
      <c r="L902" t="s">
        <v>60</v>
      </c>
      <c r="M902" t="s">
        <v>22</v>
      </c>
      <c r="N902" t="str">
        <f t="shared" si="56"/>
        <v>Clean</v>
      </c>
      <c r="O902" t="str">
        <f t="shared" si="59"/>
        <v/>
      </c>
      <c r="P902" t="str">
        <f t="shared" si="57"/>
        <v>Clean</v>
      </c>
      <c r="Q902" t="str">
        <f t="shared" si="58"/>
        <v>Valid</v>
      </c>
    </row>
    <row r="903" spans="1:17" x14ac:dyDescent="0.3">
      <c r="A903" t="s">
        <v>3515</v>
      </c>
      <c r="B903" t="s">
        <v>3516</v>
      </c>
      <c r="C903" t="s">
        <v>76</v>
      </c>
      <c r="D903" t="s">
        <v>51</v>
      </c>
      <c r="E903" t="s">
        <v>52</v>
      </c>
      <c r="F903" t="s">
        <v>18</v>
      </c>
      <c r="G903" s="1">
        <v>44776</v>
      </c>
      <c r="H903" s="1">
        <v>44848</v>
      </c>
      <c r="I903" t="s">
        <v>3517</v>
      </c>
      <c r="J903" t="s">
        <v>3518</v>
      </c>
      <c r="K903" t="s">
        <v>29</v>
      </c>
      <c r="L903" t="s">
        <v>30</v>
      </c>
      <c r="M903" t="s">
        <v>22</v>
      </c>
      <c r="N903" t="str">
        <f t="shared" si="56"/>
        <v>Clean</v>
      </c>
      <c r="O903" t="str">
        <f t="shared" si="59"/>
        <v/>
      </c>
      <c r="P903" t="str">
        <f t="shared" si="57"/>
        <v>Clean</v>
      </c>
      <c r="Q903" t="str">
        <f t="shared" si="58"/>
        <v>Valid</v>
      </c>
    </row>
    <row r="904" spans="1:17" x14ac:dyDescent="0.3">
      <c r="A904" t="s">
        <v>3519</v>
      </c>
      <c r="B904" t="s">
        <v>3520</v>
      </c>
      <c r="C904" t="s">
        <v>15</v>
      </c>
      <c r="D904" t="s">
        <v>34</v>
      </c>
      <c r="E904" t="s">
        <v>26</v>
      </c>
      <c r="F904" t="s">
        <v>160</v>
      </c>
      <c r="G904" s="1">
        <v>45560</v>
      </c>
      <c r="H904" s="1">
        <v>45844</v>
      </c>
      <c r="I904" t="s">
        <v>3521</v>
      </c>
      <c r="J904" t="s">
        <v>3522</v>
      </c>
      <c r="K904" t="s">
        <v>90</v>
      </c>
      <c r="L904" t="s">
        <v>60</v>
      </c>
      <c r="M904" t="s">
        <v>22</v>
      </c>
      <c r="N904" t="str">
        <f t="shared" si="56"/>
        <v>Clean</v>
      </c>
      <c r="O904" t="str">
        <f t="shared" si="59"/>
        <v/>
      </c>
      <c r="P904" t="str">
        <f t="shared" si="57"/>
        <v>Clean</v>
      </c>
      <c r="Q904" t="str">
        <f t="shared" si="58"/>
        <v>Valid</v>
      </c>
    </row>
    <row r="905" spans="1:17" x14ac:dyDescent="0.3">
      <c r="A905" t="s">
        <v>3523</v>
      </c>
      <c r="B905" t="s">
        <v>3524</v>
      </c>
      <c r="C905" t="s">
        <v>76</v>
      </c>
      <c r="D905" t="s">
        <v>34</v>
      </c>
      <c r="E905" t="s">
        <v>26</v>
      </c>
      <c r="F905" t="s">
        <v>18</v>
      </c>
      <c r="G905" s="1">
        <v>44628</v>
      </c>
      <c r="H905" s="1">
        <v>44841</v>
      </c>
      <c r="I905" t="s">
        <v>3525</v>
      </c>
      <c r="J905" t="s">
        <v>3526</v>
      </c>
      <c r="K905" t="s">
        <v>37</v>
      </c>
      <c r="L905" t="s">
        <v>55</v>
      </c>
      <c r="M905" t="s">
        <v>22</v>
      </c>
      <c r="N905" t="str">
        <f t="shared" si="56"/>
        <v>Clean</v>
      </c>
      <c r="O905" t="str">
        <f t="shared" si="59"/>
        <v/>
      </c>
      <c r="P905" t="str">
        <f t="shared" si="57"/>
        <v>Clean</v>
      </c>
      <c r="Q905" t="str">
        <f t="shared" si="58"/>
        <v>Valid</v>
      </c>
    </row>
    <row r="906" spans="1:17" x14ac:dyDescent="0.3">
      <c r="A906" t="s">
        <v>3527</v>
      </c>
      <c r="B906" t="s">
        <v>3528</v>
      </c>
      <c r="C906" t="s">
        <v>76</v>
      </c>
      <c r="D906" t="s">
        <v>25</v>
      </c>
      <c r="E906" t="s">
        <v>26</v>
      </c>
      <c r="F906" t="s">
        <v>18</v>
      </c>
      <c r="G906" s="1">
        <v>45426</v>
      </c>
      <c r="H906" s="1">
        <v>45695</v>
      </c>
      <c r="I906" t="s">
        <v>3529</v>
      </c>
      <c r="J906" t="s">
        <v>3530</v>
      </c>
      <c r="K906" t="s">
        <v>90</v>
      </c>
      <c r="L906" t="s">
        <v>55</v>
      </c>
      <c r="M906" t="s">
        <v>22</v>
      </c>
      <c r="N906" t="str">
        <f t="shared" si="56"/>
        <v>Clean</v>
      </c>
      <c r="O906" t="str">
        <f t="shared" si="59"/>
        <v/>
      </c>
      <c r="P906" t="str">
        <f t="shared" si="57"/>
        <v>Clean</v>
      </c>
      <c r="Q906" t="str">
        <f t="shared" si="58"/>
        <v>Valid</v>
      </c>
    </row>
    <row r="907" spans="1:17" x14ac:dyDescent="0.3">
      <c r="A907" t="s">
        <v>3531</v>
      </c>
      <c r="B907" t="s">
        <v>3532</v>
      </c>
      <c r="C907" t="s">
        <v>181</v>
      </c>
      <c r="D907" t="s">
        <v>67</v>
      </c>
      <c r="E907" t="s">
        <v>26</v>
      </c>
      <c r="F907" t="s">
        <v>18</v>
      </c>
      <c r="G907" s="1">
        <v>44749</v>
      </c>
      <c r="H907" s="1">
        <v>44917</v>
      </c>
      <c r="I907" t="s">
        <v>3533</v>
      </c>
      <c r="J907" t="s">
        <v>3534</v>
      </c>
      <c r="K907" t="s">
        <v>37</v>
      </c>
      <c r="L907" t="s">
        <v>30</v>
      </c>
      <c r="M907" t="s">
        <v>22</v>
      </c>
      <c r="N907" t="str">
        <f t="shared" si="56"/>
        <v>Clean</v>
      </c>
      <c r="O907" t="str">
        <f t="shared" si="59"/>
        <v/>
      </c>
      <c r="P907" t="str">
        <f t="shared" si="57"/>
        <v>Clean</v>
      </c>
      <c r="Q907" t="str">
        <f t="shared" si="58"/>
        <v>Valid</v>
      </c>
    </row>
    <row r="908" spans="1:17" x14ac:dyDescent="0.3">
      <c r="A908" t="s">
        <v>3535</v>
      </c>
      <c r="B908" t="s">
        <v>3536</v>
      </c>
      <c r="C908" t="s">
        <v>15</v>
      </c>
      <c r="D908" t="s">
        <v>77</v>
      </c>
      <c r="E908" t="s">
        <v>52</v>
      </c>
      <c r="F908" t="s">
        <v>18</v>
      </c>
      <c r="G908" s="1">
        <v>45219</v>
      </c>
      <c r="H908" s="1">
        <v>45345</v>
      </c>
      <c r="I908" t="s">
        <v>3537</v>
      </c>
      <c r="J908" t="s">
        <v>2185</v>
      </c>
      <c r="K908" t="s">
        <v>21</v>
      </c>
      <c r="L908" t="s">
        <v>91</v>
      </c>
      <c r="M908" t="s">
        <v>22</v>
      </c>
      <c r="N908" t="str">
        <f t="shared" si="56"/>
        <v>Clean</v>
      </c>
      <c r="O908" t="str">
        <f t="shared" si="59"/>
        <v/>
      </c>
      <c r="P908" t="str">
        <f t="shared" si="57"/>
        <v>Clean</v>
      </c>
      <c r="Q908" t="str">
        <f t="shared" si="58"/>
        <v>Valid</v>
      </c>
    </row>
    <row r="909" spans="1:17" x14ac:dyDescent="0.3">
      <c r="A909" t="s">
        <v>3538</v>
      </c>
      <c r="B909" t="s">
        <v>3539</v>
      </c>
      <c r="C909" t="s">
        <v>33</v>
      </c>
      <c r="D909" t="s">
        <v>67</v>
      </c>
      <c r="E909" t="s">
        <v>26</v>
      </c>
      <c r="F909" t="s">
        <v>18</v>
      </c>
      <c r="G909" s="1">
        <v>43784</v>
      </c>
      <c r="H909" s="1">
        <v>44048</v>
      </c>
      <c r="I909" t="s">
        <v>3540</v>
      </c>
      <c r="J909" t="s">
        <v>3541</v>
      </c>
      <c r="K909" t="s">
        <v>37</v>
      </c>
      <c r="L909" t="s">
        <v>91</v>
      </c>
      <c r="M909" t="s">
        <v>22</v>
      </c>
      <c r="N909" t="str">
        <f t="shared" si="56"/>
        <v>Clean</v>
      </c>
      <c r="O909" t="str">
        <f t="shared" si="59"/>
        <v/>
      </c>
      <c r="P909" t="str">
        <f t="shared" si="57"/>
        <v>Clean</v>
      </c>
      <c r="Q909" t="str">
        <f t="shared" si="58"/>
        <v>Valid</v>
      </c>
    </row>
    <row r="910" spans="1:17" x14ac:dyDescent="0.3">
      <c r="A910" t="s">
        <v>3542</v>
      </c>
      <c r="B910" t="s">
        <v>3543</v>
      </c>
      <c r="C910" t="s">
        <v>76</v>
      </c>
      <c r="D910" t="s">
        <v>51</v>
      </c>
      <c r="E910" t="s">
        <v>52</v>
      </c>
      <c r="F910" t="s">
        <v>160</v>
      </c>
      <c r="G910" s="1">
        <v>43864</v>
      </c>
      <c r="H910" s="1">
        <v>44097</v>
      </c>
      <c r="I910" t="s">
        <v>3544</v>
      </c>
      <c r="J910" t="s">
        <v>3545</v>
      </c>
      <c r="K910" t="s">
        <v>90</v>
      </c>
      <c r="L910" t="s">
        <v>60</v>
      </c>
      <c r="M910" t="s">
        <v>22</v>
      </c>
      <c r="N910" t="str">
        <f t="shared" si="56"/>
        <v>Clean</v>
      </c>
      <c r="O910" t="str">
        <f t="shared" si="59"/>
        <v/>
      </c>
      <c r="P910" t="str">
        <f t="shared" si="57"/>
        <v>Clean</v>
      </c>
      <c r="Q910" t="str">
        <f t="shared" si="58"/>
        <v>Valid</v>
      </c>
    </row>
    <row r="911" spans="1:17" x14ac:dyDescent="0.3">
      <c r="A911" t="s">
        <v>3546</v>
      </c>
      <c r="B911" t="s">
        <v>879</v>
      </c>
      <c r="C911" t="s">
        <v>15</v>
      </c>
      <c r="D911" t="s">
        <v>41</v>
      </c>
      <c r="E911" t="s">
        <v>17</v>
      </c>
      <c r="F911" t="s">
        <v>18</v>
      </c>
      <c r="G911" s="1">
        <v>43959</v>
      </c>
      <c r="H911" s="1">
        <v>44316</v>
      </c>
      <c r="I911" t="s">
        <v>3547</v>
      </c>
      <c r="J911" t="s">
        <v>3548</v>
      </c>
      <c r="K911" t="s">
        <v>29</v>
      </c>
      <c r="M911" t="s">
        <v>3735</v>
      </c>
      <c r="N911" t="str">
        <f t="shared" si="56"/>
        <v>Flagged</v>
      </c>
      <c r="O911" t="str">
        <f t="shared" si="59"/>
        <v>Missing Verified_By</v>
      </c>
      <c r="P911" t="str">
        <f t="shared" si="57"/>
        <v>Flagged for Review</v>
      </c>
      <c r="Q911" t="str">
        <f t="shared" si="58"/>
        <v>Valid</v>
      </c>
    </row>
    <row r="912" spans="1:17" x14ac:dyDescent="0.3">
      <c r="A912" t="s">
        <v>3549</v>
      </c>
      <c r="B912" t="s">
        <v>3550</v>
      </c>
      <c r="C912" t="s">
        <v>40</v>
      </c>
      <c r="D912" t="s">
        <v>25</v>
      </c>
      <c r="E912" t="s">
        <v>26</v>
      </c>
      <c r="F912" t="s">
        <v>18</v>
      </c>
      <c r="G912" s="1">
        <v>45122</v>
      </c>
      <c r="H912" s="1">
        <v>45206</v>
      </c>
      <c r="I912" t="s">
        <v>3551</v>
      </c>
      <c r="J912" t="s">
        <v>3552</v>
      </c>
      <c r="K912" t="s">
        <v>90</v>
      </c>
      <c r="L912" t="s">
        <v>30</v>
      </c>
      <c r="M912" t="s">
        <v>22</v>
      </c>
      <c r="N912" t="str">
        <f t="shared" si="56"/>
        <v>Clean</v>
      </c>
      <c r="O912" t="str">
        <f t="shared" si="59"/>
        <v/>
      </c>
      <c r="P912" t="str">
        <f t="shared" si="57"/>
        <v>Clean</v>
      </c>
      <c r="Q912" t="str">
        <f t="shared" si="58"/>
        <v>Valid</v>
      </c>
    </row>
    <row r="913" spans="1:17" x14ac:dyDescent="0.3">
      <c r="A913" t="s">
        <v>3553</v>
      </c>
      <c r="B913" t="s">
        <v>3554</v>
      </c>
      <c r="C913" t="s">
        <v>76</v>
      </c>
      <c r="D913" t="s">
        <v>34</v>
      </c>
      <c r="E913" t="s">
        <v>26</v>
      </c>
      <c r="F913" t="s">
        <v>18</v>
      </c>
      <c r="G913" s="1">
        <v>45601</v>
      </c>
      <c r="H913" s="1">
        <v>45925</v>
      </c>
      <c r="I913" t="s">
        <v>3555</v>
      </c>
      <c r="J913" t="s">
        <v>3556</v>
      </c>
      <c r="K913" t="s">
        <v>37</v>
      </c>
      <c r="L913" t="s">
        <v>30</v>
      </c>
      <c r="M913" t="s">
        <v>22</v>
      </c>
      <c r="N913" t="str">
        <f t="shared" si="56"/>
        <v>Clean</v>
      </c>
      <c r="O913" t="str">
        <f t="shared" si="59"/>
        <v/>
      </c>
      <c r="P913" t="str">
        <f t="shared" si="57"/>
        <v>Clean</v>
      </c>
      <c r="Q913" t="str">
        <f t="shared" si="58"/>
        <v>Valid</v>
      </c>
    </row>
    <row r="914" spans="1:17" x14ac:dyDescent="0.3">
      <c r="A914" t="s">
        <v>3557</v>
      </c>
      <c r="B914" t="s">
        <v>3558</v>
      </c>
      <c r="C914" t="s">
        <v>87</v>
      </c>
      <c r="D914" t="s">
        <v>51</v>
      </c>
      <c r="E914" t="s">
        <v>52</v>
      </c>
      <c r="F914" t="s">
        <v>18</v>
      </c>
      <c r="G914" s="1">
        <v>45319</v>
      </c>
      <c r="H914" s="1">
        <v>45548</v>
      </c>
      <c r="I914" t="s">
        <v>3559</v>
      </c>
      <c r="J914" t="s">
        <v>3560</v>
      </c>
      <c r="K914" t="s">
        <v>90</v>
      </c>
      <c r="L914" t="s">
        <v>116</v>
      </c>
      <c r="M914" t="s">
        <v>22</v>
      </c>
      <c r="N914" t="str">
        <f t="shared" si="56"/>
        <v>Clean</v>
      </c>
      <c r="O914" t="str">
        <f t="shared" si="59"/>
        <v/>
      </c>
      <c r="P914" t="str">
        <f t="shared" si="57"/>
        <v>Clean</v>
      </c>
      <c r="Q914" t="str">
        <f t="shared" si="58"/>
        <v>Valid</v>
      </c>
    </row>
    <row r="915" spans="1:17" x14ac:dyDescent="0.3">
      <c r="A915" t="s">
        <v>3561</v>
      </c>
      <c r="B915" t="s">
        <v>3562</v>
      </c>
      <c r="C915" t="s">
        <v>15</v>
      </c>
      <c r="D915" t="s">
        <v>34</v>
      </c>
      <c r="E915" t="s">
        <v>26</v>
      </c>
      <c r="F915" t="s">
        <v>18</v>
      </c>
      <c r="G915" s="1">
        <v>44039</v>
      </c>
      <c r="H915" s="1">
        <v>44404</v>
      </c>
      <c r="I915" t="s">
        <v>3563</v>
      </c>
      <c r="J915" t="s">
        <v>3564</v>
      </c>
      <c r="K915" t="s">
        <v>37</v>
      </c>
      <c r="L915" t="s">
        <v>60</v>
      </c>
      <c r="M915" t="s">
        <v>22</v>
      </c>
      <c r="N915" t="str">
        <f t="shared" si="56"/>
        <v>Clean</v>
      </c>
      <c r="O915" t="str">
        <f t="shared" si="59"/>
        <v/>
      </c>
      <c r="P915" t="str">
        <f t="shared" si="57"/>
        <v>Clean</v>
      </c>
      <c r="Q915" t="str">
        <f t="shared" si="58"/>
        <v>Valid</v>
      </c>
    </row>
    <row r="916" spans="1:17" x14ac:dyDescent="0.3">
      <c r="A916" t="s">
        <v>3565</v>
      </c>
      <c r="B916" t="s">
        <v>3733</v>
      </c>
      <c r="C916" t="s">
        <v>76</v>
      </c>
      <c r="D916" t="s">
        <v>16</v>
      </c>
      <c r="E916" t="s">
        <v>17</v>
      </c>
      <c r="F916" t="s">
        <v>18</v>
      </c>
      <c r="G916" s="1">
        <v>43523</v>
      </c>
      <c r="H916" s="1">
        <v>43793</v>
      </c>
      <c r="I916" t="s">
        <v>3567</v>
      </c>
      <c r="J916" t="s">
        <v>3568</v>
      </c>
      <c r="K916" t="s">
        <v>29</v>
      </c>
      <c r="L916" t="s">
        <v>55</v>
      </c>
      <c r="M916" t="s">
        <v>22</v>
      </c>
      <c r="N916" t="str">
        <f t="shared" si="56"/>
        <v>Clean</v>
      </c>
      <c r="O916" t="str">
        <f t="shared" si="59"/>
        <v/>
      </c>
      <c r="P916" t="str">
        <f t="shared" si="57"/>
        <v>Clean</v>
      </c>
      <c r="Q916" t="str">
        <f t="shared" si="58"/>
        <v>Valid</v>
      </c>
    </row>
    <row r="917" spans="1:17" x14ac:dyDescent="0.3">
      <c r="A917" t="s">
        <v>3569</v>
      </c>
      <c r="B917" t="s">
        <v>3570</v>
      </c>
      <c r="C917" t="s">
        <v>87</v>
      </c>
      <c r="D917" t="s">
        <v>77</v>
      </c>
      <c r="E917" t="s">
        <v>52</v>
      </c>
      <c r="F917" t="s">
        <v>18</v>
      </c>
      <c r="G917" s="1">
        <v>44908</v>
      </c>
      <c r="H917" s="1">
        <v>44994</v>
      </c>
      <c r="I917" t="s">
        <v>3571</v>
      </c>
      <c r="J917" t="s">
        <v>3572</v>
      </c>
      <c r="K917" t="s">
        <v>21</v>
      </c>
      <c r="L917" t="s">
        <v>55</v>
      </c>
      <c r="M917" t="s">
        <v>22</v>
      </c>
      <c r="N917" t="str">
        <f t="shared" si="56"/>
        <v>Clean</v>
      </c>
      <c r="O917" t="str">
        <f t="shared" si="59"/>
        <v/>
      </c>
      <c r="P917" t="str">
        <f t="shared" si="57"/>
        <v>Clean</v>
      </c>
      <c r="Q917" t="str">
        <f t="shared" si="58"/>
        <v>Valid</v>
      </c>
    </row>
    <row r="918" spans="1:17" x14ac:dyDescent="0.3">
      <c r="A918" t="s">
        <v>3573</v>
      </c>
      <c r="B918" t="s">
        <v>3574</v>
      </c>
      <c r="C918" t="s">
        <v>15</v>
      </c>
      <c r="D918" t="s">
        <v>25</v>
      </c>
      <c r="E918" t="s">
        <v>26</v>
      </c>
      <c r="F918" t="s">
        <v>18</v>
      </c>
      <c r="G918" s="1">
        <v>43891</v>
      </c>
      <c r="H918" s="1">
        <v>44519</v>
      </c>
      <c r="I918" t="s">
        <v>3575</v>
      </c>
      <c r="J918" t="s">
        <v>3576</v>
      </c>
      <c r="K918" t="s">
        <v>21</v>
      </c>
      <c r="L918" t="s">
        <v>55</v>
      </c>
      <c r="M918" t="s">
        <v>22</v>
      </c>
      <c r="N918" t="str">
        <f t="shared" si="56"/>
        <v>Clean</v>
      </c>
      <c r="O918" t="str">
        <f t="shared" si="59"/>
        <v/>
      </c>
      <c r="P918" t="str">
        <f t="shared" si="57"/>
        <v>Clean</v>
      </c>
      <c r="Q918" t="str">
        <f t="shared" si="58"/>
        <v>Valid</v>
      </c>
    </row>
    <row r="919" spans="1:17" x14ac:dyDescent="0.3">
      <c r="A919" t="s">
        <v>3577</v>
      </c>
      <c r="B919" t="s">
        <v>3578</v>
      </c>
      <c r="C919" t="s">
        <v>181</v>
      </c>
      <c r="D919" t="s">
        <v>25</v>
      </c>
      <c r="E919" t="s">
        <v>26</v>
      </c>
      <c r="F919" t="s">
        <v>18</v>
      </c>
      <c r="G919" s="1">
        <v>43500</v>
      </c>
      <c r="H919" s="1">
        <v>43812</v>
      </c>
      <c r="I919" t="s">
        <v>3579</v>
      </c>
      <c r="J919" t="s">
        <v>3580</v>
      </c>
      <c r="K919" t="s">
        <v>29</v>
      </c>
      <c r="M919" t="s">
        <v>3735</v>
      </c>
      <c r="N919" t="str">
        <f t="shared" si="56"/>
        <v>Flagged</v>
      </c>
      <c r="O919" t="str">
        <f t="shared" si="59"/>
        <v>Missing Verified_By</v>
      </c>
      <c r="P919" t="str">
        <f t="shared" si="57"/>
        <v>Flagged for Review</v>
      </c>
      <c r="Q919" t="str">
        <f t="shared" si="58"/>
        <v>Valid</v>
      </c>
    </row>
    <row r="920" spans="1:17" x14ac:dyDescent="0.3">
      <c r="A920" t="s">
        <v>3581</v>
      </c>
      <c r="B920" t="s">
        <v>3582</v>
      </c>
      <c r="C920" t="s">
        <v>87</v>
      </c>
      <c r="D920" t="s">
        <v>16</v>
      </c>
      <c r="E920" t="s">
        <v>17</v>
      </c>
      <c r="F920" t="s">
        <v>160</v>
      </c>
      <c r="G920" s="1">
        <v>44994</v>
      </c>
      <c r="H920" s="1">
        <v>44999</v>
      </c>
      <c r="I920" t="s">
        <v>3583</v>
      </c>
      <c r="J920" t="s">
        <v>3584</v>
      </c>
      <c r="K920" t="s">
        <v>90</v>
      </c>
      <c r="L920" t="s">
        <v>60</v>
      </c>
      <c r="M920" t="s">
        <v>22</v>
      </c>
      <c r="N920" t="str">
        <f t="shared" si="56"/>
        <v>Clean</v>
      </c>
      <c r="O920" t="str">
        <f t="shared" si="59"/>
        <v/>
      </c>
      <c r="P920" t="str">
        <f t="shared" si="57"/>
        <v>Clean</v>
      </c>
      <c r="Q920" t="str">
        <f t="shared" si="58"/>
        <v>Valid</v>
      </c>
    </row>
    <row r="921" spans="1:17" x14ac:dyDescent="0.3">
      <c r="A921" t="s">
        <v>3585</v>
      </c>
      <c r="B921" t="s">
        <v>3586</v>
      </c>
      <c r="C921" t="s">
        <v>15</v>
      </c>
      <c r="D921" t="s">
        <v>34</v>
      </c>
      <c r="E921" t="s">
        <v>26</v>
      </c>
      <c r="F921" t="s">
        <v>160</v>
      </c>
      <c r="G921" s="1">
        <v>44144</v>
      </c>
      <c r="H921" s="1">
        <v>44368</v>
      </c>
      <c r="I921" t="s">
        <v>3587</v>
      </c>
      <c r="J921" t="s">
        <v>3588</v>
      </c>
      <c r="K921" t="s">
        <v>29</v>
      </c>
      <c r="M921" t="s">
        <v>3735</v>
      </c>
      <c r="N921" t="str">
        <f t="shared" si="56"/>
        <v>Flagged</v>
      </c>
      <c r="O921" t="str">
        <f t="shared" si="59"/>
        <v>Missing Verified_By</v>
      </c>
      <c r="P921" t="str">
        <f t="shared" si="57"/>
        <v>Flagged for Review</v>
      </c>
      <c r="Q921" t="str">
        <f t="shared" si="58"/>
        <v>Valid</v>
      </c>
    </row>
    <row r="922" spans="1:17" x14ac:dyDescent="0.3">
      <c r="A922" t="s">
        <v>3589</v>
      </c>
      <c r="B922" t="s">
        <v>3590</v>
      </c>
      <c r="C922" t="s">
        <v>46</v>
      </c>
      <c r="D922" t="s">
        <v>41</v>
      </c>
      <c r="E922" t="s">
        <v>17</v>
      </c>
      <c r="F922" t="s">
        <v>18</v>
      </c>
      <c r="G922" s="1">
        <v>44202</v>
      </c>
      <c r="H922" s="1">
        <v>44551</v>
      </c>
      <c r="I922" t="s">
        <v>3591</v>
      </c>
      <c r="J922" t="s">
        <v>2354</v>
      </c>
      <c r="K922" t="s">
        <v>21</v>
      </c>
      <c r="M922" t="s">
        <v>3735</v>
      </c>
      <c r="N922" t="str">
        <f t="shared" si="56"/>
        <v>Flagged</v>
      </c>
      <c r="O922" t="str">
        <f t="shared" si="59"/>
        <v>Missing Verified_By</v>
      </c>
      <c r="P922" t="str">
        <f t="shared" si="57"/>
        <v>Flagged for Review</v>
      </c>
      <c r="Q922" t="str">
        <f t="shared" si="58"/>
        <v>Valid</v>
      </c>
    </row>
    <row r="923" spans="1:17" x14ac:dyDescent="0.3">
      <c r="A923" t="s">
        <v>3592</v>
      </c>
      <c r="B923" t="s">
        <v>3593</v>
      </c>
      <c r="C923" t="s">
        <v>15</v>
      </c>
      <c r="D923" t="s">
        <v>25</v>
      </c>
      <c r="E923" t="s">
        <v>26</v>
      </c>
      <c r="F923" t="s">
        <v>160</v>
      </c>
      <c r="G923" s="1">
        <v>45588</v>
      </c>
      <c r="I923" t="s">
        <v>3594</v>
      </c>
      <c r="J923" t="s">
        <v>3595</v>
      </c>
      <c r="K923" t="s">
        <v>37</v>
      </c>
      <c r="L923" t="s">
        <v>116</v>
      </c>
      <c r="M923" t="s">
        <v>3735</v>
      </c>
      <c r="N923" t="str">
        <f t="shared" si="56"/>
        <v>Flagged</v>
      </c>
      <c r="O923" t="str">
        <f t="shared" si="59"/>
        <v>Missing Last_Updated</v>
      </c>
      <c r="P923" t="str">
        <f t="shared" si="57"/>
        <v>Flagged for Review</v>
      </c>
      <c r="Q923" t="str">
        <f t="shared" si="58"/>
        <v>Valid</v>
      </c>
    </row>
    <row r="924" spans="1:17" x14ac:dyDescent="0.3">
      <c r="A924" t="s">
        <v>3596</v>
      </c>
      <c r="B924" t="s">
        <v>3597</v>
      </c>
      <c r="C924" t="s">
        <v>181</v>
      </c>
      <c r="D924" t="s">
        <v>25</v>
      </c>
      <c r="E924" t="s">
        <v>26</v>
      </c>
      <c r="F924" t="s">
        <v>18</v>
      </c>
      <c r="G924" s="1">
        <v>44942</v>
      </c>
      <c r="H924" s="1">
        <v>45302</v>
      </c>
      <c r="I924" t="s">
        <v>3598</v>
      </c>
      <c r="J924" t="s">
        <v>3599</v>
      </c>
      <c r="K924" t="s">
        <v>29</v>
      </c>
      <c r="L924" t="s">
        <v>30</v>
      </c>
      <c r="M924" t="s">
        <v>22</v>
      </c>
      <c r="N924" t="str">
        <f t="shared" si="56"/>
        <v>Clean</v>
      </c>
      <c r="O924" t="str">
        <f t="shared" si="59"/>
        <v/>
      </c>
      <c r="P924" t="str">
        <f t="shared" si="57"/>
        <v>Clean</v>
      </c>
      <c r="Q924" t="str">
        <f t="shared" si="58"/>
        <v>Valid</v>
      </c>
    </row>
    <row r="925" spans="1:17" x14ac:dyDescent="0.3">
      <c r="A925" t="s">
        <v>3600</v>
      </c>
      <c r="B925" t="s">
        <v>3601</v>
      </c>
      <c r="C925" t="s">
        <v>76</v>
      </c>
      <c r="D925" t="s">
        <v>41</v>
      </c>
      <c r="E925" t="s">
        <v>17</v>
      </c>
      <c r="F925" t="s">
        <v>18</v>
      </c>
      <c r="G925" s="1">
        <v>44616</v>
      </c>
      <c r="H925" s="1">
        <v>44800</v>
      </c>
      <c r="I925" t="s">
        <v>3602</v>
      </c>
      <c r="J925" t="s">
        <v>2501</v>
      </c>
      <c r="K925" t="s">
        <v>29</v>
      </c>
      <c r="L925" t="s">
        <v>91</v>
      </c>
      <c r="M925" t="s">
        <v>22</v>
      </c>
      <c r="N925" t="str">
        <f t="shared" si="56"/>
        <v>Clean</v>
      </c>
      <c r="O925" t="str">
        <f t="shared" si="59"/>
        <v/>
      </c>
      <c r="P925" t="str">
        <f t="shared" si="57"/>
        <v>Clean</v>
      </c>
      <c r="Q925" t="str">
        <f t="shared" si="58"/>
        <v>Valid</v>
      </c>
    </row>
    <row r="926" spans="1:17" x14ac:dyDescent="0.3">
      <c r="A926" t="s">
        <v>3603</v>
      </c>
      <c r="B926" t="s">
        <v>2905</v>
      </c>
      <c r="C926" t="s">
        <v>181</v>
      </c>
      <c r="D926" t="s">
        <v>25</v>
      </c>
      <c r="E926" t="s">
        <v>26</v>
      </c>
      <c r="F926" t="s">
        <v>18</v>
      </c>
      <c r="G926" s="1">
        <v>44316</v>
      </c>
      <c r="H926" s="1">
        <v>44668</v>
      </c>
      <c r="I926" t="s">
        <v>2906</v>
      </c>
      <c r="J926" t="s">
        <v>3604</v>
      </c>
      <c r="K926" t="s">
        <v>37</v>
      </c>
      <c r="L926" t="s">
        <v>60</v>
      </c>
      <c r="M926" t="s">
        <v>22</v>
      </c>
      <c r="N926" t="str">
        <f t="shared" si="56"/>
        <v>Clean</v>
      </c>
      <c r="O926" t="str">
        <f t="shared" si="59"/>
        <v/>
      </c>
      <c r="P926" t="str">
        <f t="shared" si="57"/>
        <v>Clean</v>
      </c>
      <c r="Q926" t="str">
        <f t="shared" si="58"/>
        <v>Valid</v>
      </c>
    </row>
    <row r="927" spans="1:17" x14ac:dyDescent="0.3">
      <c r="A927" t="s">
        <v>3605</v>
      </c>
      <c r="B927" t="s">
        <v>767</v>
      </c>
      <c r="C927" t="s">
        <v>15</v>
      </c>
      <c r="D927" t="s">
        <v>67</v>
      </c>
      <c r="E927" t="s">
        <v>26</v>
      </c>
      <c r="F927" t="s">
        <v>18</v>
      </c>
      <c r="G927" s="1">
        <v>44982</v>
      </c>
      <c r="H927" s="1">
        <v>45268</v>
      </c>
      <c r="I927" t="s">
        <v>768</v>
      </c>
      <c r="J927" t="s">
        <v>3606</v>
      </c>
      <c r="K927" t="s">
        <v>29</v>
      </c>
      <c r="L927" t="s">
        <v>116</v>
      </c>
      <c r="M927" t="s">
        <v>22</v>
      </c>
      <c r="N927" t="str">
        <f t="shared" si="56"/>
        <v>Clean</v>
      </c>
      <c r="O927" t="str">
        <f t="shared" si="59"/>
        <v/>
      </c>
      <c r="P927" t="str">
        <f t="shared" si="57"/>
        <v>Clean</v>
      </c>
      <c r="Q927" t="str">
        <f t="shared" si="58"/>
        <v>Valid</v>
      </c>
    </row>
    <row r="928" spans="1:17" x14ac:dyDescent="0.3">
      <c r="A928" t="s">
        <v>3607</v>
      </c>
      <c r="B928" t="s">
        <v>3608</v>
      </c>
      <c r="C928" t="s">
        <v>46</v>
      </c>
      <c r="D928" t="s">
        <v>41</v>
      </c>
      <c r="E928" t="s">
        <v>17</v>
      </c>
      <c r="F928" t="s">
        <v>18</v>
      </c>
      <c r="G928" s="1">
        <v>43883</v>
      </c>
      <c r="H928" s="1">
        <v>43954</v>
      </c>
      <c r="I928" t="s">
        <v>3609</v>
      </c>
      <c r="J928" t="s">
        <v>3610</v>
      </c>
      <c r="K928" t="s">
        <v>90</v>
      </c>
      <c r="L928" t="s">
        <v>55</v>
      </c>
      <c r="M928" t="s">
        <v>22</v>
      </c>
      <c r="N928" t="str">
        <f t="shared" si="56"/>
        <v>Clean</v>
      </c>
      <c r="O928" t="str">
        <f t="shared" si="59"/>
        <v/>
      </c>
      <c r="P928" t="str">
        <f t="shared" si="57"/>
        <v>Clean</v>
      </c>
      <c r="Q928" t="str">
        <f t="shared" si="58"/>
        <v>Valid</v>
      </c>
    </row>
    <row r="929" spans="1:17" x14ac:dyDescent="0.3">
      <c r="A929" t="s">
        <v>3611</v>
      </c>
      <c r="B929" t="s">
        <v>3612</v>
      </c>
      <c r="C929" t="s">
        <v>15</v>
      </c>
      <c r="D929" t="s">
        <v>34</v>
      </c>
      <c r="E929" t="s">
        <v>26</v>
      </c>
      <c r="F929" t="s">
        <v>18</v>
      </c>
      <c r="G929" s="1">
        <v>44692</v>
      </c>
      <c r="H929" s="1">
        <v>44878</v>
      </c>
      <c r="I929" t="s">
        <v>3613</v>
      </c>
      <c r="J929" t="s">
        <v>3614</v>
      </c>
      <c r="K929" t="s">
        <v>21</v>
      </c>
      <c r="M929" t="s">
        <v>3735</v>
      </c>
      <c r="N929" t="str">
        <f t="shared" si="56"/>
        <v>Flagged</v>
      </c>
      <c r="O929" t="str">
        <f t="shared" si="59"/>
        <v>Missing Verified_By</v>
      </c>
      <c r="P929" t="str">
        <f t="shared" si="57"/>
        <v>Flagged for Review</v>
      </c>
      <c r="Q929" t="str">
        <f t="shared" si="58"/>
        <v>Valid</v>
      </c>
    </row>
    <row r="930" spans="1:17" x14ac:dyDescent="0.3">
      <c r="A930" t="s">
        <v>3615</v>
      </c>
      <c r="B930" t="s">
        <v>2934</v>
      </c>
      <c r="C930" t="s">
        <v>46</v>
      </c>
      <c r="D930" t="s">
        <v>41</v>
      </c>
      <c r="E930" t="s">
        <v>17</v>
      </c>
      <c r="F930" t="s">
        <v>151</v>
      </c>
      <c r="G930" s="1">
        <v>44006</v>
      </c>
      <c r="H930" s="1">
        <v>44338</v>
      </c>
      <c r="I930" t="s">
        <v>2935</v>
      </c>
      <c r="J930" t="s">
        <v>3616</v>
      </c>
      <c r="K930" t="s">
        <v>29</v>
      </c>
      <c r="L930" t="s">
        <v>60</v>
      </c>
      <c r="M930" t="s">
        <v>22</v>
      </c>
      <c r="N930" t="str">
        <f t="shared" si="56"/>
        <v>Clean</v>
      </c>
      <c r="O930" t="str">
        <f t="shared" si="59"/>
        <v/>
      </c>
      <c r="P930" t="str">
        <f t="shared" si="57"/>
        <v>Clean</v>
      </c>
      <c r="Q930" t="str">
        <f t="shared" si="58"/>
        <v>Valid</v>
      </c>
    </row>
    <row r="931" spans="1:17" x14ac:dyDescent="0.3">
      <c r="A931" t="s">
        <v>3617</v>
      </c>
      <c r="B931" t="s">
        <v>3618</v>
      </c>
      <c r="C931" t="s">
        <v>15</v>
      </c>
      <c r="D931" t="s">
        <v>77</v>
      </c>
      <c r="E931" t="s">
        <v>52</v>
      </c>
      <c r="F931" t="s">
        <v>18</v>
      </c>
      <c r="G931" s="1">
        <v>44759</v>
      </c>
      <c r="H931" s="1">
        <v>45030</v>
      </c>
      <c r="I931" t="s">
        <v>3619</v>
      </c>
      <c r="J931" t="s">
        <v>3620</v>
      </c>
      <c r="K931" t="s">
        <v>29</v>
      </c>
      <c r="L931" t="s">
        <v>30</v>
      </c>
      <c r="M931" t="s">
        <v>22</v>
      </c>
      <c r="N931" t="str">
        <f t="shared" si="56"/>
        <v>Clean</v>
      </c>
      <c r="O931" t="str">
        <f t="shared" si="59"/>
        <v/>
      </c>
      <c r="P931" t="str">
        <f t="shared" si="57"/>
        <v>Clean</v>
      </c>
      <c r="Q931" t="str">
        <f t="shared" si="58"/>
        <v>Valid</v>
      </c>
    </row>
    <row r="932" spans="1:17" x14ac:dyDescent="0.3">
      <c r="A932" t="s">
        <v>3621</v>
      </c>
      <c r="B932" t="s">
        <v>3622</v>
      </c>
      <c r="C932" t="s">
        <v>33</v>
      </c>
      <c r="D932" t="s">
        <v>41</v>
      </c>
      <c r="E932" t="s">
        <v>17</v>
      </c>
      <c r="F932" t="s">
        <v>18</v>
      </c>
      <c r="G932" s="1">
        <v>45408</v>
      </c>
      <c r="H932" s="1">
        <v>45442</v>
      </c>
      <c r="I932" t="s">
        <v>3623</v>
      </c>
      <c r="J932" t="s">
        <v>3624</v>
      </c>
      <c r="K932" t="s">
        <v>90</v>
      </c>
      <c r="L932" t="s">
        <v>30</v>
      </c>
      <c r="M932" t="s">
        <v>22</v>
      </c>
      <c r="N932" t="str">
        <f t="shared" si="56"/>
        <v>Clean</v>
      </c>
      <c r="O932" t="str">
        <f t="shared" si="59"/>
        <v/>
      </c>
      <c r="P932" t="str">
        <f t="shared" si="57"/>
        <v>Clean</v>
      </c>
      <c r="Q932" t="str">
        <f t="shared" si="58"/>
        <v>Valid</v>
      </c>
    </row>
    <row r="933" spans="1:17" x14ac:dyDescent="0.3">
      <c r="A933" t="s">
        <v>3625</v>
      </c>
      <c r="B933" t="s">
        <v>3626</v>
      </c>
      <c r="C933" t="s">
        <v>87</v>
      </c>
      <c r="D933" t="s">
        <v>41</v>
      </c>
      <c r="E933" t="s">
        <v>17</v>
      </c>
      <c r="F933" t="s">
        <v>160</v>
      </c>
      <c r="G933" s="1">
        <v>44264</v>
      </c>
      <c r="H933" s="1">
        <v>44530</v>
      </c>
      <c r="I933" t="s">
        <v>736</v>
      </c>
      <c r="J933" t="s">
        <v>1111</v>
      </c>
      <c r="K933" t="s">
        <v>29</v>
      </c>
      <c r="L933" t="s">
        <v>91</v>
      </c>
      <c r="M933" t="s">
        <v>3735</v>
      </c>
      <c r="N933" t="str">
        <f t="shared" si="56"/>
        <v>Flagged</v>
      </c>
      <c r="O933" t="str">
        <f t="shared" si="59"/>
        <v>Invalid Email Format</v>
      </c>
      <c r="P933" t="str">
        <f t="shared" si="57"/>
        <v>Flagged for Review</v>
      </c>
      <c r="Q933" t="str">
        <f t="shared" si="58"/>
        <v>Invalid</v>
      </c>
    </row>
    <row r="934" spans="1:17" x14ac:dyDescent="0.3">
      <c r="A934" t="s">
        <v>3627</v>
      </c>
      <c r="B934" t="s">
        <v>3628</v>
      </c>
      <c r="C934" t="s">
        <v>46</v>
      </c>
      <c r="D934" t="s">
        <v>41</v>
      </c>
      <c r="E934" t="s">
        <v>17</v>
      </c>
      <c r="F934" t="s">
        <v>151</v>
      </c>
      <c r="G934" s="1">
        <v>44592</v>
      </c>
      <c r="H934" s="1">
        <v>44697</v>
      </c>
      <c r="I934" t="s">
        <v>3629</v>
      </c>
      <c r="J934" t="s">
        <v>3630</v>
      </c>
      <c r="K934" t="s">
        <v>90</v>
      </c>
      <c r="L934" t="s">
        <v>91</v>
      </c>
      <c r="M934" t="s">
        <v>22</v>
      </c>
      <c r="N934" t="str">
        <f t="shared" si="56"/>
        <v>Clean</v>
      </c>
      <c r="O934" t="str">
        <f t="shared" si="59"/>
        <v/>
      </c>
      <c r="P934" t="str">
        <f t="shared" si="57"/>
        <v>Clean</v>
      </c>
      <c r="Q934" t="str">
        <f t="shared" si="58"/>
        <v>Valid</v>
      </c>
    </row>
    <row r="935" spans="1:17" x14ac:dyDescent="0.3">
      <c r="A935" t="s">
        <v>3631</v>
      </c>
      <c r="B935" t="s">
        <v>3632</v>
      </c>
      <c r="C935" t="s">
        <v>46</v>
      </c>
      <c r="D935" t="s">
        <v>51</v>
      </c>
      <c r="E935" t="s">
        <v>52</v>
      </c>
      <c r="F935" t="s">
        <v>160</v>
      </c>
      <c r="G935" s="1">
        <v>45269</v>
      </c>
      <c r="H935" s="1">
        <v>45320</v>
      </c>
      <c r="I935" t="s">
        <v>3633</v>
      </c>
      <c r="J935" t="s">
        <v>3634</v>
      </c>
      <c r="K935" t="s">
        <v>90</v>
      </c>
      <c r="M935" t="s">
        <v>3735</v>
      </c>
      <c r="N935" t="str">
        <f t="shared" si="56"/>
        <v>Flagged</v>
      </c>
      <c r="O935" t="str">
        <f t="shared" si="59"/>
        <v>Missing Verified_By</v>
      </c>
      <c r="P935" t="str">
        <f t="shared" si="57"/>
        <v>Flagged for Review</v>
      </c>
      <c r="Q935" t="str">
        <f t="shared" si="58"/>
        <v>Valid</v>
      </c>
    </row>
    <row r="936" spans="1:17" x14ac:dyDescent="0.3">
      <c r="A936" t="s">
        <v>3635</v>
      </c>
      <c r="B936" t="s">
        <v>3636</v>
      </c>
      <c r="C936" t="s">
        <v>181</v>
      </c>
      <c r="D936" t="s">
        <v>16</v>
      </c>
      <c r="E936" t="s">
        <v>17</v>
      </c>
      <c r="F936" t="s">
        <v>18</v>
      </c>
      <c r="G936" s="1">
        <v>43718</v>
      </c>
      <c r="H936" s="1">
        <v>43795</v>
      </c>
      <c r="I936" t="s">
        <v>3637</v>
      </c>
      <c r="J936" t="s">
        <v>3638</v>
      </c>
      <c r="K936" t="s">
        <v>29</v>
      </c>
      <c r="L936" t="s">
        <v>91</v>
      </c>
      <c r="M936" t="s">
        <v>22</v>
      </c>
      <c r="N936" t="str">
        <f t="shared" si="56"/>
        <v>Clean</v>
      </c>
      <c r="O936" t="str">
        <f t="shared" si="59"/>
        <v/>
      </c>
      <c r="P936" t="str">
        <f t="shared" si="57"/>
        <v>Clean</v>
      </c>
      <c r="Q936" t="str">
        <f t="shared" si="58"/>
        <v>Valid</v>
      </c>
    </row>
    <row r="937" spans="1:17" x14ac:dyDescent="0.3">
      <c r="A937" t="s">
        <v>3639</v>
      </c>
      <c r="B937" t="s">
        <v>3640</v>
      </c>
      <c r="C937" t="s">
        <v>46</v>
      </c>
      <c r="D937" t="s">
        <v>25</v>
      </c>
      <c r="E937" t="s">
        <v>26</v>
      </c>
      <c r="F937" t="s">
        <v>160</v>
      </c>
      <c r="G937" s="1">
        <v>44183</v>
      </c>
      <c r="H937" s="1">
        <v>44423</v>
      </c>
      <c r="I937" t="s">
        <v>3641</v>
      </c>
      <c r="J937" t="s">
        <v>3162</v>
      </c>
      <c r="K937" t="s">
        <v>29</v>
      </c>
      <c r="L937" t="s">
        <v>55</v>
      </c>
      <c r="M937" t="s">
        <v>22</v>
      </c>
      <c r="N937" t="str">
        <f t="shared" si="56"/>
        <v>Clean</v>
      </c>
      <c r="O937" t="str">
        <f t="shared" si="59"/>
        <v/>
      </c>
      <c r="P937" t="str">
        <f t="shared" si="57"/>
        <v>Clean</v>
      </c>
      <c r="Q937" t="str">
        <f t="shared" si="58"/>
        <v>Valid</v>
      </c>
    </row>
    <row r="938" spans="1:17" x14ac:dyDescent="0.3">
      <c r="A938" t="s">
        <v>3642</v>
      </c>
      <c r="B938" t="s">
        <v>3643</v>
      </c>
      <c r="C938" t="s">
        <v>87</v>
      </c>
      <c r="D938" t="s">
        <v>25</v>
      </c>
      <c r="E938" t="s">
        <v>26</v>
      </c>
      <c r="F938" t="s">
        <v>18</v>
      </c>
      <c r="G938" s="1">
        <v>45651</v>
      </c>
      <c r="H938" s="1">
        <v>45763</v>
      </c>
      <c r="I938" t="s">
        <v>3644</v>
      </c>
      <c r="J938" t="s">
        <v>3645</v>
      </c>
      <c r="K938" t="s">
        <v>29</v>
      </c>
      <c r="M938" t="s">
        <v>3735</v>
      </c>
      <c r="N938" t="str">
        <f t="shared" si="56"/>
        <v>Flagged</v>
      </c>
      <c r="O938" t="str">
        <f t="shared" si="59"/>
        <v>Missing Verified_By</v>
      </c>
      <c r="P938" t="str">
        <f t="shared" si="57"/>
        <v>Flagged for Review</v>
      </c>
      <c r="Q938" t="str">
        <f t="shared" si="58"/>
        <v>Valid</v>
      </c>
    </row>
    <row r="939" spans="1:17" x14ac:dyDescent="0.3">
      <c r="A939" t="s">
        <v>3646</v>
      </c>
      <c r="B939" t="s">
        <v>3721</v>
      </c>
      <c r="C939" t="s">
        <v>87</v>
      </c>
      <c r="D939" t="s">
        <v>51</v>
      </c>
      <c r="E939" t="s">
        <v>52</v>
      </c>
      <c r="F939" t="s">
        <v>18</v>
      </c>
      <c r="G939" s="1">
        <v>43785</v>
      </c>
      <c r="H939" s="1">
        <v>44077</v>
      </c>
      <c r="I939" t="s">
        <v>3647</v>
      </c>
      <c r="J939" t="s">
        <v>3648</v>
      </c>
      <c r="K939" t="s">
        <v>90</v>
      </c>
      <c r="L939" t="s">
        <v>55</v>
      </c>
      <c r="M939" t="s">
        <v>3735</v>
      </c>
      <c r="N939" t="str">
        <f t="shared" si="56"/>
        <v>Flagged</v>
      </c>
      <c r="O939" t="str">
        <f t="shared" si="59"/>
        <v>Missing Vendor_Name</v>
      </c>
      <c r="P939" t="str">
        <f t="shared" si="57"/>
        <v>Flagged for Review</v>
      </c>
      <c r="Q939" t="str">
        <f t="shared" si="58"/>
        <v>Valid</v>
      </c>
    </row>
    <row r="940" spans="1:17" x14ac:dyDescent="0.3">
      <c r="A940" t="s">
        <v>3649</v>
      </c>
      <c r="B940" t="s">
        <v>3650</v>
      </c>
      <c r="C940" t="s">
        <v>15</v>
      </c>
      <c r="D940" t="s">
        <v>34</v>
      </c>
      <c r="E940" t="s">
        <v>26</v>
      </c>
      <c r="F940" t="s">
        <v>18</v>
      </c>
      <c r="G940" s="1">
        <v>43965</v>
      </c>
      <c r="H940" s="1">
        <v>44258</v>
      </c>
      <c r="I940" t="s">
        <v>3651</v>
      </c>
      <c r="J940" t="s">
        <v>3652</v>
      </c>
      <c r="K940" t="s">
        <v>21</v>
      </c>
      <c r="L940" t="s">
        <v>116</v>
      </c>
      <c r="M940" t="s">
        <v>22</v>
      </c>
      <c r="N940" t="str">
        <f t="shared" si="56"/>
        <v>Clean</v>
      </c>
      <c r="O940" t="str">
        <f t="shared" si="59"/>
        <v/>
      </c>
      <c r="P940" t="str">
        <f t="shared" si="57"/>
        <v>Clean</v>
      </c>
      <c r="Q940" t="str">
        <f t="shared" si="58"/>
        <v>Valid</v>
      </c>
    </row>
    <row r="941" spans="1:17" x14ac:dyDescent="0.3">
      <c r="A941" t="s">
        <v>3653</v>
      </c>
      <c r="B941" t="s">
        <v>3654</v>
      </c>
      <c r="C941" t="s">
        <v>40</v>
      </c>
      <c r="D941" t="s">
        <v>51</v>
      </c>
      <c r="E941" t="s">
        <v>52</v>
      </c>
      <c r="F941" t="s">
        <v>160</v>
      </c>
      <c r="G941" s="1">
        <v>44016</v>
      </c>
      <c r="H941" s="1">
        <v>44363</v>
      </c>
      <c r="I941" t="s">
        <v>3655</v>
      </c>
      <c r="J941" t="s">
        <v>3656</v>
      </c>
      <c r="K941" t="s">
        <v>21</v>
      </c>
      <c r="L941" t="s">
        <v>30</v>
      </c>
      <c r="M941" t="s">
        <v>22</v>
      </c>
      <c r="N941" t="str">
        <f t="shared" si="56"/>
        <v>Clean</v>
      </c>
      <c r="O941" t="str">
        <f t="shared" si="59"/>
        <v/>
      </c>
      <c r="P941" t="str">
        <f t="shared" si="57"/>
        <v>Clean</v>
      </c>
      <c r="Q941" t="str">
        <f t="shared" si="58"/>
        <v>Valid</v>
      </c>
    </row>
    <row r="942" spans="1:17" x14ac:dyDescent="0.3">
      <c r="A942" t="s">
        <v>3657</v>
      </c>
      <c r="B942" t="s">
        <v>3658</v>
      </c>
      <c r="C942" t="s">
        <v>15</v>
      </c>
      <c r="D942" t="s">
        <v>16</v>
      </c>
      <c r="E942" t="s">
        <v>17</v>
      </c>
      <c r="F942" t="s">
        <v>18</v>
      </c>
      <c r="G942" s="1">
        <v>44350</v>
      </c>
      <c r="H942" s="1">
        <v>44469</v>
      </c>
      <c r="I942" t="s">
        <v>3659</v>
      </c>
      <c r="J942" t="s">
        <v>3660</v>
      </c>
      <c r="K942" t="s">
        <v>90</v>
      </c>
      <c r="L942" t="s">
        <v>116</v>
      </c>
      <c r="M942" t="s">
        <v>22</v>
      </c>
      <c r="N942" t="str">
        <f t="shared" si="56"/>
        <v>Clean</v>
      </c>
      <c r="O942" t="str">
        <f t="shared" si="59"/>
        <v/>
      </c>
      <c r="P942" t="str">
        <f t="shared" si="57"/>
        <v>Clean</v>
      </c>
      <c r="Q942" t="str">
        <f t="shared" si="58"/>
        <v>Valid</v>
      </c>
    </row>
    <row r="943" spans="1:17" x14ac:dyDescent="0.3">
      <c r="A943" t="s">
        <v>3661</v>
      </c>
      <c r="B943" t="s">
        <v>3662</v>
      </c>
      <c r="C943" t="s">
        <v>15</v>
      </c>
      <c r="D943" t="s">
        <v>25</v>
      </c>
      <c r="E943" t="s">
        <v>26</v>
      </c>
      <c r="F943" t="s">
        <v>18</v>
      </c>
      <c r="G943" s="1">
        <v>44831</v>
      </c>
      <c r="H943" s="1">
        <v>45005</v>
      </c>
      <c r="I943" t="s">
        <v>3663</v>
      </c>
      <c r="J943" t="s">
        <v>3664</v>
      </c>
      <c r="K943" t="s">
        <v>37</v>
      </c>
      <c r="L943" t="s">
        <v>55</v>
      </c>
      <c r="M943" t="s">
        <v>22</v>
      </c>
      <c r="N943" t="str">
        <f t="shared" si="56"/>
        <v>Clean</v>
      </c>
      <c r="O943" t="str">
        <f t="shared" si="59"/>
        <v/>
      </c>
      <c r="P943" t="str">
        <f t="shared" si="57"/>
        <v>Clean</v>
      </c>
      <c r="Q943" t="str">
        <f t="shared" si="58"/>
        <v>Valid</v>
      </c>
    </row>
    <row r="944" spans="1:17" x14ac:dyDescent="0.3">
      <c r="A944" t="s">
        <v>3665</v>
      </c>
      <c r="B944" t="s">
        <v>3666</v>
      </c>
      <c r="C944" t="s">
        <v>40</v>
      </c>
      <c r="D944" t="s">
        <v>51</v>
      </c>
      <c r="E944" t="s">
        <v>52</v>
      </c>
      <c r="F944" t="s">
        <v>18</v>
      </c>
      <c r="G944" s="1">
        <v>45378</v>
      </c>
      <c r="H944" s="1">
        <v>45405</v>
      </c>
      <c r="I944" t="s">
        <v>3667</v>
      </c>
      <c r="J944" t="s">
        <v>3668</v>
      </c>
      <c r="K944" t="s">
        <v>21</v>
      </c>
      <c r="M944" t="s">
        <v>3735</v>
      </c>
      <c r="N944" t="str">
        <f t="shared" si="56"/>
        <v>Flagged</v>
      </c>
      <c r="O944" t="str">
        <f t="shared" si="59"/>
        <v>Missing Verified_By</v>
      </c>
      <c r="P944" t="str">
        <f t="shared" si="57"/>
        <v>Flagged for Review</v>
      </c>
      <c r="Q944" t="str">
        <f t="shared" si="58"/>
        <v>Valid</v>
      </c>
    </row>
    <row r="945" spans="1:17" x14ac:dyDescent="0.3">
      <c r="A945" t="s">
        <v>3669</v>
      </c>
      <c r="B945" t="s">
        <v>3670</v>
      </c>
      <c r="C945" t="s">
        <v>46</v>
      </c>
      <c r="D945" t="s">
        <v>41</v>
      </c>
      <c r="E945" t="s">
        <v>17</v>
      </c>
      <c r="F945" t="s">
        <v>151</v>
      </c>
      <c r="G945" s="1">
        <v>43486</v>
      </c>
      <c r="H945" s="1">
        <v>43699</v>
      </c>
      <c r="I945" t="s">
        <v>3671</v>
      </c>
      <c r="J945" t="s">
        <v>3672</v>
      </c>
      <c r="K945" t="s">
        <v>21</v>
      </c>
      <c r="M945" t="s">
        <v>3735</v>
      </c>
      <c r="N945" t="str">
        <f t="shared" si="56"/>
        <v>Flagged</v>
      </c>
      <c r="O945" t="str">
        <f t="shared" si="59"/>
        <v>Missing Verified_By</v>
      </c>
      <c r="P945" t="str">
        <f t="shared" si="57"/>
        <v>Flagged for Review</v>
      </c>
      <c r="Q945" t="str">
        <f t="shared" si="58"/>
        <v>Valid</v>
      </c>
    </row>
    <row r="946" spans="1:17" x14ac:dyDescent="0.3">
      <c r="A946" t="s">
        <v>3673</v>
      </c>
      <c r="B946" t="s">
        <v>3674</v>
      </c>
      <c r="C946" t="s">
        <v>40</v>
      </c>
      <c r="D946" t="s">
        <v>77</v>
      </c>
      <c r="E946" t="s">
        <v>52</v>
      </c>
      <c r="F946" t="s">
        <v>18</v>
      </c>
      <c r="G946" s="1">
        <v>44450</v>
      </c>
      <c r="H946" s="1">
        <v>44803</v>
      </c>
      <c r="I946" t="s">
        <v>3675</v>
      </c>
      <c r="J946" t="s">
        <v>3676</v>
      </c>
      <c r="K946" t="s">
        <v>21</v>
      </c>
      <c r="L946" t="s">
        <v>60</v>
      </c>
      <c r="M946" t="s">
        <v>22</v>
      </c>
      <c r="N946" t="str">
        <f t="shared" si="56"/>
        <v>Clean</v>
      </c>
      <c r="O946" t="str">
        <f t="shared" si="59"/>
        <v/>
      </c>
      <c r="P946" t="str">
        <f t="shared" si="57"/>
        <v>Clean</v>
      </c>
      <c r="Q946" t="str">
        <f t="shared" si="58"/>
        <v>Valid</v>
      </c>
    </row>
    <row r="947" spans="1:17" x14ac:dyDescent="0.3">
      <c r="A947" t="s">
        <v>3677</v>
      </c>
      <c r="B947" t="s">
        <v>3678</v>
      </c>
      <c r="C947" t="s">
        <v>15</v>
      </c>
      <c r="D947" t="s">
        <v>77</v>
      </c>
      <c r="E947" t="s">
        <v>52</v>
      </c>
      <c r="F947" t="s">
        <v>151</v>
      </c>
      <c r="G947" s="1">
        <v>44113</v>
      </c>
      <c r="H947" s="1">
        <v>44150</v>
      </c>
      <c r="I947" t="s">
        <v>3679</v>
      </c>
      <c r="J947" t="s">
        <v>3680</v>
      </c>
      <c r="K947" t="s">
        <v>29</v>
      </c>
      <c r="M947" t="s">
        <v>3735</v>
      </c>
      <c r="N947" t="str">
        <f t="shared" si="56"/>
        <v>Flagged</v>
      </c>
      <c r="O947" t="str">
        <f t="shared" si="59"/>
        <v>Missing Verified_By</v>
      </c>
      <c r="P947" t="str">
        <f t="shared" si="57"/>
        <v>Flagged for Review</v>
      </c>
      <c r="Q947" t="str">
        <f t="shared" si="58"/>
        <v>Valid</v>
      </c>
    </row>
    <row r="948" spans="1:17" x14ac:dyDescent="0.3">
      <c r="A948" t="s">
        <v>3681</v>
      </c>
      <c r="B948" t="s">
        <v>3682</v>
      </c>
      <c r="C948" t="s">
        <v>40</v>
      </c>
      <c r="D948" t="s">
        <v>77</v>
      </c>
      <c r="E948" t="s">
        <v>52</v>
      </c>
      <c r="F948" t="s">
        <v>160</v>
      </c>
      <c r="G948" s="1">
        <v>44460</v>
      </c>
      <c r="I948" t="s">
        <v>3683</v>
      </c>
      <c r="J948" t="s">
        <v>3684</v>
      </c>
      <c r="K948" t="s">
        <v>21</v>
      </c>
      <c r="L948" t="s">
        <v>55</v>
      </c>
      <c r="M948" t="s">
        <v>3735</v>
      </c>
      <c r="N948" t="str">
        <f t="shared" si="56"/>
        <v>Flagged</v>
      </c>
      <c r="O948" t="str">
        <f t="shared" si="59"/>
        <v>Missing Last_Updated</v>
      </c>
      <c r="P948" t="str">
        <f t="shared" si="57"/>
        <v>Flagged for Review</v>
      </c>
      <c r="Q948" t="str">
        <f t="shared" si="58"/>
        <v>Valid</v>
      </c>
    </row>
    <row r="949" spans="1:17" x14ac:dyDescent="0.3">
      <c r="A949" t="s">
        <v>3685</v>
      </c>
      <c r="B949" t="s">
        <v>3686</v>
      </c>
      <c r="C949" t="s">
        <v>40</v>
      </c>
      <c r="D949" t="s">
        <v>34</v>
      </c>
      <c r="E949" t="s">
        <v>26</v>
      </c>
      <c r="F949" t="s">
        <v>151</v>
      </c>
      <c r="G949" s="1">
        <v>44133</v>
      </c>
      <c r="H949" s="1">
        <v>44206</v>
      </c>
      <c r="I949" t="s">
        <v>3687</v>
      </c>
      <c r="J949" t="s">
        <v>3688</v>
      </c>
      <c r="K949" t="s">
        <v>21</v>
      </c>
      <c r="M949" t="s">
        <v>3735</v>
      </c>
      <c r="N949" t="str">
        <f t="shared" si="56"/>
        <v>Flagged</v>
      </c>
      <c r="O949" t="str">
        <f t="shared" si="59"/>
        <v>Missing Verified_By</v>
      </c>
      <c r="P949" t="str">
        <f t="shared" si="57"/>
        <v>Flagged for Review</v>
      </c>
      <c r="Q949" t="str">
        <f t="shared" si="58"/>
        <v>Valid</v>
      </c>
    </row>
    <row r="950" spans="1:17" x14ac:dyDescent="0.3">
      <c r="A950" t="s">
        <v>3689</v>
      </c>
      <c r="B950" t="s">
        <v>3690</v>
      </c>
      <c r="C950" t="s">
        <v>87</v>
      </c>
      <c r="D950" t="s">
        <v>16</v>
      </c>
      <c r="E950" t="s">
        <v>17</v>
      </c>
      <c r="F950" t="s">
        <v>18</v>
      </c>
      <c r="G950" s="1">
        <v>45095</v>
      </c>
      <c r="H950" s="1">
        <v>45270</v>
      </c>
      <c r="I950" t="s">
        <v>3691</v>
      </c>
      <c r="J950" t="s">
        <v>3692</v>
      </c>
      <c r="K950" t="s">
        <v>37</v>
      </c>
      <c r="L950" t="s">
        <v>55</v>
      </c>
      <c r="M950" t="s">
        <v>22</v>
      </c>
      <c r="N950" t="str">
        <f t="shared" si="56"/>
        <v>Clean</v>
      </c>
      <c r="O950" t="str">
        <f t="shared" si="59"/>
        <v/>
      </c>
      <c r="P950" t="str">
        <f t="shared" si="57"/>
        <v>Clean</v>
      </c>
      <c r="Q950" t="str">
        <f t="shared" si="58"/>
        <v>Valid</v>
      </c>
    </row>
    <row r="951" spans="1:17" x14ac:dyDescent="0.3">
      <c r="A951" t="s">
        <v>3693</v>
      </c>
      <c r="B951" t="s">
        <v>3694</v>
      </c>
      <c r="C951" t="s">
        <v>87</v>
      </c>
      <c r="D951" t="s">
        <v>34</v>
      </c>
      <c r="E951" t="s">
        <v>26</v>
      </c>
      <c r="F951" t="s">
        <v>151</v>
      </c>
      <c r="G951" s="1">
        <v>44397</v>
      </c>
      <c r="H951" s="1">
        <v>44443</v>
      </c>
      <c r="I951" t="s">
        <v>3695</v>
      </c>
      <c r="J951" t="s">
        <v>3696</v>
      </c>
      <c r="K951" t="s">
        <v>90</v>
      </c>
      <c r="L951" t="s">
        <v>30</v>
      </c>
      <c r="M951" t="s">
        <v>22</v>
      </c>
      <c r="N951" t="str">
        <f t="shared" si="56"/>
        <v>Clean</v>
      </c>
      <c r="O951" t="str">
        <f t="shared" si="59"/>
        <v/>
      </c>
      <c r="P951" t="str">
        <f t="shared" si="57"/>
        <v>Clean</v>
      </c>
      <c r="Q951" t="str">
        <f t="shared" si="58"/>
        <v>Valid</v>
      </c>
    </row>
  </sheetData>
  <conditionalFormatting sqref="A1:A951 A1002:A1048576">
    <cfRule type="duplicateValues" dxfId="9" priority="9"/>
  </conditionalFormatting>
  <conditionalFormatting sqref="B2:B951">
    <cfRule type="expression" dxfId="8" priority="4">
      <formula>AND(B2&lt;&gt;"",LEN(B2)&lt;&gt;LEN(TRIM(B2)))</formula>
    </cfRule>
    <cfRule type="containsBlanks" dxfId="7" priority="10">
      <formula>LEN(TRIM(B2))=0</formula>
    </cfRule>
  </conditionalFormatting>
  <conditionalFormatting sqref="H2:J951">
    <cfRule type="containsBlanks" dxfId="6" priority="2">
      <formula>LEN(TRIM(H2))=0</formula>
    </cfRule>
  </conditionalFormatting>
  <conditionalFormatting sqref="L2:L951">
    <cfRule type="containsBlanks" dxfId="5" priority="11">
      <formula>LEN(TRIM(L2))=0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1943-38E3-4310-8B20-E91FE043FAE1}">
  <dimension ref="A1:E8"/>
  <sheetViews>
    <sheetView workbookViewId="0">
      <selection activeCell="B5" sqref="B5"/>
    </sheetView>
  </sheetViews>
  <sheetFormatPr defaultRowHeight="14.4" x14ac:dyDescent="0.3"/>
  <cols>
    <col min="1" max="1" width="13.88671875" bestFit="1" customWidth="1"/>
    <col min="2" max="2" width="12.33203125" bestFit="1" customWidth="1"/>
    <col min="3" max="3" width="9" bestFit="1" customWidth="1"/>
    <col min="4" max="4" width="15.5546875" bestFit="1" customWidth="1"/>
    <col min="5" max="5" width="12.77734375" bestFit="1" customWidth="1"/>
  </cols>
  <sheetData>
    <row r="1" spans="1:5" x14ac:dyDescent="0.3">
      <c r="A1" s="4" t="s">
        <v>3700</v>
      </c>
      <c r="B1" s="4" t="s">
        <v>3701</v>
      </c>
      <c r="C1" s="4" t="s">
        <v>3</v>
      </c>
      <c r="D1" s="4" t="s">
        <v>3702</v>
      </c>
      <c r="E1" s="4" t="s">
        <v>10</v>
      </c>
    </row>
    <row r="2" spans="1:5" x14ac:dyDescent="0.3">
      <c r="A2" t="s">
        <v>76</v>
      </c>
      <c r="B2" t="s">
        <v>18</v>
      </c>
      <c r="C2" t="s">
        <v>25</v>
      </c>
      <c r="D2" t="s">
        <v>26</v>
      </c>
      <c r="E2" t="s">
        <v>21</v>
      </c>
    </row>
    <row r="3" spans="1:5" x14ac:dyDescent="0.3">
      <c r="A3" t="s">
        <v>181</v>
      </c>
      <c r="B3" t="s">
        <v>160</v>
      </c>
      <c r="C3" t="s">
        <v>34</v>
      </c>
      <c r="D3" t="s">
        <v>26</v>
      </c>
      <c r="E3" t="s">
        <v>29</v>
      </c>
    </row>
    <row r="4" spans="1:5" x14ac:dyDescent="0.3">
      <c r="A4" t="s">
        <v>33</v>
      </c>
      <c r="B4" t="s">
        <v>151</v>
      </c>
      <c r="C4" t="s">
        <v>67</v>
      </c>
      <c r="D4" t="s">
        <v>26</v>
      </c>
      <c r="E4" t="s">
        <v>37</v>
      </c>
    </row>
    <row r="5" spans="1:5" x14ac:dyDescent="0.3">
      <c r="A5" t="s">
        <v>40</v>
      </c>
      <c r="C5" t="s">
        <v>41</v>
      </c>
      <c r="D5" t="s">
        <v>17</v>
      </c>
      <c r="E5" t="s">
        <v>90</v>
      </c>
    </row>
    <row r="6" spans="1:5" x14ac:dyDescent="0.3">
      <c r="A6" t="s">
        <v>46</v>
      </c>
      <c r="C6" t="s">
        <v>16</v>
      </c>
      <c r="D6" t="s">
        <v>17</v>
      </c>
    </row>
    <row r="7" spans="1:5" x14ac:dyDescent="0.3">
      <c r="A7" t="s">
        <v>87</v>
      </c>
      <c r="C7" t="s">
        <v>51</v>
      </c>
      <c r="D7" t="s">
        <v>52</v>
      </c>
    </row>
    <row r="8" spans="1:5" x14ac:dyDescent="0.3">
      <c r="A8" t="s">
        <v>15</v>
      </c>
      <c r="C8" t="s">
        <v>77</v>
      </c>
      <c r="D8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9E54-72AE-494F-8655-B2082421DBA3}">
  <dimension ref="A1:I14"/>
  <sheetViews>
    <sheetView topLeftCell="D1" workbookViewId="0">
      <selection activeCell="L18" sqref="L18"/>
    </sheetView>
  </sheetViews>
  <sheetFormatPr defaultRowHeight="14.4" x14ac:dyDescent="0.3"/>
  <cols>
    <col min="1" max="1" width="7.88671875" bestFit="1" customWidth="1"/>
    <col min="2" max="2" width="9.6640625" bestFit="1" customWidth="1"/>
    <col min="3" max="3" width="12.21875" bestFit="1" customWidth="1"/>
    <col min="4" max="4" width="20.88671875" bestFit="1" customWidth="1"/>
    <col min="5" max="5" width="6.109375" bestFit="1" customWidth="1"/>
    <col min="6" max="6" width="12.77734375" bestFit="1" customWidth="1"/>
    <col min="7" max="7" width="14.77734375" bestFit="1" customWidth="1"/>
    <col min="8" max="8" width="20.88671875" bestFit="1" customWidth="1"/>
    <col min="9" max="9" width="6.109375" bestFit="1" customWidth="1"/>
    <col min="10" max="10" width="9.77734375" bestFit="1" customWidth="1"/>
    <col min="11" max="11" width="11.6640625" bestFit="1" customWidth="1"/>
    <col min="12" max="12" width="36.109375" customWidth="1"/>
    <col min="13" max="13" width="20.88671875" bestFit="1" customWidth="1"/>
  </cols>
  <sheetData>
    <row r="1" spans="1:9" x14ac:dyDescent="0.3">
      <c r="A1" t="s">
        <v>3703</v>
      </c>
      <c r="B1" t="s">
        <v>0</v>
      </c>
      <c r="C1" t="s">
        <v>3704</v>
      </c>
      <c r="D1" s="6" t="s">
        <v>3705</v>
      </c>
      <c r="E1" s="6" t="s">
        <v>3718</v>
      </c>
      <c r="H1" s="4" t="s">
        <v>3705</v>
      </c>
      <c r="I1" s="4" t="s">
        <v>3718</v>
      </c>
    </row>
    <row r="2" spans="1:9" x14ac:dyDescent="0.3">
      <c r="D2" t="s">
        <v>3706</v>
      </c>
      <c r="E2">
        <v>97</v>
      </c>
      <c r="H2" t="s">
        <v>3706</v>
      </c>
      <c r="I2">
        <f>SUMPRODUCT((COUNTIF(validated_data!$A$2:$A$951,validated_data!$A$2:$A$951)&gt;1)*1)</f>
        <v>0</v>
      </c>
    </row>
    <row r="3" spans="1:9" x14ac:dyDescent="0.3">
      <c r="D3" t="s">
        <v>3707</v>
      </c>
      <c r="E3">
        <v>20</v>
      </c>
      <c r="H3" t="s">
        <v>3707</v>
      </c>
      <c r="I3">
        <f>COUNTBLANK(validated_data!$B$2:$B$951)</f>
        <v>17</v>
      </c>
    </row>
    <row r="4" spans="1:9" x14ac:dyDescent="0.3">
      <c r="D4" t="s">
        <v>3708</v>
      </c>
      <c r="E4">
        <v>19</v>
      </c>
      <c r="H4" t="s">
        <v>3708</v>
      </c>
      <c r="I4">
        <f>SUMPRODUCT((LEN(validated_data!$B$2:$B$951)&lt;&gt;LEN(TRIM(validated_data!$B$2:$B$951)))*(validated_data!$B$2:$B$951&lt;&gt;""))</f>
        <v>0</v>
      </c>
    </row>
    <row r="5" spans="1:9" x14ac:dyDescent="0.3">
      <c r="D5" t="s">
        <v>3709</v>
      </c>
      <c r="E5">
        <v>25</v>
      </c>
      <c r="H5" t="s">
        <v>3709</v>
      </c>
      <c r="I5">
        <v>0</v>
      </c>
    </row>
    <row r="6" spans="1:9" x14ac:dyDescent="0.3">
      <c r="D6" t="s">
        <v>3710</v>
      </c>
      <c r="E6">
        <v>17</v>
      </c>
      <c r="H6" t="s">
        <v>3710</v>
      </c>
      <c r="I6">
        <v>0</v>
      </c>
    </row>
    <row r="7" spans="1:9" x14ac:dyDescent="0.3">
      <c r="D7" t="s">
        <v>3711</v>
      </c>
      <c r="E7">
        <v>15</v>
      </c>
      <c r="H7" t="s">
        <v>3711</v>
      </c>
      <c r="I7">
        <f>COUNTBLANK(validated_data!$I$2:$I$951)</f>
        <v>15</v>
      </c>
    </row>
    <row r="8" spans="1:9" x14ac:dyDescent="0.3">
      <c r="D8" t="s">
        <v>3712</v>
      </c>
      <c r="E8">
        <v>18</v>
      </c>
      <c r="H8" t="s">
        <v>3712</v>
      </c>
      <c r="I8">
        <f>COUNTIF(validated_data!$Q$2:$Q$951,"Invalid")</f>
        <v>16</v>
      </c>
    </row>
    <row r="9" spans="1:9" x14ac:dyDescent="0.3">
      <c r="D9" t="s">
        <v>3713</v>
      </c>
      <c r="E9">
        <v>20</v>
      </c>
      <c r="H9" t="s">
        <v>3713</v>
      </c>
      <c r="I9">
        <f>COUNTBLANK(validated_data!$J$2:$J$951)</f>
        <v>17</v>
      </c>
    </row>
    <row r="10" spans="1:9" x14ac:dyDescent="0.3">
      <c r="D10" t="s">
        <v>3714</v>
      </c>
      <c r="E10">
        <v>10</v>
      </c>
      <c r="H10" t="s">
        <v>3714</v>
      </c>
      <c r="I10">
        <f>COUNTBLANK(validated_data!$E$2:$E$951)</f>
        <v>0</v>
      </c>
    </row>
    <row r="11" spans="1:9" x14ac:dyDescent="0.3">
      <c r="D11" t="s">
        <v>3715</v>
      </c>
      <c r="E11">
        <v>15</v>
      </c>
      <c r="H11" t="s">
        <v>3715</v>
      </c>
      <c r="I11">
        <v>0</v>
      </c>
    </row>
    <row r="12" spans="1:9" x14ac:dyDescent="0.3">
      <c r="D12" t="s">
        <v>3716</v>
      </c>
      <c r="E12">
        <v>10</v>
      </c>
      <c r="H12" t="s">
        <v>3716</v>
      </c>
      <c r="I12">
        <f>COUNTBLANK(validated_data!$H$2:$H$951)</f>
        <v>9</v>
      </c>
    </row>
    <row r="13" spans="1:9" x14ac:dyDescent="0.3">
      <c r="D13" t="s">
        <v>3734</v>
      </c>
      <c r="E13">
        <v>179</v>
      </c>
      <c r="H13" t="s">
        <v>3734</v>
      </c>
      <c r="I13">
        <f>COUNTBLANK(validated_data!$L$2:$L$951)</f>
        <v>179</v>
      </c>
    </row>
    <row r="14" spans="1:9" x14ac:dyDescent="0.3">
      <c r="D14" t="s">
        <v>3717</v>
      </c>
      <c r="E14">
        <f>SUM(E2:E13)</f>
        <v>445</v>
      </c>
      <c r="H14" t="s">
        <v>3717</v>
      </c>
      <c r="I14">
        <f>SUM(I2:I13)</f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42FB-BBC0-483B-99E9-DC0507527EC5}">
  <dimension ref="A1:M951"/>
  <sheetViews>
    <sheetView topLeftCell="A221" workbookViewId="0">
      <selection activeCell="O7" sqref="O7"/>
    </sheetView>
  </sheetViews>
  <sheetFormatPr defaultRowHeight="14.4" x14ac:dyDescent="0.3"/>
  <cols>
    <col min="1" max="1" width="14.44140625" bestFit="1" customWidth="1"/>
    <col min="2" max="2" width="18.44140625" bestFit="1" customWidth="1"/>
    <col min="3" max="3" width="13" bestFit="1" customWidth="1"/>
    <col min="4" max="4" width="12.21875" bestFit="1" customWidth="1"/>
    <col min="5" max="5" width="11.21875" bestFit="1" customWidth="1"/>
    <col min="6" max="6" width="12.33203125" bestFit="1" customWidth="1"/>
    <col min="7" max="7" width="20.44140625" bestFit="1" customWidth="1"/>
    <col min="8" max="8" width="17.109375" bestFit="1" customWidth="1"/>
    <col min="9" max="9" width="30.88671875" bestFit="1" customWidth="1"/>
    <col min="10" max="10" width="17.88671875" bestFit="1" customWidth="1"/>
    <col min="11" max="11" width="16.109375" bestFit="1" customWidth="1"/>
    <col min="12" max="12" width="15.109375" bestFit="1" customWidth="1"/>
    <col min="13" max="13" width="17.6640625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hidden="1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43604</v>
      </c>
      <c r="H2">
        <v>43744</v>
      </c>
      <c r="I2" t="s">
        <v>19</v>
      </c>
      <c r="J2" t="s">
        <v>20</v>
      </c>
      <c r="K2" t="s">
        <v>21</v>
      </c>
      <c r="M2" t="s">
        <v>3735</v>
      </c>
    </row>
    <row r="3" spans="1:13" x14ac:dyDescent="0.3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>
        <v>44674</v>
      </c>
      <c r="H3">
        <v>44778</v>
      </c>
      <c r="I3" t="s">
        <v>27</v>
      </c>
      <c r="J3" t="s">
        <v>28</v>
      </c>
      <c r="K3" t="s">
        <v>29</v>
      </c>
      <c r="L3" t="s">
        <v>30</v>
      </c>
      <c r="M3" t="s">
        <v>22</v>
      </c>
    </row>
    <row r="4" spans="1:13" x14ac:dyDescent="0.3">
      <c r="A4" t="s">
        <v>31</v>
      </c>
      <c r="B4" t="s">
        <v>32</v>
      </c>
      <c r="C4" t="s">
        <v>33</v>
      </c>
      <c r="D4" t="s">
        <v>34</v>
      </c>
      <c r="E4" t="s">
        <v>26</v>
      </c>
      <c r="F4" t="s">
        <v>18</v>
      </c>
      <c r="G4">
        <v>45459</v>
      </c>
      <c r="H4">
        <v>45728</v>
      </c>
      <c r="I4" t="s">
        <v>35</v>
      </c>
      <c r="J4" t="s">
        <v>36</v>
      </c>
      <c r="K4" t="s">
        <v>37</v>
      </c>
      <c r="L4" t="s">
        <v>30</v>
      </c>
      <c r="M4" t="s">
        <v>22</v>
      </c>
    </row>
    <row r="5" spans="1:13" x14ac:dyDescent="0.3">
      <c r="A5" t="s">
        <v>38</v>
      </c>
      <c r="B5" t="s">
        <v>39</v>
      </c>
      <c r="C5" t="s">
        <v>40</v>
      </c>
      <c r="D5" t="s">
        <v>41</v>
      </c>
      <c r="E5" t="s">
        <v>17</v>
      </c>
      <c r="F5" t="s">
        <v>18</v>
      </c>
      <c r="G5">
        <v>45329</v>
      </c>
      <c r="H5">
        <v>45420</v>
      </c>
      <c r="I5" t="s">
        <v>42</v>
      </c>
      <c r="J5" t="s">
        <v>43</v>
      </c>
      <c r="K5" t="s">
        <v>37</v>
      </c>
      <c r="L5" t="s">
        <v>30</v>
      </c>
      <c r="M5" t="s">
        <v>22</v>
      </c>
    </row>
    <row r="6" spans="1:13" hidden="1" x14ac:dyDescent="0.3">
      <c r="A6" t="s">
        <v>44</v>
      </c>
      <c r="B6" t="s">
        <v>45</v>
      </c>
      <c r="C6" t="s">
        <v>46</v>
      </c>
      <c r="D6" t="s">
        <v>34</v>
      </c>
      <c r="E6" t="s">
        <v>26</v>
      </c>
      <c r="F6" t="s">
        <v>18</v>
      </c>
      <c r="G6">
        <v>45186</v>
      </c>
      <c r="H6">
        <v>45436</v>
      </c>
      <c r="I6" t="s">
        <v>47</v>
      </c>
      <c r="J6" t="s">
        <v>48</v>
      </c>
      <c r="K6" t="s">
        <v>29</v>
      </c>
      <c r="M6" t="s">
        <v>3735</v>
      </c>
    </row>
    <row r="7" spans="1:13" x14ac:dyDescent="0.3">
      <c r="A7" t="s">
        <v>49</v>
      </c>
      <c r="B7" t="s">
        <v>50</v>
      </c>
      <c r="C7" t="s">
        <v>46</v>
      </c>
      <c r="D7" t="s">
        <v>51</v>
      </c>
      <c r="E7" t="s">
        <v>52</v>
      </c>
      <c r="F7" t="s">
        <v>18</v>
      </c>
      <c r="G7">
        <v>44121</v>
      </c>
      <c r="H7">
        <v>44132</v>
      </c>
      <c r="I7" t="s">
        <v>53</v>
      </c>
      <c r="J7" t="s">
        <v>54</v>
      </c>
      <c r="K7" t="s">
        <v>29</v>
      </c>
      <c r="L7" t="s">
        <v>55</v>
      </c>
      <c r="M7" t="s">
        <v>22</v>
      </c>
    </row>
    <row r="8" spans="1:13" x14ac:dyDescent="0.3">
      <c r="A8" t="s">
        <v>56</v>
      </c>
      <c r="B8" t="s">
        <v>57</v>
      </c>
      <c r="C8" t="s">
        <v>33</v>
      </c>
      <c r="D8" t="s">
        <v>51</v>
      </c>
      <c r="E8" t="s">
        <v>52</v>
      </c>
      <c r="F8" t="s">
        <v>18</v>
      </c>
      <c r="G8">
        <v>45037</v>
      </c>
      <c r="H8">
        <v>45294</v>
      </c>
      <c r="I8" t="s">
        <v>58</v>
      </c>
      <c r="J8" t="s">
        <v>59</v>
      </c>
      <c r="K8" t="s">
        <v>37</v>
      </c>
      <c r="L8" t="s">
        <v>60</v>
      </c>
      <c r="M8" t="s">
        <v>22</v>
      </c>
    </row>
    <row r="9" spans="1:13" hidden="1" x14ac:dyDescent="0.3">
      <c r="A9" t="s">
        <v>61</v>
      </c>
      <c r="B9" t="s">
        <v>62</v>
      </c>
      <c r="C9" t="s">
        <v>33</v>
      </c>
      <c r="D9" t="s">
        <v>25</v>
      </c>
      <c r="E9" t="s">
        <v>26</v>
      </c>
      <c r="F9" t="s">
        <v>18</v>
      </c>
      <c r="G9">
        <v>45635</v>
      </c>
      <c r="H9">
        <v>45962</v>
      </c>
      <c r="I9" t="s">
        <v>63</v>
      </c>
      <c r="J9" t="s">
        <v>64</v>
      </c>
      <c r="K9" t="s">
        <v>37</v>
      </c>
      <c r="M9" t="s">
        <v>3735</v>
      </c>
    </row>
    <row r="10" spans="1:13" x14ac:dyDescent="0.3">
      <c r="A10" t="s">
        <v>65</v>
      </c>
      <c r="B10" t="s">
        <v>66</v>
      </c>
      <c r="C10" t="s">
        <v>33</v>
      </c>
      <c r="D10" t="s">
        <v>67</v>
      </c>
      <c r="E10" t="s">
        <v>26</v>
      </c>
      <c r="F10" t="s">
        <v>18</v>
      </c>
      <c r="G10">
        <v>44700</v>
      </c>
      <c r="H10">
        <v>45010</v>
      </c>
      <c r="I10" t="s">
        <v>68</v>
      </c>
      <c r="J10" t="s">
        <v>69</v>
      </c>
      <c r="K10" t="s">
        <v>21</v>
      </c>
      <c r="L10" t="s">
        <v>30</v>
      </c>
      <c r="M10" t="s">
        <v>22</v>
      </c>
    </row>
    <row r="11" spans="1:13" x14ac:dyDescent="0.3">
      <c r="A11" t="s">
        <v>70</v>
      </c>
      <c r="B11" t="s">
        <v>71</v>
      </c>
      <c r="C11" t="s">
        <v>15</v>
      </c>
      <c r="D11" t="s">
        <v>25</v>
      </c>
      <c r="E11" t="s">
        <v>26</v>
      </c>
      <c r="F11" t="s">
        <v>18</v>
      </c>
      <c r="G11">
        <v>45348</v>
      </c>
      <c r="H11">
        <v>45356</v>
      </c>
      <c r="I11" t="s">
        <v>72</v>
      </c>
      <c r="J11" t="s">
        <v>73</v>
      </c>
      <c r="K11" t="s">
        <v>21</v>
      </c>
      <c r="L11" t="s">
        <v>30</v>
      </c>
      <c r="M11" t="s">
        <v>22</v>
      </c>
    </row>
    <row r="12" spans="1:13" hidden="1" x14ac:dyDescent="0.3">
      <c r="A12" t="s">
        <v>74</v>
      </c>
      <c r="B12" t="s">
        <v>75</v>
      </c>
      <c r="C12" t="s">
        <v>76</v>
      </c>
      <c r="D12" t="s">
        <v>77</v>
      </c>
      <c r="E12" t="s">
        <v>52</v>
      </c>
      <c r="F12" t="s">
        <v>18</v>
      </c>
      <c r="G12">
        <v>43697</v>
      </c>
      <c r="H12">
        <v>43799</v>
      </c>
      <c r="I12" t="s">
        <v>78</v>
      </c>
      <c r="J12" t="s">
        <v>79</v>
      </c>
      <c r="K12" t="s">
        <v>29</v>
      </c>
      <c r="M12" t="s">
        <v>3735</v>
      </c>
    </row>
    <row r="13" spans="1:13" x14ac:dyDescent="0.3">
      <c r="A13" t="s">
        <v>80</v>
      </c>
      <c r="B13" t="s">
        <v>81</v>
      </c>
      <c r="C13" t="s">
        <v>76</v>
      </c>
      <c r="D13" t="s">
        <v>34</v>
      </c>
      <c r="E13" t="s">
        <v>26</v>
      </c>
      <c r="F13" t="s">
        <v>18</v>
      </c>
      <c r="G13">
        <v>44187</v>
      </c>
      <c r="H13">
        <v>44454</v>
      </c>
      <c r="I13" t="s">
        <v>83</v>
      </c>
      <c r="J13" t="s">
        <v>84</v>
      </c>
      <c r="K13" t="s">
        <v>21</v>
      </c>
      <c r="L13" t="s">
        <v>30</v>
      </c>
      <c r="M13" t="s">
        <v>22</v>
      </c>
    </row>
    <row r="14" spans="1:13" x14ac:dyDescent="0.3">
      <c r="A14" t="s">
        <v>85</v>
      </c>
      <c r="B14" t="s">
        <v>86</v>
      </c>
      <c r="C14" t="s">
        <v>87</v>
      </c>
      <c r="D14" t="s">
        <v>25</v>
      </c>
      <c r="E14" t="s">
        <v>26</v>
      </c>
      <c r="F14" t="s">
        <v>18</v>
      </c>
      <c r="G14">
        <v>45622</v>
      </c>
      <c r="H14">
        <v>45765</v>
      </c>
      <c r="I14" t="s">
        <v>88</v>
      </c>
      <c r="J14" t="s">
        <v>89</v>
      </c>
      <c r="K14" t="s">
        <v>90</v>
      </c>
      <c r="L14" t="s">
        <v>91</v>
      </c>
      <c r="M14" t="s">
        <v>22</v>
      </c>
    </row>
    <row r="15" spans="1:13" x14ac:dyDescent="0.3">
      <c r="A15" t="s">
        <v>92</v>
      </c>
      <c r="B15" t="s">
        <v>93</v>
      </c>
      <c r="C15" t="s">
        <v>33</v>
      </c>
      <c r="D15" t="s">
        <v>77</v>
      </c>
      <c r="E15" t="s">
        <v>52</v>
      </c>
      <c r="F15" t="s">
        <v>18</v>
      </c>
      <c r="G15">
        <v>43935</v>
      </c>
      <c r="H15">
        <v>43985</v>
      </c>
      <c r="I15" t="s">
        <v>94</v>
      </c>
      <c r="J15" t="s">
        <v>95</v>
      </c>
      <c r="K15" t="s">
        <v>29</v>
      </c>
      <c r="L15" t="s">
        <v>55</v>
      </c>
      <c r="M15" t="s">
        <v>22</v>
      </c>
    </row>
    <row r="16" spans="1:13" x14ac:dyDescent="0.3">
      <c r="A16" t="s">
        <v>96</v>
      </c>
      <c r="B16" t="s">
        <v>97</v>
      </c>
      <c r="C16" t="s">
        <v>87</v>
      </c>
      <c r="D16" t="s">
        <v>67</v>
      </c>
      <c r="E16" t="s">
        <v>26</v>
      </c>
      <c r="F16" t="s">
        <v>18</v>
      </c>
      <c r="G16">
        <v>45200</v>
      </c>
      <c r="H16">
        <v>45489</v>
      </c>
      <c r="I16" t="s">
        <v>98</v>
      </c>
      <c r="J16" t="s">
        <v>99</v>
      </c>
      <c r="K16" t="s">
        <v>21</v>
      </c>
      <c r="L16" t="s">
        <v>55</v>
      </c>
      <c r="M16" t="s">
        <v>22</v>
      </c>
    </row>
    <row r="17" spans="1:13" x14ac:dyDescent="0.3">
      <c r="A17" t="s">
        <v>100</v>
      </c>
      <c r="B17" t="s">
        <v>101</v>
      </c>
      <c r="C17" t="s">
        <v>15</v>
      </c>
      <c r="D17" t="s">
        <v>41</v>
      </c>
      <c r="E17" t="s">
        <v>17</v>
      </c>
      <c r="F17" t="s">
        <v>18</v>
      </c>
      <c r="G17">
        <v>44661</v>
      </c>
      <c r="H17">
        <v>45002</v>
      </c>
      <c r="I17" t="s">
        <v>102</v>
      </c>
      <c r="J17" t="s">
        <v>103</v>
      </c>
      <c r="K17" t="s">
        <v>21</v>
      </c>
      <c r="L17" t="s">
        <v>30</v>
      </c>
      <c r="M17" t="s">
        <v>22</v>
      </c>
    </row>
    <row r="18" spans="1:13" hidden="1" x14ac:dyDescent="0.3">
      <c r="A18" t="s">
        <v>104</v>
      </c>
      <c r="B18" t="s">
        <v>105</v>
      </c>
      <c r="C18" t="s">
        <v>87</v>
      </c>
      <c r="D18" t="s">
        <v>67</v>
      </c>
      <c r="E18" t="s">
        <v>26</v>
      </c>
      <c r="F18" t="s">
        <v>18</v>
      </c>
      <c r="G18">
        <v>43652</v>
      </c>
      <c r="H18">
        <v>43679</v>
      </c>
      <c r="I18" t="s">
        <v>106</v>
      </c>
      <c r="J18" t="s">
        <v>107</v>
      </c>
      <c r="K18" t="s">
        <v>37</v>
      </c>
      <c r="M18" t="s">
        <v>3735</v>
      </c>
    </row>
    <row r="19" spans="1:13" hidden="1" x14ac:dyDescent="0.3">
      <c r="A19" t="s">
        <v>108</v>
      </c>
      <c r="B19" t="s">
        <v>109</v>
      </c>
      <c r="C19" t="s">
        <v>87</v>
      </c>
      <c r="D19" t="s">
        <v>25</v>
      </c>
      <c r="E19" t="s">
        <v>26</v>
      </c>
      <c r="F19" t="s">
        <v>18</v>
      </c>
      <c r="G19">
        <v>45238</v>
      </c>
      <c r="H19">
        <v>45537</v>
      </c>
      <c r="I19" t="s">
        <v>110</v>
      </c>
      <c r="J19" t="s">
        <v>111</v>
      </c>
      <c r="K19" t="s">
        <v>37</v>
      </c>
      <c r="M19" t="s">
        <v>3735</v>
      </c>
    </row>
    <row r="20" spans="1:13" x14ac:dyDescent="0.3">
      <c r="A20" t="s">
        <v>112</v>
      </c>
      <c r="B20" t="s">
        <v>113</v>
      </c>
      <c r="C20" t="s">
        <v>40</v>
      </c>
      <c r="D20" t="s">
        <v>67</v>
      </c>
      <c r="E20" t="s">
        <v>26</v>
      </c>
      <c r="F20" t="s">
        <v>18</v>
      </c>
      <c r="G20">
        <v>44489</v>
      </c>
      <c r="H20">
        <v>44572</v>
      </c>
      <c r="I20" t="s">
        <v>114</v>
      </c>
      <c r="J20" t="s">
        <v>115</v>
      </c>
      <c r="K20" t="s">
        <v>37</v>
      </c>
      <c r="L20" t="s">
        <v>116</v>
      </c>
      <c r="M20" t="s">
        <v>22</v>
      </c>
    </row>
    <row r="21" spans="1:13" x14ac:dyDescent="0.3">
      <c r="A21" t="s">
        <v>117</v>
      </c>
      <c r="B21" t="s">
        <v>118</v>
      </c>
      <c r="C21" t="s">
        <v>15</v>
      </c>
      <c r="D21" t="s">
        <v>25</v>
      </c>
      <c r="E21" t="s">
        <v>26</v>
      </c>
      <c r="F21" t="s">
        <v>18</v>
      </c>
      <c r="G21">
        <v>45134</v>
      </c>
      <c r="H21">
        <v>45481</v>
      </c>
      <c r="I21" t="s">
        <v>119</v>
      </c>
      <c r="J21" t="s">
        <v>120</v>
      </c>
      <c r="K21" t="s">
        <v>29</v>
      </c>
      <c r="L21" t="s">
        <v>55</v>
      </c>
      <c r="M21" t="s">
        <v>22</v>
      </c>
    </row>
    <row r="22" spans="1:13" x14ac:dyDescent="0.3">
      <c r="A22" t="s">
        <v>121</v>
      </c>
      <c r="B22" t="s">
        <v>122</v>
      </c>
      <c r="C22" t="s">
        <v>76</v>
      </c>
      <c r="D22" t="s">
        <v>51</v>
      </c>
      <c r="E22" t="s">
        <v>52</v>
      </c>
      <c r="F22" t="s">
        <v>18</v>
      </c>
      <c r="G22">
        <v>44368</v>
      </c>
      <c r="H22">
        <v>44596</v>
      </c>
      <c r="I22" t="s">
        <v>123</v>
      </c>
      <c r="J22" t="s">
        <v>124</v>
      </c>
      <c r="K22" t="s">
        <v>29</v>
      </c>
      <c r="L22" t="s">
        <v>60</v>
      </c>
      <c r="M22" t="s">
        <v>22</v>
      </c>
    </row>
    <row r="23" spans="1:13" hidden="1" x14ac:dyDescent="0.3">
      <c r="A23" t="s">
        <v>125</v>
      </c>
      <c r="B23" t="s">
        <v>126</v>
      </c>
      <c r="C23" t="s">
        <v>87</v>
      </c>
      <c r="D23" t="s">
        <v>25</v>
      </c>
      <c r="E23" t="s">
        <v>26</v>
      </c>
      <c r="F23" t="s">
        <v>18</v>
      </c>
      <c r="G23">
        <v>43998</v>
      </c>
      <c r="H23">
        <v>44190</v>
      </c>
      <c r="I23" t="s">
        <v>127</v>
      </c>
      <c r="J23" t="s">
        <v>128</v>
      </c>
      <c r="K23" t="s">
        <v>90</v>
      </c>
      <c r="M23" t="s">
        <v>3735</v>
      </c>
    </row>
    <row r="24" spans="1:13" x14ac:dyDescent="0.3">
      <c r="A24" t="s">
        <v>129</v>
      </c>
      <c r="B24" t="s">
        <v>130</v>
      </c>
      <c r="C24" t="s">
        <v>76</v>
      </c>
      <c r="D24" t="s">
        <v>77</v>
      </c>
      <c r="E24" t="s">
        <v>52</v>
      </c>
      <c r="F24" t="s">
        <v>18</v>
      </c>
      <c r="G24">
        <v>44270</v>
      </c>
      <c r="H24">
        <v>45440</v>
      </c>
      <c r="I24" t="s">
        <v>131</v>
      </c>
      <c r="J24" t="s">
        <v>132</v>
      </c>
      <c r="K24" t="s">
        <v>37</v>
      </c>
      <c r="L24" t="s">
        <v>55</v>
      </c>
      <c r="M24" t="s">
        <v>22</v>
      </c>
    </row>
    <row r="25" spans="1:13" x14ac:dyDescent="0.3">
      <c r="A25" t="s">
        <v>133</v>
      </c>
      <c r="B25" t="s">
        <v>134</v>
      </c>
      <c r="C25" t="s">
        <v>76</v>
      </c>
      <c r="D25" t="s">
        <v>77</v>
      </c>
      <c r="E25" t="s">
        <v>52</v>
      </c>
      <c r="F25" t="s">
        <v>18</v>
      </c>
      <c r="G25">
        <v>44128</v>
      </c>
      <c r="H25">
        <v>44488</v>
      </c>
      <c r="I25" t="s">
        <v>135</v>
      </c>
      <c r="J25" t="s">
        <v>136</v>
      </c>
      <c r="K25" t="s">
        <v>21</v>
      </c>
      <c r="L25" t="s">
        <v>30</v>
      </c>
      <c r="M25" t="s">
        <v>22</v>
      </c>
    </row>
    <row r="26" spans="1:13" x14ac:dyDescent="0.3">
      <c r="A26" t="s">
        <v>137</v>
      </c>
      <c r="B26" t="s">
        <v>138</v>
      </c>
      <c r="C26" t="s">
        <v>40</v>
      </c>
      <c r="D26" t="s">
        <v>25</v>
      </c>
      <c r="E26" t="s">
        <v>26</v>
      </c>
      <c r="F26" t="s">
        <v>18</v>
      </c>
      <c r="G26">
        <v>44894</v>
      </c>
      <c r="H26">
        <v>44928</v>
      </c>
      <c r="I26" t="s">
        <v>139</v>
      </c>
      <c r="J26" t="s">
        <v>140</v>
      </c>
      <c r="K26" t="s">
        <v>21</v>
      </c>
      <c r="L26" t="s">
        <v>91</v>
      </c>
      <c r="M26" t="s">
        <v>22</v>
      </c>
    </row>
    <row r="27" spans="1:13" x14ac:dyDescent="0.3">
      <c r="A27" t="s">
        <v>141</v>
      </c>
      <c r="B27" t="s">
        <v>142</v>
      </c>
      <c r="C27" t="s">
        <v>15</v>
      </c>
      <c r="D27" t="s">
        <v>51</v>
      </c>
      <c r="E27" t="s">
        <v>52</v>
      </c>
      <c r="F27" t="s">
        <v>18</v>
      </c>
      <c r="G27">
        <v>43587</v>
      </c>
      <c r="H27">
        <v>43688</v>
      </c>
      <c r="I27" t="s">
        <v>143</v>
      </c>
      <c r="J27" t="s">
        <v>144</v>
      </c>
      <c r="K27" t="s">
        <v>37</v>
      </c>
      <c r="L27" t="s">
        <v>55</v>
      </c>
      <c r="M27" t="s">
        <v>22</v>
      </c>
    </row>
    <row r="28" spans="1:13" x14ac:dyDescent="0.3">
      <c r="A28" t="s">
        <v>145</v>
      </c>
      <c r="B28" t="s">
        <v>146</v>
      </c>
      <c r="C28" t="s">
        <v>15</v>
      </c>
      <c r="D28" t="s">
        <v>41</v>
      </c>
      <c r="E28" t="s">
        <v>17</v>
      </c>
      <c r="F28" t="s">
        <v>18</v>
      </c>
      <c r="G28">
        <v>44672</v>
      </c>
      <c r="H28">
        <v>44737</v>
      </c>
      <c r="I28" t="s">
        <v>147</v>
      </c>
      <c r="J28" t="s">
        <v>148</v>
      </c>
      <c r="K28" t="s">
        <v>21</v>
      </c>
      <c r="L28" t="s">
        <v>91</v>
      </c>
      <c r="M28" t="s">
        <v>22</v>
      </c>
    </row>
    <row r="29" spans="1:13" x14ac:dyDescent="0.3">
      <c r="A29" t="s">
        <v>149</v>
      </c>
      <c r="B29" t="s">
        <v>150</v>
      </c>
      <c r="C29" t="s">
        <v>87</v>
      </c>
      <c r="D29" t="s">
        <v>41</v>
      </c>
      <c r="E29" t="s">
        <v>17</v>
      </c>
      <c r="F29" t="s">
        <v>151</v>
      </c>
      <c r="G29">
        <v>45278</v>
      </c>
      <c r="H29">
        <v>45389</v>
      </c>
      <c r="I29" t="s">
        <v>152</v>
      </c>
      <c r="J29" t="s">
        <v>153</v>
      </c>
      <c r="K29" t="s">
        <v>37</v>
      </c>
      <c r="L29" t="s">
        <v>60</v>
      </c>
      <c r="M29" t="s">
        <v>22</v>
      </c>
    </row>
    <row r="30" spans="1:13" x14ac:dyDescent="0.3">
      <c r="A30" t="s">
        <v>154</v>
      </c>
      <c r="B30" t="s">
        <v>155</v>
      </c>
      <c r="C30" t="s">
        <v>33</v>
      </c>
      <c r="D30" t="s">
        <v>34</v>
      </c>
      <c r="E30" t="s">
        <v>26</v>
      </c>
      <c r="F30" t="s">
        <v>18</v>
      </c>
      <c r="G30">
        <v>43914</v>
      </c>
      <c r="H30">
        <v>44205</v>
      </c>
      <c r="I30" t="s">
        <v>156</v>
      </c>
      <c r="J30" t="s">
        <v>157</v>
      </c>
      <c r="K30" t="s">
        <v>21</v>
      </c>
      <c r="L30" t="s">
        <v>30</v>
      </c>
      <c r="M30" t="s">
        <v>22</v>
      </c>
    </row>
    <row r="31" spans="1:13" x14ac:dyDescent="0.3">
      <c r="A31" t="s">
        <v>158</v>
      </c>
      <c r="B31" t="s">
        <v>159</v>
      </c>
      <c r="C31" t="s">
        <v>87</v>
      </c>
      <c r="D31" t="s">
        <v>67</v>
      </c>
      <c r="E31" t="s">
        <v>26</v>
      </c>
      <c r="F31" t="s">
        <v>160</v>
      </c>
      <c r="G31">
        <v>43949</v>
      </c>
      <c r="H31">
        <v>44304</v>
      </c>
      <c r="I31" t="s">
        <v>161</v>
      </c>
      <c r="J31" t="s">
        <v>162</v>
      </c>
      <c r="K31" t="s">
        <v>21</v>
      </c>
      <c r="L31" t="s">
        <v>60</v>
      </c>
      <c r="M31" t="s">
        <v>22</v>
      </c>
    </row>
    <row r="32" spans="1:13" x14ac:dyDescent="0.3">
      <c r="A32" t="s">
        <v>163</v>
      </c>
      <c r="B32" t="s">
        <v>164</v>
      </c>
      <c r="C32" t="s">
        <v>15</v>
      </c>
      <c r="D32" t="s">
        <v>41</v>
      </c>
      <c r="E32" t="s">
        <v>17</v>
      </c>
      <c r="F32" t="s">
        <v>18</v>
      </c>
      <c r="G32">
        <v>45455</v>
      </c>
      <c r="H32">
        <v>45701</v>
      </c>
      <c r="I32" t="s">
        <v>165</v>
      </c>
      <c r="J32" t="s">
        <v>166</v>
      </c>
      <c r="K32" t="s">
        <v>90</v>
      </c>
      <c r="L32" t="s">
        <v>55</v>
      </c>
      <c r="M32" t="s">
        <v>22</v>
      </c>
    </row>
    <row r="33" spans="1:13" x14ac:dyDescent="0.3">
      <c r="A33" t="s">
        <v>167</v>
      </c>
      <c r="B33" t="s">
        <v>168</v>
      </c>
      <c r="C33" t="s">
        <v>33</v>
      </c>
      <c r="D33" t="s">
        <v>41</v>
      </c>
      <c r="E33" t="s">
        <v>17</v>
      </c>
      <c r="F33" t="s">
        <v>151</v>
      </c>
      <c r="G33">
        <v>43747</v>
      </c>
      <c r="H33">
        <v>43872</v>
      </c>
      <c r="I33" t="s">
        <v>169</v>
      </c>
      <c r="J33" t="s">
        <v>170</v>
      </c>
      <c r="K33" t="s">
        <v>37</v>
      </c>
      <c r="L33" t="s">
        <v>30</v>
      </c>
      <c r="M33" t="s">
        <v>22</v>
      </c>
    </row>
    <row r="34" spans="1:13" x14ac:dyDescent="0.3">
      <c r="A34" t="s">
        <v>171</v>
      </c>
      <c r="B34" t="s">
        <v>172</v>
      </c>
      <c r="C34" t="s">
        <v>15</v>
      </c>
      <c r="D34" t="s">
        <v>77</v>
      </c>
      <c r="E34" t="s">
        <v>52</v>
      </c>
      <c r="F34" t="s">
        <v>18</v>
      </c>
      <c r="G34">
        <v>45391</v>
      </c>
      <c r="H34">
        <v>45483</v>
      </c>
      <c r="I34" t="s">
        <v>173</v>
      </c>
      <c r="J34" t="s">
        <v>174</v>
      </c>
      <c r="K34" t="s">
        <v>21</v>
      </c>
      <c r="L34" t="s">
        <v>60</v>
      </c>
      <c r="M34" t="s">
        <v>22</v>
      </c>
    </row>
    <row r="35" spans="1:13" hidden="1" x14ac:dyDescent="0.3">
      <c r="A35" t="s">
        <v>175</v>
      </c>
      <c r="B35" t="s">
        <v>176</v>
      </c>
      <c r="C35" t="s">
        <v>87</v>
      </c>
      <c r="D35" t="s">
        <v>41</v>
      </c>
      <c r="E35" t="s">
        <v>17</v>
      </c>
      <c r="F35" t="s">
        <v>18</v>
      </c>
      <c r="G35">
        <v>44579</v>
      </c>
      <c r="H35">
        <v>44724</v>
      </c>
      <c r="I35" t="s">
        <v>177</v>
      </c>
      <c r="J35" t="s">
        <v>178</v>
      </c>
      <c r="K35" t="s">
        <v>21</v>
      </c>
      <c r="L35" t="s">
        <v>55</v>
      </c>
      <c r="M35" t="s">
        <v>3735</v>
      </c>
    </row>
    <row r="36" spans="1:13" hidden="1" x14ac:dyDescent="0.3">
      <c r="A36" t="s">
        <v>179</v>
      </c>
      <c r="B36" t="s">
        <v>180</v>
      </c>
      <c r="C36" t="s">
        <v>181</v>
      </c>
      <c r="D36" t="s">
        <v>25</v>
      </c>
      <c r="E36" t="s">
        <v>26</v>
      </c>
      <c r="F36" t="s">
        <v>151</v>
      </c>
      <c r="G36">
        <v>44112</v>
      </c>
      <c r="H36">
        <v>44320</v>
      </c>
      <c r="J36" t="s">
        <v>182</v>
      </c>
      <c r="K36" t="s">
        <v>37</v>
      </c>
      <c r="L36" t="s">
        <v>116</v>
      </c>
      <c r="M36" t="s">
        <v>3735</v>
      </c>
    </row>
    <row r="37" spans="1:13" x14ac:dyDescent="0.3">
      <c r="A37" t="s">
        <v>183</v>
      </c>
      <c r="B37" t="s">
        <v>184</v>
      </c>
      <c r="C37" t="s">
        <v>15</v>
      </c>
      <c r="D37" t="s">
        <v>34</v>
      </c>
      <c r="E37" t="s">
        <v>26</v>
      </c>
      <c r="F37" t="s">
        <v>18</v>
      </c>
      <c r="G37">
        <v>43658</v>
      </c>
      <c r="H37">
        <v>43853</v>
      </c>
      <c r="I37" t="s">
        <v>185</v>
      </c>
      <c r="J37" t="s">
        <v>186</v>
      </c>
      <c r="K37" t="s">
        <v>29</v>
      </c>
      <c r="L37" t="s">
        <v>91</v>
      </c>
      <c r="M37" t="s">
        <v>22</v>
      </c>
    </row>
    <row r="38" spans="1:13" x14ac:dyDescent="0.3">
      <c r="A38" t="s">
        <v>187</v>
      </c>
      <c r="B38" t="s">
        <v>188</v>
      </c>
      <c r="C38" t="s">
        <v>87</v>
      </c>
      <c r="D38" t="s">
        <v>16</v>
      </c>
      <c r="E38" t="s">
        <v>17</v>
      </c>
      <c r="F38" t="s">
        <v>18</v>
      </c>
      <c r="G38">
        <v>43839</v>
      </c>
      <c r="H38">
        <v>44079</v>
      </c>
      <c r="I38" t="s">
        <v>189</v>
      </c>
      <c r="J38" t="s">
        <v>190</v>
      </c>
      <c r="K38" t="s">
        <v>29</v>
      </c>
      <c r="L38" t="s">
        <v>116</v>
      </c>
      <c r="M38" t="s">
        <v>22</v>
      </c>
    </row>
    <row r="39" spans="1:13" x14ac:dyDescent="0.3">
      <c r="A39" t="s">
        <v>191</v>
      </c>
      <c r="B39" t="s">
        <v>192</v>
      </c>
      <c r="C39" t="s">
        <v>76</v>
      </c>
      <c r="D39" t="s">
        <v>67</v>
      </c>
      <c r="E39" t="s">
        <v>26</v>
      </c>
      <c r="F39" t="s">
        <v>160</v>
      </c>
      <c r="G39">
        <v>43515</v>
      </c>
      <c r="H39">
        <v>43699</v>
      </c>
      <c r="I39" t="s">
        <v>193</v>
      </c>
      <c r="J39" t="s">
        <v>194</v>
      </c>
      <c r="K39" t="s">
        <v>21</v>
      </c>
      <c r="L39" t="s">
        <v>91</v>
      </c>
      <c r="M39" t="s">
        <v>22</v>
      </c>
    </row>
    <row r="40" spans="1:13" hidden="1" x14ac:dyDescent="0.3">
      <c r="A40" t="s">
        <v>195</v>
      </c>
      <c r="B40" t="s">
        <v>196</v>
      </c>
      <c r="C40" t="s">
        <v>15</v>
      </c>
      <c r="D40" t="s">
        <v>34</v>
      </c>
      <c r="E40" t="s">
        <v>26</v>
      </c>
      <c r="F40" t="s">
        <v>18</v>
      </c>
      <c r="G40">
        <v>45280</v>
      </c>
      <c r="H40">
        <v>45406</v>
      </c>
      <c r="I40" t="s">
        <v>197</v>
      </c>
      <c r="J40" t="s">
        <v>198</v>
      </c>
      <c r="K40" t="s">
        <v>21</v>
      </c>
      <c r="M40" t="s">
        <v>3735</v>
      </c>
    </row>
    <row r="41" spans="1:13" x14ac:dyDescent="0.3">
      <c r="A41" t="s">
        <v>199</v>
      </c>
      <c r="B41" t="s">
        <v>200</v>
      </c>
      <c r="C41" t="s">
        <v>46</v>
      </c>
      <c r="D41" t="s">
        <v>25</v>
      </c>
      <c r="E41" t="s">
        <v>26</v>
      </c>
      <c r="F41" t="s">
        <v>18</v>
      </c>
      <c r="G41">
        <v>44325</v>
      </c>
      <c r="H41">
        <v>44440</v>
      </c>
      <c r="I41" t="s">
        <v>201</v>
      </c>
      <c r="J41" t="s">
        <v>202</v>
      </c>
      <c r="K41" t="s">
        <v>29</v>
      </c>
      <c r="L41" t="s">
        <v>91</v>
      </c>
      <c r="M41" t="s">
        <v>22</v>
      </c>
    </row>
    <row r="42" spans="1:13" x14ac:dyDescent="0.3">
      <c r="A42" t="s">
        <v>203</v>
      </c>
      <c r="B42" t="s">
        <v>204</v>
      </c>
      <c r="C42" t="s">
        <v>15</v>
      </c>
      <c r="D42" t="s">
        <v>34</v>
      </c>
      <c r="E42" t="s">
        <v>26</v>
      </c>
      <c r="F42" t="s">
        <v>151</v>
      </c>
      <c r="G42">
        <v>44587</v>
      </c>
      <c r="H42">
        <v>44664</v>
      </c>
      <c r="I42" t="s">
        <v>205</v>
      </c>
      <c r="J42" t="s">
        <v>206</v>
      </c>
      <c r="K42" t="s">
        <v>37</v>
      </c>
      <c r="L42" t="s">
        <v>55</v>
      </c>
      <c r="M42" t="s">
        <v>22</v>
      </c>
    </row>
    <row r="43" spans="1:13" x14ac:dyDescent="0.3">
      <c r="A43" t="s">
        <v>207</v>
      </c>
      <c r="B43" t="s">
        <v>208</v>
      </c>
      <c r="C43" t="s">
        <v>76</v>
      </c>
      <c r="D43" t="s">
        <v>25</v>
      </c>
      <c r="E43" t="s">
        <v>26</v>
      </c>
      <c r="F43" t="s">
        <v>160</v>
      </c>
      <c r="G43">
        <v>43883</v>
      </c>
      <c r="H43">
        <v>44170</v>
      </c>
      <c r="I43" t="s">
        <v>209</v>
      </c>
      <c r="J43" t="s">
        <v>210</v>
      </c>
      <c r="K43" t="s">
        <v>90</v>
      </c>
      <c r="L43" t="s">
        <v>55</v>
      </c>
      <c r="M43" t="s">
        <v>22</v>
      </c>
    </row>
    <row r="44" spans="1:13" hidden="1" x14ac:dyDescent="0.3">
      <c r="A44" t="s">
        <v>211</v>
      </c>
      <c r="B44" t="s">
        <v>212</v>
      </c>
      <c r="C44" t="s">
        <v>40</v>
      </c>
      <c r="D44" t="s">
        <v>25</v>
      </c>
      <c r="E44" t="s">
        <v>26</v>
      </c>
      <c r="F44" t="s">
        <v>18</v>
      </c>
      <c r="G44">
        <v>44852</v>
      </c>
      <c r="H44">
        <v>45172</v>
      </c>
      <c r="I44" t="s">
        <v>213</v>
      </c>
      <c r="J44" t="s">
        <v>214</v>
      </c>
      <c r="K44" t="s">
        <v>29</v>
      </c>
      <c r="M44" t="s">
        <v>3735</v>
      </c>
    </row>
    <row r="45" spans="1:13" x14ac:dyDescent="0.3">
      <c r="A45" t="s">
        <v>215</v>
      </c>
      <c r="B45" t="s">
        <v>216</v>
      </c>
      <c r="C45" t="s">
        <v>181</v>
      </c>
      <c r="D45" t="s">
        <v>51</v>
      </c>
      <c r="E45" t="s">
        <v>52</v>
      </c>
      <c r="F45" t="s">
        <v>18</v>
      </c>
      <c r="G45">
        <v>43789</v>
      </c>
      <c r="H45">
        <v>43966</v>
      </c>
      <c r="I45" t="s">
        <v>217</v>
      </c>
      <c r="J45" t="s">
        <v>218</v>
      </c>
      <c r="K45" t="s">
        <v>21</v>
      </c>
      <c r="L45" t="s">
        <v>55</v>
      </c>
      <c r="M45" t="s">
        <v>22</v>
      </c>
    </row>
    <row r="46" spans="1:13" x14ac:dyDescent="0.3">
      <c r="A46" t="s">
        <v>219</v>
      </c>
      <c r="B46" t="s">
        <v>220</v>
      </c>
      <c r="C46" t="s">
        <v>33</v>
      </c>
      <c r="D46" t="s">
        <v>77</v>
      </c>
      <c r="E46" t="s">
        <v>52</v>
      </c>
      <c r="F46" t="s">
        <v>160</v>
      </c>
      <c r="G46">
        <v>44281</v>
      </c>
      <c r="H46">
        <v>44477</v>
      </c>
      <c r="I46" t="s">
        <v>221</v>
      </c>
      <c r="J46" t="s">
        <v>222</v>
      </c>
      <c r="K46" t="s">
        <v>37</v>
      </c>
      <c r="L46" t="s">
        <v>30</v>
      </c>
      <c r="M46" t="s">
        <v>22</v>
      </c>
    </row>
    <row r="47" spans="1:13" x14ac:dyDescent="0.3">
      <c r="A47" t="s">
        <v>223</v>
      </c>
      <c r="B47" t="s">
        <v>224</v>
      </c>
      <c r="C47" t="s">
        <v>46</v>
      </c>
      <c r="D47" t="s">
        <v>16</v>
      </c>
      <c r="E47" t="s">
        <v>17</v>
      </c>
      <c r="F47" t="s">
        <v>18</v>
      </c>
      <c r="G47">
        <v>45510</v>
      </c>
      <c r="H47">
        <v>45619</v>
      </c>
      <c r="I47" t="s">
        <v>225</v>
      </c>
      <c r="J47" t="s">
        <v>226</v>
      </c>
      <c r="K47" t="s">
        <v>21</v>
      </c>
      <c r="L47" t="s">
        <v>91</v>
      </c>
      <c r="M47" t="s">
        <v>22</v>
      </c>
    </row>
    <row r="48" spans="1:13" x14ac:dyDescent="0.3">
      <c r="A48" t="s">
        <v>227</v>
      </c>
      <c r="B48" t="s">
        <v>228</v>
      </c>
      <c r="C48" t="s">
        <v>33</v>
      </c>
      <c r="D48" t="s">
        <v>67</v>
      </c>
      <c r="E48" t="s">
        <v>26</v>
      </c>
      <c r="F48" t="s">
        <v>18</v>
      </c>
      <c r="G48">
        <v>44125</v>
      </c>
      <c r="H48">
        <v>44424</v>
      </c>
      <c r="I48" t="s">
        <v>229</v>
      </c>
      <c r="J48" t="s">
        <v>230</v>
      </c>
      <c r="K48" t="s">
        <v>29</v>
      </c>
      <c r="L48" t="s">
        <v>30</v>
      </c>
      <c r="M48" t="s">
        <v>22</v>
      </c>
    </row>
    <row r="49" spans="1:13" x14ac:dyDescent="0.3">
      <c r="A49" t="s">
        <v>231</v>
      </c>
      <c r="B49" t="s">
        <v>232</v>
      </c>
      <c r="C49" t="s">
        <v>33</v>
      </c>
      <c r="D49" t="s">
        <v>41</v>
      </c>
      <c r="E49" t="s">
        <v>17</v>
      </c>
      <c r="F49" t="s">
        <v>18</v>
      </c>
      <c r="G49">
        <v>43647</v>
      </c>
      <c r="H49">
        <v>43935</v>
      </c>
      <c r="I49" t="s">
        <v>233</v>
      </c>
      <c r="J49" t="s">
        <v>234</v>
      </c>
      <c r="K49" t="s">
        <v>21</v>
      </c>
      <c r="L49" t="s">
        <v>60</v>
      </c>
      <c r="M49" t="s">
        <v>22</v>
      </c>
    </row>
    <row r="50" spans="1:13" x14ac:dyDescent="0.3">
      <c r="A50" t="s">
        <v>235</v>
      </c>
      <c r="B50" t="s">
        <v>236</v>
      </c>
      <c r="C50" t="s">
        <v>181</v>
      </c>
      <c r="D50" t="s">
        <v>51</v>
      </c>
      <c r="E50" t="s">
        <v>52</v>
      </c>
      <c r="F50" t="s">
        <v>160</v>
      </c>
      <c r="G50">
        <v>44979</v>
      </c>
      <c r="H50">
        <v>45074</v>
      </c>
      <c r="I50" t="s">
        <v>237</v>
      </c>
      <c r="J50" t="s">
        <v>238</v>
      </c>
      <c r="K50" t="s">
        <v>29</v>
      </c>
      <c r="L50" t="s">
        <v>30</v>
      </c>
      <c r="M50" t="s">
        <v>22</v>
      </c>
    </row>
    <row r="51" spans="1:13" x14ac:dyDescent="0.3">
      <c r="A51" t="s">
        <v>239</v>
      </c>
      <c r="B51" t="s">
        <v>240</v>
      </c>
      <c r="C51" t="s">
        <v>76</v>
      </c>
      <c r="D51" t="s">
        <v>77</v>
      </c>
      <c r="E51" t="s">
        <v>52</v>
      </c>
      <c r="F51" t="s">
        <v>160</v>
      </c>
      <c r="G51">
        <v>44149</v>
      </c>
      <c r="H51">
        <v>44337</v>
      </c>
      <c r="I51" t="s">
        <v>241</v>
      </c>
      <c r="J51" t="s">
        <v>242</v>
      </c>
      <c r="K51" t="s">
        <v>90</v>
      </c>
      <c r="L51" t="s">
        <v>91</v>
      </c>
      <c r="M51" t="s">
        <v>22</v>
      </c>
    </row>
    <row r="52" spans="1:13" hidden="1" x14ac:dyDescent="0.3">
      <c r="A52" t="s">
        <v>243</v>
      </c>
      <c r="B52" t="s">
        <v>244</v>
      </c>
      <c r="C52" t="s">
        <v>76</v>
      </c>
      <c r="D52" t="s">
        <v>77</v>
      </c>
      <c r="E52" t="s">
        <v>52</v>
      </c>
      <c r="F52" t="s">
        <v>18</v>
      </c>
      <c r="G52">
        <v>45167</v>
      </c>
      <c r="H52">
        <v>45400</v>
      </c>
      <c r="I52" t="s">
        <v>245</v>
      </c>
      <c r="J52" t="s">
        <v>246</v>
      </c>
      <c r="K52" t="s">
        <v>21</v>
      </c>
      <c r="M52" t="s">
        <v>3735</v>
      </c>
    </row>
    <row r="53" spans="1:13" x14ac:dyDescent="0.3">
      <c r="A53" t="s">
        <v>247</v>
      </c>
      <c r="B53" t="s">
        <v>248</v>
      </c>
      <c r="C53" t="s">
        <v>46</v>
      </c>
      <c r="D53" t="s">
        <v>41</v>
      </c>
      <c r="E53" t="s">
        <v>17</v>
      </c>
      <c r="F53" t="s">
        <v>18</v>
      </c>
      <c r="G53">
        <v>43585</v>
      </c>
      <c r="H53">
        <v>43833</v>
      </c>
      <c r="I53" t="s">
        <v>249</v>
      </c>
      <c r="J53" t="s">
        <v>250</v>
      </c>
      <c r="K53" t="s">
        <v>90</v>
      </c>
      <c r="L53" t="s">
        <v>55</v>
      </c>
      <c r="M53" t="s">
        <v>22</v>
      </c>
    </row>
    <row r="54" spans="1:13" x14ac:dyDescent="0.3">
      <c r="A54" t="s">
        <v>251</v>
      </c>
      <c r="B54" t="s">
        <v>252</v>
      </c>
      <c r="C54" t="s">
        <v>181</v>
      </c>
      <c r="D54" t="s">
        <v>41</v>
      </c>
      <c r="E54" t="s">
        <v>17</v>
      </c>
      <c r="F54" t="s">
        <v>160</v>
      </c>
      <c r="G54">
        <v>45351</v>
      </c>
      <c r="H54">
        <v>45530</v>
      </c>
      <c r="I54" t="s">
        <v>253</v>
      </c>
      <c r="J54" t="s">
        <v>254</v>
      </c>
      <c r="K54" t="s">
        <v>37</v>
      </c>
      <c r="L54" t="s">
        <v>60</v>
      </c>
      <c r="M54" t="s">
        <v>22</v>
      </c>
    </row>
    <row r="55" spans="1:13" x14ac:dyDescent="0.3">
      <c r="A55" t="s">
        <v>255</v>
      </c>
      <c r="B55" t="s">
        <v>256</v>
      </c>
      <c r="C55" t="s">
        <v>87</v>
      </c>
      <c r="D55" t="s">
        <v>34</v>
      </c>
      <c r="E55" t="s">
        <v>26</v>
      </c>
      <c r="F55" t="s">
        <v>18</v>
      </c>
      <c r="G55">
        <v>44053</v>
      </c>
      <c r="H55">
        <v>44255</v>
      </c>
      <c r="I55" t="s">
        <v>257</v>
      </c>
      <c r="J55" t="s">
        <v>258</v>
      </c>
      <c r="K55" t="s">
        <v>37</v>
      </c>
      <c r="L55" t="s">
        <v>60</v>
      </c>
      <c r="M55" t="s">
        <v>22</v>
      </c>
    </row>
    <row r="56" spans="1:13" x14ac:dyDescent="0.3">
      <c r="A56" t="s">
        <v>259</v>
      </c>
      <c r="B56" t="s">
        <v>260</v>
      </c>
      <c r="C56" t="s">
        <v>87</v>
      </c>
      <c r="D56" t="s">
        <v>25</v>
      </c>
      <c r="E56" t="s">
        <v>26</v>
      </c>
      <c r="F56" t="s">
        <v>18</v>
      </c>
      <c r="G56">
        <v>45419</v>
      </c>
      <c r="H56">
        <v>45458</v>
      </c>
      <c r="I56" t="s">
        <v>261</v>
      </c>
      <c r="J56" t="s">
        <v>262</v>
      </c>
      <c r="K56" t="s">
        <v>21</v>
      </c>
      <c r="L56" t="s">
        <v>60</v>
      </c>
      <c r="M56" t="s">
        <v>22</v>
      </c>
    </row>
    <row r="57" spans="1:13" x14ac:dyDescent="0.3">
      <c r="A57" t="s">
        <v>263</v>
      </c>
      <c r="B57" t="s">
        <v>264</v>
      </c>
      <c r="C57" t="s">
        <v>181</v>
      </c>
      <c r="D57" t="s">
        <v>41</v>
      </c>
      <c r="E57" t="s">
        <v>17</v>
      </c>
      <c r="F57" t="s">
        <v>151</v>
      </c>
      <c r="G57">
        <v>45413</v>
      </c>
      <c r="H57">
        <v>45551</v>
      </c>
      <c r="I57" t="s">
        <v>265</v>
      </c>
      <c r="J57" t="s">
        <v>266</v>
      </c>
      <c r="K57" t="s">
        <v>29</v>
      </c>
      <c r="L57" t="s">
        <v>91</v>
      </c>
      <c r="M57" t="s">
        <v>22</v>
      </c>
    </row>
    <row r="58" spans="1:13" hidden="1" x14ac:dyDescent="0.3">
      <c r="A58" t="s">
        <v>267</v>
      </c>
      <c r="B58" t="s">
        <v>268</v>
      </c>
      <c r="C58" t="s">
        <v>181</v>
      </c>
      <c r="D58" t="s">
        <v>41</v>
      </c>
      <c r="E58" t="s">
        <v>17</v>
      </c>
      <c r="F58" t="s">
        <v>18</v>
      </c>
      <c r="G58">
        <v>45139</v>
      </c>
      <c r="H58">
        <v>45146</v>
      </c>
      <c r="I58" t="s">
        <v>269</v>
      </c>
      <c r="J58" t="s">
        <v>270</v>
      </c>
      <c r="K58" t="s">
        <v>37</v>
      </c>
      <c r="M58" t="s">
        <v>3735</v>
      </c>
    </row>
    <row r="59" spans="1:13" x14ac:dyDescent="0.3">
      <c r="A59" t="s">
        <v>271</v>
      </c>
      <c r="B59" t="s">
        <v>272</v>
      </c>
      <c r="C59" t="s">
        <v>87</v>
      </c>
      <c r="D59" t="s">
        <v>25</v>
      </c>
      <c r="E59" t="s">
        <v>26</v>
      </c>
      <c r="F59" t="s">
        <v>18</v>
      </c>
      <c r="G59">
        <v>45221</v>
      </c>
      <c r="H59">
        <v>45290</v>
      </c>
      <c r="I59" t="s">
        <v>273</v>
      </c>
      <c r="J59" t="s">
        <v>274</v>
      </c>
      <c r="K59" t="s">
        <v>90</v>
      </c>
      <c r="L59" t="s">
        <v>116</v>
      </c>
      <c r="M59" t="s">
        <v>22</v>
      </c>
    </row>
    <row r="60" spans="1:13" x14ac:dyDescent="0.3">
      <c r="A60" t="s">
        <v>275</v>
      </c>
      <c r="B60" t="s">
        <v>276</v>
      </c>
      <c r="C60" t="s">
        <v>76</v>
      </c>
      <c r="D60" t="s">
        <v>51</v>
      </c>
      <c r="E60" t="s">
        <v>52</v>
      </c>
      <c r="F60" t="s">
        <v>18</v>
      </c>
      <c r="G60">
        <v>44078</v>
      </c>
      <c r="H60">
        <v>44245</v>
      </c>
      <c r="I60" t="s">
        <v>277</v>
      </c>
      <c r="J60" t="s">
        <v>278</v>
      </c>
      <c r="K60" t="s">
        <v>37</v>
      </c>
      <c r="L60" t="s">
        <v>60</v>
      </c>
      <c r="M60" t="s">
        <v>22</v>
      </c>
    </row>
    <row r="61" spans="1:13" x14ac:dyDescent="0.3">
      <c r="A61" t="s">
        <v>279</v>
      </c>
      <c r="B61" t="s">
        <v>280</v>
      </c>
      <c r="C61" t="s">
        <v>76</v>
      </c>
      <c r="D61" t="s">
        <v>25</v>
      </c>
      <c r="E61" t="s">
        <v>26</v>
      </c>
      <c r="F61" t="s">
        <v>160</v>
      </c>
      <c r="G61">
        <v>44347</v>
      </c>
      <c r="H61">
        <v>44539</v>
      </c>
      <c r="I61" t="s">
        <v>281</v>
      </c>
      <c r="J61" t="s">
        <v>282</v>
      </c>
      <c r="K61" t="s">
        <v>29</v>
      </c>
      <c r="L61" t="s">
        <v>55</v>
      </c>
      <c r="M61" t="s">
        <v>22</v>
      </c>
    </row>
    <row r="62" spans="1:13" x14ac:dyDescent="0.3">
      <c r="A62" t="s">
        <v>283</v>
      </c>
      <c r="B62" t="s">
        <v>284</v>
      </c>
      <c r="C62" t="s">
        <v>76</v>
      </c>
      <c r="D62" t="s">
        <v>51</v>
      </c>
      <c r="E62" t="s">
        <v>52</v>
      </c>
      <c r="F62" t="s">
        <v>160</v>
      </c>
      <c r="G62">
        <v>45471</v>
      </c>
      <c r="H62">
        <v>45547</v>
      </c>
      <c r="I62" t="s">
        <v>285</v>
      </c>
      <c r="J62" t="s">
        <v>286</v>
      </c>
      <c r="K62" t="s">
        <v>21</v>
      </c>
      <c r="L62" t="s">
        <v>116</v>
      </c>
      <c r="M62" t="s">
        <v>22</v>
      </c>
    </row>
    <row r="63" spans="1:13" x14ac:dyDescent="0.3">
      <c r="A63" t="s">
        <v>287</v>
      </c>
      <c r="B63" t="s">
        <v>288</v>
      </c>
      <c r="C63" t="s">
        <v>46</v>
      </c>
      <c r="D63" t="s">
        <v>34</v>
      </c>
      <c r="E63" t="s">
        <v>26</v>
      </c>
      <c r="F63" t="s">
        <v>160</v>
      </c>
      <c r="G63">
        <v>45494</v>
      </c>
      <c r="H63">
        <v>45775</v>
      </c>
      <c r="I63" t="s">
        <v>289</v>
      </c>
      <c r="J63" t="s">
        <v>290</v>
      </c>
      <c r="K63" t="s">
        <v>90</v>
      </c>
      <c r="L63" t="s">
        <v>116</v>
      </c>
      <c r="M63" t="s">
        <v>22</v>
      </c>
    </row>
    <row r="64" spans="1:13" hidden="1" x14ac:dyDescent="0.3">
      <c r="A64" t="s">
        <v>291</v>
      </c>
      <c r="B64" t="s">
        <v>292</v>
      </c>
      <c r="C64" t="s">
        <v>33</v>
      </c>
      <c r="D64" t="s">
        <v>34</v>
      </c>
      <c r="E64" t="s">
        <v>26</v>
      </c>
      <c r="F64" t="s">
        <v>18</v>
      </c>
      <c r="G64">
        <v>45445</v>
      </c>
      <c r="H64">
        <v>45698</v>
      </c>
      <c r="I64" t="s">
        <v>293</v>
      </c>
      <c r="J64" t="s">
        <v>294</v>
      </c>
      <c r="K64" t="s">
        <v>21</v>
      </c>
      <c r="M64" t="s">
        <v>3735</v>
      </c>
    </row>
    <row r="65" spans="1:13" hidden="1" x14ac:dyDescent="0.3">
      <c r="A65" t="s">
        <v>295</v>
      </c>
      <c r="B65" t="s">
        <v>296</v>
      </c>
      <c r="C65" t="s">
        <v>46</v>
      </c>
      <c r="D65" t="s">
        <v>25</v>
      </c>
      <c r="E65" t="s">
        <v>26</v>
      </c>
      <c r="F65" t="s">
        <v>160</v>
      </c>
      <c r="G65">
        <v>45311</v>
      </c>
      <c r="H65">
        <v>45545</v>
      </c>
      <c r="I65" t="s">
        <v>297</v>
      </c>
      <c r="K65" t="s">
        <v>37</v>
      </c>
      <c r="L65" t="s">
        <v>30</v>
      </c>
      <c r="M65" t="s">
        <v>3735</v>
      </c>
    </row>
    <row r="66" spans="1:13" x14ac:dyDescent="0.3">
      <c r="A66" t="s">
        <v>298</v>
      </c>
      <c r="B66" t="s">
        <v>299</v>
      </c>
      <c r="C66" t="s">
        <v>76</v>
      </c>
      <c r="D66" t="s">
        <v>34</v>
      </c>
      <c r="E66" t="s">
        <v>26</v>
      </c>
      <c r="F66" t="s">
        <v>151</v>
      </c>
      <c r="G66">
        <v>43595</v>
      </c>
      <c r="H66">
        <v>43642</v>
      </c>
      <c r="I66" t="s">
        <v>300</v>
      </c>
      <c r="J66" t="s">
        <v>301</v>
      </c>
      <c r="K66" t="s">
        <v>21</v>
      </c>
      <c r="L66" t="s">
        <v>91</v>
      </c>
      <c r="M66" t="s">
        <v>22</v>
      </c>
    </row>
    <row r="67" spans="1:13" x14ac:dyDescent="0.3">
      <c r="A67" t="s">
        <v>302</v>
      </c>
      <c r="B67" t="s">
        <v>303</v>
      </c>
      <c r="C67" t="s">
        <v>76</v>
      </c>
      <c r="D67" t="s">
        <v>16</v>
      </c>
      <c r="E67" t="s">
        <v>17</v>
      </c>
      <c r="F67" t="s">
        <v>18</v>
      </c>
      <c r="G67">
        <v>43575</v>
      </c>
      <c r="H67">
        <v>43666</v>
      </c>
      <c r="I67" t="s">
        <v>304</v>
      </c>
      <c r="J67" t="s">
        <v>305</v>
      </c>
      <c r="K67" t="s">
        <v>37</v>
      </c>
      <c r="L67" t="s">
        <v>116</v>
      </c>
      <c r="M67" t="s">
        <v>22</v>
      </c>
    </row>
    <row r="68" spans="1:13" x14ac:dyDescent="0.3">
      <c r="A68" t="s">
        <v>306</v>
      </c>
      <c r="B68" t="s">
        <v>307</v>
      </c>
      <c r="C68" t="s">
        <v>33</v>
      </c>
      <c r="D68" t="s">
        <v>16</v>
      </c>
      <c r="E68" t="s">
        <v>17</v>
      </c>
      <c r="F68" t="s">
        <v>151</v>
      </c>
      <c r="G68">
        <v>43608</v>
      </c>
      <c r="H68">
        <v>43947</v>
      </c>
      <c r="I68" t="s">
        <v>309</v>
      </c>
      <c r="J68" t="s">
        <v>310</v>
      </c>
      <c r="K68" t="s">
        <v>29</v>
      </c>
      <c r="L68" t="s">
        <v>91</v>
      </c>
      <c r="M68" t="s">
        <v>22</v>
      </c>
    </row>
    <row r="69" spans="1:13" x14ac:dyDescent="0.3">
      <c r="A69" t="s">
        <v>311</v>
      </c>
      <c r="B69" t="s">
        <v>312</v>
      </c>
      <c r="C69" t="s">
        <v>33</v>
      </c>
      <c r="D69" t="s">
        <v>51</v>
      </c>
      <c r="E69" t="s">
        <v>52</v>
      </c>
      <c r="F69" t="s">
        <v>160</v>
      </c>
      <c r="G69">
        <v>44597</v>
      </c>
      <c r="H69">
        <v>44881</v>
      </c>
      <c r="I69" t="s">
        <v>313</v>
      </c>
      <c r="J69" t="s">
        <v>314</v>
      </c>
      <c r="K69" t="s">
        <v>37</v>
      </c>
      <c r="L69" t="s">
        <v>60</v>
      </c>
      <c r="M69" t="s">
        <v>22</v>
      </c>
    </row>
    <row r="70" spans="1:13" x14ac:dyDescent="0.3">
      <c r="A70" t="s">
        <v>315</v>
      </c>
      <c r="B70" t="s">
        <v>316</v>
      </c>
      <c r="C70" t="s">
        <v>87</v>
      </c>
      <c r="D70" t="s">
        <v>67</v>
      </c>
      <c r="E70" t="s">
        <v>26</v>
      </c>
      <c r="F70" t="s">
        <v>151</v>
      </c>
      <c r="G70">
        <v>45092</v>
      </c>
      <c r="H70">
        <v>45153</v>
      </c>
      <c r="I70" t="s">
        <v>318</v>
      </c>
      <c r="J70" t="s">
        <v>319</v>
      </c>
      <c r="K70" t="s">
        <v>29</v>
      </c>
      <c r="L70" t="s">
        <v>91</v>
      </c>
      <c r="M70" t="s">
        <v>22</v>
      </c>
    </row>
    <row r="71" spans="1:13" x14ac:dyDescent="0.3">
      <c r="A71" t="s">
        <v>320</v>
      </c>
      <c r="B71" t="s">
        <v>321</v>
      </c>
      <c r="C71" t="s">
        <v>33</v>
      </c>
      <c r="D71" t="s">
        <v>25</v>
      </c>
      <c r="E71" t="s">
        <v>26</v>
      </c>
      <c r="F71" t="s">
        <v>18</v>
      </c>
      <c r="G71">
        <v>44143</v>
      </c>
      <c r="H71">
        <v>44169</v>
      </c>
      <c r="I71" t="s">
        <v>322</v>
      </c>
      <c r="J71" t="s">
        <v>323</v>
      </c>
      <c r="K71" t="s">
        <v>37</v>
      </c>
      <c r="L71" t="s">
        <v>30</v>
      </c>
      <c r="M71" t="s">
        <v>22</v>
      </c>
    </row>
    <row r="72" spans="1:13" x14ac:dyDescent="0.3">
      <c r="A72" t="s">
        <v>324</v>
      </c>
      <c r="B72" t="s">
        <v>325</v>
      </c>
      <c r="C72" t="s">
        <v>33</v>
      </c>
      <c r="D72" t="s">
        <v>77</v>
      </c>
      <c r="E72" t="s">
        <v>52</v>
      </c>
      <c r="F72" t="s">
        <v>18</v>
      </c>
      <c r="G72">
        <v>44312</v>
      </c>
      <c r="H72">
        <v>44646</v>
      </c>
      <c r="I72" t="s">
        <v>326</v>
      </c>
      <c r="J72" t="s">
        <v>327</v>
      </c>
      <c r="K72" t="s">
        <v>37</v>
      </c>
      <c r="L72" t="s">
        <v>55</v>
      </c>
      <c r="M72" t="s">
        <v>22</v>
      </c>
    </row>
    <row r="73" spans="1:13" x14ac:dyDescent="0.3">
      <c r="A73" t="s">
        <v>328</v>
      </c>
      <c r="B73" t="s">
        <v>329</v>
      </c>
      <c r="C73" t="s">
        <v>15</v>
      </c>
      <c r="D73" t="s">
        <v>51</v>
      </c>
      <c r="E73" t="s">
        <v>52</v>
      </c>
      <c r="F73" t="s">
        <v>160</v>
      </c>
      <c r="G73">
        <v>43749</v>
      </c>
      <c r="H73">
        <v>43958</v>
      </c>
      <c r="I73" t="s">
        <v>330</v>
      </c>
      <c r="J73" t="s">
        <v>331</v>
      </c>
      <c r="K73" t="s">
        <v>29</v>
      </c>
      <c r="L73" t="s">
        <v>55</v>
      </c>
      <c r="M73" t="s">
        <v>22</v>
      </c>
    </row>
    <row r="74" spans="1:13" x14ac:dyDescent="0.3">
      <c r="A74" t="s">
        <v>332</v>
      </c>
      <c r="B74" t="s">
        <v>333</v>
      </c>
      <c r="C74" t="s">
        <v>181</v>
      </c>
      <c r="D74" t="s">
        <v>16</v>
      </c>
      <c r="E74" t="s">
        <v>17</v>
      </c>
      <c r="F74" t="s">
        <v>18</v>
      </c>
      <c r="G74">
        <v>44981</v>
      </c>
      <c r="H74">
        <v>45264</v>
      </c>
      <c r="I74" t="s">
        <v>334</v>
      </c>
      <c r="J74" t="s">
        <v>335</v>
      </c>
      <c r="K74" t="s">
        <v>37</v>
      </c>
      <c r="L74" t="s">
        <v>91</v>
      </c>
      <c r="M74" t="s">
        <v>22</v>
      </c>
    </row>
    <row r="75" spans="1:13" x14ac:dyDescent="0.3">
      <c r="A75" t="s">
        <v>336</v>
      </c>
      <c r="B75" t="s">
        <v>337</v>
      </c>
      <c r="C75" t="s">
        <v>15</v>
      </c>
      <c r="D75" t="s">
        <v>16</v>
      </c>
      <c r="E75" t="s">
        <v>17</v>
      </c>
      <c r="F75" t="s">
        <v>18</v>
      </c>
      <c r="G75">
        <v>45181</v>
      </c>
      <c r="H75">
        <v>45183</v>
      </c>
      <c r="I75" t="s">
        <v>338</v>
      </c>
      <c r="J75" t="s">
        <v>339</v>
      </c>
      <c r="K75" t="s">
        <v>37</v>
      </c>
      <c r="L75" t="s">
        <v>60</v>
      </c>
      <c r="M75" t="s">
        <v>22</v>
      </c>
    </row>
    <row r="76" spans="1:13" x14ac:dyDescent="0.3">
      <c r="A76" t="s">
        <v>340</v>
      </c>
      <c r="B76" t="s">
        <v>341</v>
      </c>
      <c r="C76" t="s">
        <v>181</v>
      </c>
      <c r="D76" t="s">
        <v>16</v>
      </c>
      <c r="E76" t="s">
        <v>17</v>
      </c>
      <c r="F76" t="s">
        <v>18</v>
      </c>
      <c r="G76">
        <v>45627</v>
      </c>
      <c r="H76">
        <v>45843</v>
      </c>
      <c r="I76" t="s">
        <v>342</v>
      </c>
      <c r="J76" t="s">
        <v>343</v>
      </c>
      <c r="K76" t="s">
        <v>37</v>
      </c>
      <c r="L76" t="s">
        <v>116</v>
      </c>
      <c r="M76" t="s">
        <v>22</v>
      </c>
    </row>
    <row r="77" spans="1:13" x14ac:dyDescent="0.3">
      <c r="A77" t="s">
        <v>344</v>
      </c>
      <c r="B77" t="s">
        <v>345</v>
      </c>
      <c r="C77" t="s">
        <v>33</v>
      </c>
      <c r="D77" t="s">
        <v>41</v>
      </c>
      <c r="E77" t="s">
        <v>17</v>
      </c>
      <c r="F77" t="s">
        <v>18</v>
      </c>
      <c r="G77">
        <v>43935</v>
      </c>
      <c r="H77">
        <v>44018</v>
      </c>
      <c r="I77" t="s">
        <v>346</v>
      </c>
      <c r="J77" t="s">
        <v>347</v>
      </c>
      <c r="K77" t="s">
        <v>90</v>
      </c>
      <c r="L77" t="s">
        <v>116</v>
      </c>
      <c r="M77" t="s">
        <v>22</v>
      </c>
    </row>
    <row r="78" spans="1:13" x14ac:dyDescent="0.3">
      <c r="A78" t="s">
        <v>348</v>
      </c>
      <c r="B78" t="s">
        <v>349</v>
      </c>
      <c r="C78" t="s">
        <v>181</v>
      </c>
      <c r="D78" t="s">
        <v>16</v>
      </c>
      <c r="E78" t="s">
        <v>17</v>
      </c>
      <c r="F78" t="s">
        <v>18</v>
      </c>
      <c r="G78">
        <v>44155</v>
      </c>
      <c r="H78">
        <v>44415</v>
      </c>
      <c r="I78" t="s">
        <v>350</v>
      </c>
      <c r="J78" t="s">
        <v>351</v>
      </c>
      <c r="K78" t="s">
        <v>90</v>
      </c>
      <c r="L78" t="s">
        <v>91</v>
      </c>
      <c r="M78" t="s">
        <v>22</v>
      </c>
    </row>
    <row r="79" spans="1:13" hidden="1" x14ac:dyDescent="0.3">
      <c r="A79" t="s">
        <v>352</v>
      </c>
      <c r="B79" t="s">
        <v>353</v>
      </c>
      <c r="C79" t="s">
        <v>15</v>
      </c>
      <c r="D79" t="s">
        <v>34</v>
      </c>
      <c r="E79" t="s">
        <v>26</v>
      </c>
      <c r="F79" t="s">
        <v>18</v>
      </c>
      <c r="G79">
        <v>45426</v>
      </c>
      <c r="H79">
        <v>45749</v>
      </c>
      <c r="I79" t="s">
        <v>354</v>
      </c>
      <c r="J79" t="s">
        <v>355</v>
      </c>
      <c r="K79" t="s">
        <v>90</v>
      </c>
      <c r="M79" t="s">
        <v>3735</v>
      </c>
    </row>
    <row r="80" spans="1:13" x14ac:dyDescent="0.3">
      <c r="A80" t="s">
        <v>356</v>
      </c>
      <c r="B80" t="s">
        <v>357</v>
      </c>
      <c r="C80" t="s">
        <v>15</v>
      </c>
      <c r="D80" t="s">
        <v>77</v>
      </c>
      <c r="E80" t="s">
        <v>52</v>
      </c>
      <c r="F80" t="s">
        <v>18</v>
      </c>
      <c r="G80">
        <v>45386</v>
      </c>
      <c r="H80">
        <v>45750</v>
      </c>
      <c r="I80" t="s">
        <v>358</v>
      </c>
      <c r="J80" t="s">
        <v>359</v>
      </c>
      <c r="K80" t="s">
        <v>21</v>
      </c>
      <c r="L80" t="s">
        <v>30</v>
      </c>
      <c r="M80" t="s">
        <v>22</v>
      </c>
    </row>
    <row r="81" spans="1:13" x14ac:dyDescent="0.3">
      <c r="A81" t="s">
        <v>360</v>
      </c>
      <c r="B81" t="s">
        <v>361</v>
      </c>
      <c r="C81" t="s">
        <v>40</v>
      </c>
      <c r="D81" t="s">
        <v>34</v>
      </c>
      <c r="E81" t="s">
        <v>26</v>
      </c>
      <c r="F81" t="s">
        <v>18</v>
      </c>
      <c r="G81">
        <v>45037</v>
      </c>
      <c r="H81">
        <v>45064</v>
      </c>
      <c r="I81" t="s">
        <v>362</v>
      </c>
      <c r="J81" t="s">
        <v>363</v>
      </c>
      <c r="K81" t="s">
        <v>21</v>
      </c>
      <c r="L81" t="s">
        <v>55</v>
      </c>
      <c r="M81" t="s">
        <v>22</v>
      </c>
    </row>
    <row r="82" spans="1:13" x14ac:dyDescent="0.3">
      <c r="A82" t="s">
        <v>364</v>
      </c>
      <c r="B82" t="s">
        <v>365</v>
      </c>
      <c r="C82" t="s">
        <v>33</v>
      </c>
      <c r="D82" t="s">
        <v>16</v>
      </c>
      <c r="E82" t="s">
        <v>17</v>
      </c>
      <c r="F82" t="s">
        <v>18</v>
      </c>
      <c r="G82">
        <v>45217</v>
      </c>
      <c r="H82">
        <v>45368</v>
      </c>
      <c r="I82" t="s">
        <v>366</v>
      </c>
      <c r="J82" t="s">
        <v>367</v>
      </c>
      <c r="K82" t="s">
        <v>90</v>
      </c>
      <c r="L82" t="s">
        <v>60</v>
      </c>
      <c r="M82" t="s">
        <v>22</v>
      </c>
    </row>
    <row r="83" spans="1:13" hidden="1" x14ac:dyDescent="0.3">
      <c r="A83" t="s">
        <v>368</v>
      </c>
      <c r="B83" t="s">
        <v>369</v>
      </c>
      <c r="C83" t="s">
        <v>76</v>
      </c>
      <c r="D83" t="s">
        <v>16</v>
      </c>
      <c r="E83" t="s">
        <v>17</v>
      </c>
      <c r="F83" t="s">
        <v>18</v>
      </c>
      <c r="G83">
        <v>45092</v>
      </c>
      <c r="H83">
        <v>45847</v>
      </c>
      <c r="I83" t="s">
        <v>370</v>
      </c>
      <c r="J83" t="s">
        <v>371</v>
      </c>
      <c r="K83" t="s">
        <v>29</v>
      </c>
      <c r="M83" t="s">
        <v>3735</v>
      </c>
    </row>
    <row r="84" spans="1:13" hidden="1" x14ac:dyDescent="0.3">
      <c r="A84" t="s">
        <v>372</v>
      </c>
      <c r="B84" t="s">
        <v>373</v>
      </c>
      <c r="C84" t="s">
        <v>40</v>
      </c>
      <c r="D84" t="s">
        <v>25</v>
      </c>
      <c r="E84" t="s">
        <v>26</v>
      </c>
      <c r="F84" t="s">
        <v>18</v>
      </c>
      <c r="G84">
        <v>44011</v>
      </c>
      <c r="H84">
        <v>44176</v>
      </c>
      <c r="I84" t="s">
        <v>374</v>
      </c>
      <c r="K84" t="s">
        <v>21</v>
      </c>
      <c r="M84" t="s">
        <v>3735</v>
      </c>
    </row>
    <row r="85" spans="1:13" x14ac:dyDescent="0.3">
      <c r="A85" t="s">
        <v>375</v>
      </c>
      <c r="B85" t="s">
        <v>376</v>
      </c>
      <c r="C85" t="s">
        <v>33</v>
      </c>
      <c r="D85" t="s">
        <v>41</v>
      </c>
      <c r="E85" t="s">
        <v>17</v>
      </c>
      <c r="F85" t="s">
        <v>151</v>
      </c>
      <c r="G85">
        <v>43634</v>
      </c>
      <c r="H85">
        <v>43931</v>
      </c>
      <c r="I85" t="s">
        <v>377</v>
      </c>
      <c r="J85" t="s">
        <v>378</v>
      </c>
      <c r="K85" t="s">
        <v>37</v>
      </c>
      <c r="L85" t="s">
        <v>91</v>
      </c>
      <c r="M85" t="s">
        <v>22</v>
      </c>
    </row>
    <row r="86" spans="1:13" x14ac:dyDescent="0.3">
      <c r="A86" t="s">
        <v>379</v>
      </c>
      <c r="B86" t="s">
        <v>380</v>
      </c>
      <c r="C86" t="s">
        <v>46</v>
      </c>
      <c r="D86" t="s">
        <v>41</v>
      </c>
      <c r="E86" t="s">
        <v>17</v>
      </c>
      <c r="F86" t="s">
        <v>18</v>
      </c>
      <c r="G86">
        <v>45063</v>
      </c>
      <c r="H86">
        <v>45305</v>
      </c>
      <c r="I86" t="s">
        <v>381</v>
      </c>
      <c r="J86" t="s">
        <v>382</v>
      </c>
      <c r="K86" t="s">
        <v>21</v>
      </c>
      <c r="L86" t="s">
        <v>60</v>
      </c>
      <c r="M86" t="s">
        <v>22</v>
      </c>
    </row>
    <row r="87" spans="1:13" x14ac:dyDescent="0.3">
      <c r="A87" t="s">
        <v>383</v>
      </c>
      <c r="B87" t="s">
        <v>384</v>
      </c>
      <c r="C87" t="s">
        <v>40</v>
      </c>
      <c r="D87" t="s">
        <v>16</v>
      </c>
      <c r="E87" t="s">
        <v>17</v>
      </c>
      <c r="F87" t="s">
        <v>18</v>
      </c>
      <c r="G87">
        <v>44084</v>
      </c>
      <c r="H87">
        <v>44378</v>
      </c>
      <c r="I87" t="s">
        <v>385</v>
      </c>
      <c r="J87" t="s">
        <v>386</v>
      </c>
      <c r="K87" t="s">
        <v>29</v>
      </c>
      <c r="L87" t="s">
        <v>30</v>
      </c>
      <c r="M87" t="s">
        <v>22</v>
      </c>
    </row>
    <row r="88" spans="1:13" x14ac:dyDescent="0.3">
      <c r="A88" t="s">
        <v>387</v>
      </c>
      <c r="B88" t="s">
        <v>388</v>
      </c>
      <c r="C88" t="s">
        <v>181</v>
      </c>
      <c r="D88" t="s">
        <v>41</v>
      </c>
      <c r="E88" t="s">
        <v>17</v>
      </c>
      <c r="F88" t="s">
        <v>18</v>
      </c>
      <c r="G88">
        <v>43569</v>
      </c>
      <c r="H88">
        <v>43872</v>
      </c>
      <c r="I88" t="s">
        <v>389</v>
      </c>
      <c r="J88" t="s">
        <v>390</v>
      </c>
      <c r="K88" t="s">
        <v>21</v>
      </c>
      <c r="L88" t="s">
        <v>60</v>
      </c>
      <c r="M88" t="s">
        <v>22</v>
      </c>
    </row>
    <row r="89" spans="1:13" x14ac:dyDescent="0.3">
      <c r="A89" t="s">
        <v>391</v>
      </c>
      <c r="B89" t="s">
        <v>392</v>
      </c>
      <c r="C89" t="s">
        <v>76</v>
      </c>
      <c r="D89" t="s">
        <v>25</v>
      </c>
      <c r="E89" t="s">
        <v>26</v>
      </c>
      <c r="F89" t="s">
        <v>151</v>
      </c>
      <c r="G89">
        <v>44725</v>
      </c>
      <c r="H89">
        <v>44847</v>
      </c>
      <c r="I89" t="s">
        <v>393</v>
      </c>
      <c r="J89" t="s">
        <v>394</v>
      </c>
      <c r="K89" t="s">
        <v>90</v>
      </c>
      <c r="L89" t="s">
        <v>60</v>
      </c>
      <c r="M89" t="s">
        <v>22</v>
      </c>
    </row>
    <row r="90" spans="1:13" x14ac:dyDescent="0.3">
      <c r="A90" t="s">
        <v>395</v>
      </c>
      <c r="B90" t="s">
        <v>396</v>
      </c>
      <c r="C90" t="s">
        <v>87</v>
      </c>
      <c r="D90" t="s">
        <v>16</v>
      </c>
      <c r="E90" t="s">
        <v>17</v>
      </c>
      <c r="F90" t="s">
        <v>18</v>
      </c>
      <c r="G90">
        <v>44749</v>
      </c>
      <c r="H90">
        <v>44937</v>
      </c>
      <c r="I90" t="s">
        <v>397</v>
      </c>
      <c r="J90" t="s">
        <v>398</v>
      </c>
      <c r="K90" t="s">
        <v>21</v>
      </c>
      <c r="L90" t="s">
        <v>55</v>
      </c>
      <c r="M90" t="s">
        <v>22</v>
      </c>
    </row>
    <row r="91" spans="1:13" hidden="1" x14ac:dyDescent="0.3">
      <c r="A91" t="s">
        <v>399</v>
      </c>
      <c r="B91" t="s">
        <v>400</v>
      </c>
      <c r="C91" t="s">
        <v>40</v>
      </c>
      <c r="D91" t="s">
        <v>34</v>
      </c>
      <c r="E91" t="s">
        <v>26</v>
      </c>
      <c r="F91" t="s">
        <v>18</v>
      </c>
      <c r="G91">
        <v>44491</v>
      </c>
      <c r="H91">
        <v>44504</v>
      </c>
      <c r="I91" t="s">
        <v>401</v>
      </c>
      <c r="J91" t="s">
        <v>402</v>
      </c>
      <c r="K91" t="s">
        <v>90</v>
      </c>
      <c r="M91" t="s">
        <v>3735</v>
      </c>
    </row>
    <row r="92" spans="1:13" x14ac:dyDescent="0.3">
      <c r="A92" t="s">
        <v>403</v>
      </c>
      <c r="B92" t="s">
        <v>404</v>
      </c>
      <c r="C92" t="s">
        <v>87</v>
      </c>
      <c r="D92" t="s">
        <v>34</v>
      </c>
      <c r="E92" t="s">
        <v>26</v>
      </c>
      <c r="F92" t="s">
        <v>18</v>
      </c>
      <c r="G92">
        <v>44458</v>
      </c>
      <c r="H92">
        <v>44624</v>
      </c>
      <c r="I92" t="s">
        <v>405</v>
      </c>
      <c r="J92" t="s">
        <v>406</v>
      </c>
      <c r="K92" t="s">
        <v>21</v>
      </c>
      <c r="L92" t="s">
        <v>116</v>
      </c>
      <c r="M92" t="s">
        <v>22</v>
      </c>
    </row>
    <row r="93" spans="1:13" x14ac:dyDescent="0.3">
      <c r="A93" t="s">
        <v>407</v>
      </c>
      <c r="B93" t="s">
        <v>408</v>
      </c>
      <c r="C93" t="s">
        <v>87</v>
      </c>
      <c r="D93" t="s">
        <v>67</v>
      </c>
      <c r="E93" t="s">
        <v>26</v>
      </c>
      <c r="F93" t="s">
        <v>18</v>
      </c>
      <c r="G93">
        <v>44020</v>
      </c>
      <c r="H93">
        <v>44221</v>
      </c>
      <c r="I93" t="s">
        <v>409</v>
      </c>
      <c r="J93" t="s">
        <v>410</v>
      </c>
      <c r="K93" t="s">
        <v>21</v>
      </c>
      <c r="L93" t="s">
        <v>60</v>
      </c>
      <c r="M93" t="s">
        <v>22</v>
      </c>
    </row>
    <row r="94" spans="1:13" x14ac:dyDescent="0.3">
      <c r="A94" t="s">
        <v>411</v>
      </c>
      <c r="B94" t="s">
        <v>412</v>
      </c>
      <c r="C94" t="s">
        <v>181</v>
      </c>
      <c r="D94" t="s">
        <v>77</v>
      </c>
      <c r="E94" t="s">
        <v>52</v>
      </c>
      <c r="F94" t="s">
        <v>18</v>
      </c>
      <c r="G94">
        <v>44175</v>
      </c>
      <c r="H94">
        <v>44459</v>
      </c>
      <c r="I94" t="s">
        <v>413</v>
      </c>
      <c r="J94" t="s">
        <v>414</v>
      </c>
      <c r="K94" t="s">
        <v>29</v>
      </c>
      <c r="L94" t="s">
        <v>55</v>
      </c>
      <c r="M94" t="s">
        <v>22</v>
      </c>
    </row>
    <row r="95" spans="1:13" hidden="1" x14ac:dyDescent="0.3">
      <c r="A95" t="s">
        <v>415</v>
      </c>
      <c r="B95" t="s">
        <v>416</v>
      </c>
      <c r="C95" t="s">
        <v>33</v>
      </c>
      <c r="D95" t="s">
        <v>77</v>
      </c>
      <c r="E95" t="s">
        <v>52</v>
      </c>
      <c r="F95" t="s">
        <v>18</v>
      </c>
      <c r="G95">
        <v>44301</v>
      </c>
      <c r="H95">
        <v>44511</v>
      </c>
      <c r="I95" t="s">
        <v>417</v>
      </c>
      <c r="J95" t="s">
        <v>418</v>
      </c>
      <c r="K95" t="s">
        <v>90</v>
      </c>
      <c r="M95" t="s">
        <v>3735</v>
      </c>
    </row>
    <row r="96" spans="1:13" x14ac:dyDescent="0.3">
      <c r="A96" t="s">
        <v>419</v>
      </c>
      <c r="B96" t="s">
        <v>420</v>
      </c>
      <c r="C96" t="s">
        <v>87</v>
      </c>
      <c r="D96" t="s">
        <v>51</v>
      </c>
      <c r="E96" t="s">
        <v>52</v>
      </c>
      <c r="F96" t="s">
        <v>18</v>
      </c>
      <c r="G96">
        <v>43632</v>
      </c>
      <c r="H96">
        <v>43674</v>
      </c>
      <c r="I96" t="s">
        <v>421</v>
      </c>
      <c r="J96" t="s">
        <v>422</v>
      </c>
      <c r="K96" t="s">
        <v>90</v>
      </c>
      <c r="L96" t="s">
        <v>30</v>
      </c>
      <c r="M96" t="s">
        <v>22</v>
      </c>
    </row>
    <row r="97" spans="1:13" x14ac:dyDescent="0.3">
      <c r="A97" t="s">
        <v>423</v>
      </c>
      <c r="B97" t="s">
        <v>424</v>
      </c>
      <c r="C97" t="s">
        <v>46</v>
      </c>
      <c r="D97" t="s">
        <v>77</v>
      </c>
      <c r="E97" t="s">
        <v>52</v>
      </c>
      <c r="F97" t="s">
        <v>18</v>
      </c>
      <c r="G97">
        <v>43643</v>
      </c>
      <c r="H97">
        <v>44000</v>
      </c>
      <c r="I97" t="s">
        <v>425</v>
      </c>
      <c r="J97" t="s">
        <v>426</v>
      </c>
      <c r="K97" t="s">
        <v>37</v>
      </c>
      <c r="L97" t="s">
        <v>30</v>
      </c>
      <c r="M97" t="s">
        <v>22</v>
      </c>
    </row>
    <row r="98" spans="1:13" x14ac:dyDescent="0.3">
      <c r="A98" t="s">
        <v>427</v>
      </c>
      <c r="B98" t="s">
        <v>428</v>
      </c>
      <c r="C98" t="s">
        <v>181</v>
      </c>
      <c r="D98" t="s">
        <v>34</v>
      </c>
      <c r="E98" t="s">
        <v>26</v>
      </c>
      <c r="F98" t="s">
        <v>18</v>
      </c>
      <c r="G98">
        <v>44517</v>
      </c>
      <c r="H98">
        <v>44572</v>
      </c>
      <c r="I98" t="s">
        <v>429</v>
      </c>
      <c r="J98" t="s">
        <v>430</v>
      </c>
      <c r="K98" t="s">
        <v>21</v>
      </c>
      <c r="L98" t="s">
        <v>30</v>
      </c>
      <c r="M98" t="s">
        <v>22</v>
      </c>
    </row>
    <row r="99" spans="1:13" x14ac:dyDescent="0.3">
      <c r="A99" t="s">
        <v>431</v>
      </c>
      <c r="B99" t="s">
        <v>432</v>
      </c>
      <c r="C99" t="s">
        <v>40</v>
      </c>
      <c r="D99" t="s">
        <v>67</v>
      </c>
      <c r="E99" t="s">
        <v>26</v>
      </c>
      <c r="F99" t="s">
        <v>18</v>
      </c>
      <c r="G99">
        <v>44419</v>
      </c>
      <c r="H99">
        <v>44500</v>
      </c>
      <c r="I99" t="s">
        <v>433</v>
      </c>
      <c r="J99" t="s">
        <v>434</v>
      </c>
      <c r="K99" t="s">
        <v>37</v>
      </c>
      <c r="L99" t="s">
        <v>116</v>
      </c>
      <c r="M99" t="s">
        <v>22</v>
      </c>
    </row>
    <row r="100" spans="1:13" x14ac:dyDescent="0.3">
      <c r="A100" t="s">
        <v>435</v>
      </c>
      <c r="B100" t="s">
        <v>3720</v>
      </c>
      <c r="C100" t="s">
        <v>33</v>
      </c>
      <c r="D100" t="s">
        <v>51</v>
      </c>
      <c r="E100" t="s">
        <v>52</v>
      </c>
      <c r="F100" t="s">
        <v>151</v>
      </c>
      <c r="G100">
        <v>45568</v>
      </c>
      <c r="H100">
        <v>45699</v>
      </c>
      <c r="I100" t="s">
        <v>437</v>
      </c>
      <c r="J100" t="s">
        <v>438</v>
      </c>
      <c r="K100" t="s">
        <v>21</v>
      </c>
      <c r="L100" t="s">
        <v>30</v>
      </c>
      <c r="M100" t="s">
        <v>22</v>
      </c>
    </row>
    <row r="101" spans="1:13" x14ac:dyDescent="0.3">
      <c r="A101" t="s">
        <v>439</v>
      </c>
      <c r="B101" t="s">
        <v>440</v>
      </c>
      <c r="C101" t="s">
        <v>40</v>
      </c>
      <c r="D101" t="s">
        <v>25</v>
      </c>
      <c r="E101" t="s">
        <v>26</v>
      </c>
      <c r="F101" t="s">
        <v>18</v>
      </c>
      <c r="G101">
        <v>45234</v>
      </c>
      <c r="H101">
        <v>45267</v>
      </c>
      <c r="I101" t="s">
        <v>441</v>
      </c>
      <c r="J101" t="s">
        <v>442</v>
      </c>
      <c r="K101" t="s">
        <v>90</v>
      </c>
      <c r="L101" t="s">
        <v>116</v>
      </c>
      <c r="M101" t="s">
        <v>22</v>
      </c>
    </row>
    <row r="102" spans="1:13" x14ac:dyDescent="0.3">
      <c r="A102" t="s">
        <v>443</v>
      </c>
      <c r="B102" t="s">
        <v>444</v>
      </c>
      <c r="C102" t="s">
        <v>40</v>
      </c>
      <c r="D102" t="s">
        <v>41</v>
      </c>
      <c r="E102" t="s">
        <v>17</v>
      </c>
      <c r="F102" t="s">
        <v>160</v>
      </c>
      <c r="G102">
        <v>43689</v>
      </c>
      <c r="H102">
        <v>43694</v>
      </c>
      <c r="I102" t="s">
        <v>445</v>
      </c>
      <c r="J102" t="s">
        <v>446</v>
      </c>
      <c r="K102" t="s">
        <v>21</v>
      </c>
      <c r="L102" t="s">
        <v>30</v>
      </c>
      <c r="M102" t="s">
        <v>22</v>
      </c>
    </row>
    <row r="103" spans="1:13" hidden="1" x14ac:dyDescent="0.3">
      <c r="A103" t="s">
        <v>447</v>
      </c>
      <c r="B103" t="s">
        <v>448</v>
      </c>
      <c r="C103" t="s">
        <v>15</v>
      </c>
      <c r="D103" t="s">
        <v>41</v>
      </c>
      <c r="E103" t="s">
        <v>17</v>
      </c>
      <c r="F103" t="s">
        <v>160</v>
      </c>
      <c r="G103">
        <v>45594</v>
      </c>
      <c r="H103">
        <v>45924</v>
      </c>
      <c r="I103" t="s">
        <v>449</v>
      </c>
      <c r="J103" t="s">
        <v>450</v>
      </c>
      <c r="K103" t="s">
        <v>29</v>
      </c>
      <c r="M103" t="s">
        <v>3735</v>
      </c>
    </row>
    <row r="104" spans="1:13" x14ac:dyDescent="0.3">
      <c r="A104" t="s">
        <v>451</v>
      </c>
      <c r="B104" t="s">
        <v>452</v>
      </c>
      <c r="C104" t="s">
        <v>181</v>
      </c>
      <c r="D104" t="s">
        <v>16</v>
      </c>
      <c r="E104" t="s">
        <v>17</v>
      </c>
      <c r="F104" t="s">
        <v>18</v>
      </c>
      <c r="G104">
        <v>45362</v>
      </c>
      <c r="H104">
        <v>45528</v>
      </c>
      <c r="I104" t="s">
        <v>454</v>
      </c>
      <c r="J104" t="s">
        <v>455</v>
      </c>
      <c r="K104" t="s">
        <v>21</v>
      </c>
      <c r="L104" t="s">
        <v>55</v>
      </c>
      <c r="M104" t="s">
        <v>22</v>
      </c>
    </row>
    <row r="105" spans="1:13" x14ac:dyDescent="0.3">
      <c r="A105" t="s">
        <v>456</v>
      </c>
      <c r="B105" t="s">
        <v>457</v>
      </c>
      <c r="C105" t="s">
        <v>40</v>
      </c>
      <c r="D105" t="s">
        <v>25</v>
      </c>
      <c r="E105" t="s">
        <v>26</v>
      </c>
      <c r="F105" t="s">
        <v>18</v>
      </c>
      <c r="G105">
        <v>44198</v>
      </c>
      <c r="H105">
        <v>44345</v>
      </c>
      <c r="I105" t="s">
        <v>458</v>
      </c>
      <c r="J105" t="s">
        <v>459</v>
      </c>
      <c r="K105" t="s">
        <v>37</v>
      </c>
      <c r="L105" t="s">
        <v>116</v>
      </c>
      <c r="M105" t="s">
        <v>22</v>
      </c>
    </row>
    <row r="106" spans="1:13" hidden="1" x14ac:dyDescent="0.3">
      <c r="A106" t="s">
        <v>460</v>
      </c>
      <c r="B106" t="s">
        <v>461</v>
      </c>
      <c r="C106" t="s">
        <v>46</v>
      </c>
      <c r="D106" t="s">
        <v>34</v>
      </c>
      <c r="E106" t="s">
        <v>26</v>
      </c>
      <c r="F106" t="s">
        <v>151</v>
      </c>
      <c r="G106">
        <v>45464</v>
      </c>
      <c r="H106">
        <v>45582</v>
      </c>
      <c r="I106" t="s">
        <v>177</v>
      </c>
      <c r="J106" t="s">
        <v>462</v>
      </c>
      <c r="K106" t="s">
        <v>90</v>
      </c>
      <c r="L106" t="s">
        <v>30</v>
      </c>
      <c r="M106" t="s">
        <v>3735</v>
      </c>
    </row>
    <row r="107" spans="1:13" x14ac:dyDescent="0.3">
      <c r="A107" t="s">
        <v>463</v>
      </c>
      <c r="B107" t="s">
        <v>464</v>
      </c>
      <c r="C107" t="s">
        <v>33</v>
      </c>
      <c r="D107" t="s">
        <v>16</v>
      </c>
      <c r="E107" t="s">
        <v>17</v>
      </c>
      <c r="F107" t="s">
        <v>18</v>
      </c>
      <c r="G107">
        <v>44235</v>
      </c>
      <c r="H107">
        <v>44454</v>
      </c>
      <c r="I107" t="s">
        <v>465</v>
      </c>
      <c r="J107" t="s">
        <v>466</v>
      </c>
      <c r="K107" t="s">
        <v>21</v>
      </c>
      <c r="L107" t="s">
        <v>30</v>
      </c>
      <c r="M107" t="s">
        <v>22</v>
      </c>
    </row>
    <row r="108" spans="1:13" x14ac:dyDescent="0.3">
      <c r="A108" t="s">
        <v>467</v>
      </c>
      <c r="B108" t="s">
        <v>468</v>
      </c>
      <c r="C108" t="s">
        <v>87</v>
      </c>
      <c r="D108" t="s">
        <v>16</v>
      </c>
      <c r="E108" t="s">
        <v>17</v>
      </c>
      <c r="F108" t="s">
        <v>151</v>
      </c>
      <c r="G108">
        <v>44003</v>
      </c>
      <c r="H108">
        <v>44186</v>
      </c>
      <c r="I108" t="s">
        <v>469</v>
      </c>
      <c r="J108" t="s">
        <v>470</v>
      </c>
      <c r="K108" t="s">
        <v>37</v>
      </c>
      <c r="L108" t="s">
        <v>30</v>
      </c>
      <c r="M108" t="s">
        <v>22</v>
      </c>
    </row>
    <row r="109" spans="1:13" hidden="1" x14ac:dyDescent="0.3">
      <c r="A109" t="s">
        <v>471</v>
      </c>
      <c r="B109" t="s">
        <v>472</v>
      </c>
      <c r="C109" t="s">
        <v>46</v>
      </c>
      <c r="D109" t="s">
        <v>41</v>
      </c>
      <c r="E109" t="s">
        <v>17</v>
      </c>
      <c r="F109" t="s">
        <v>160</v>
      </c>
      <c r="G109">
        <v>44180</v>
      </c>
      <c r="H109">
        <v>44325</v>
      </c>
      <c r="I109" t="s">
        <v>474</v>
      </c>
      <c r="J109" t="s">
        <v>475</v>
      </c>
      <c r="K109" t="s">
        <v>21</v>
      </c>
      <c r="M109" t="s">
        <v>3735</v>
      </c>
    </row>
    <row r="110" spans="1:13" hidden="1" x14ac:dyDescent="0.3">
      <c r="A110" t="s">
        <v>476</v>
      </c>
      <c r="B110" t="s">
        <v>477</v>
      </c>
      <c r="C110" t="s">
        <v>181</v>
      </c>
      <c r="D110" t="s">
        <v>25</v>
      </c>
      <c r="E110" t="s">
        <v>26</v>
      </c>
      <c r="F110" t="s">
        <v>18</v>
      </c>
      <c r="G110">
        <v>44821</v>
      </c>
      <c r="H110">
        <v>45098</v>
      </c>
      <c r="I110" t="s">
        <v>177</v>
      </c>
      <c r="J110" t="s">
        <v>478</v>
      </c>
      <c r="K110" t="s">
        <v>90</v>
      </c>
      <c r="L110" t="s">
        <v>55</v>
      </c>
      <c r="M110" t="s">
        <v>3735</v>
      </c>
    </row>
    <row r="111" spans="1:13" x14ac:dyDescent="0.3">
      <c r="A111" t="s">
        <v>479</v>
      </c>
      <c r="B111" t="s">
        <v>480</v>
      </c>
      <c r="C111" t="s">
        <v>87</v>
      </c>
      <c r="D111" t="s">
        <v>25</v>
      </c>
      <c r="E111" t="s">
        <v>26</v>
      </c>
      <c r="F111" t="s">
        <v>18</v>
      </c>
      <c r="G111">
        <v>44083</v>
      </c>
      <c r="H111">
        <v>44090</v>
      </c>
      <c r="I111" t="s">
        <v>481</v>
      </c>
      <c r="J111" t="s">
        <v>482</v>
      </c>
      <c r="K111" t="s">
        <v>29</v>
      </c>
      <c r="L111" t="s">
        <v>30</v>
      </c>
      <c r="M111" t="s">
        <v>22</v>
      </c>
    </row>
    <row r="112" spans="1:13" x14ac:dyDescent="0.3">
      <c r="A112" t="s">
        <v>483</v>
      </c>
      <c r="B112" t="s">
        <v>484</v>
      </c>
      <c r="C112" t="s">
        <v>76</v>
      </c>
      <c r="D112" t="s">
        <v>16</v>
      </c>
      <c r="E112" t="s">
        <v>17</v>
      </c>
      <c r="F112" t="s">
        <v>160</v>
      </c>
      <c r="G112">
        <v>45006</v>
      </c>
      <c r="H112">
        <v>45086</v>
      </c>
      <c r="I112" t="s">
        <v>485</v>
      </c>
      <c r="J112" t="s">
        <v>486</v>
      </c>
      <c r="K112" t="s">
        <v>90</v>
      </c>
      <c r="L112" t="s">
        <v>60</v>
      </c>
      <c r="M112" t="s">
        <v>22</v>
      </c>
    </row>
    <row r="113" spans="1:13" hidden="1" x14ac:dyDescent="0.3">
      <c r="A113" t="s">
        <v>487</v>
      </c>
      <c r="B113" t="s">
        <v>488</v>
      </c>
      <c r="C113" t="s">
        <v>40</v>
      </c>
      <c r="D113" t="s">
        <v>67</v>
      </c>
      <c r="E113" t="s">
        <v>26</v>
      </c>
      <c r="F113" t="s">
        <v>18</v>
      </c>
      <c r="G113">
        <v>45056</v>
      </c>
      <c r="H113">
        <v>45180</v>
      </c>
      <c r="I113" t="s">
        <v>489</v>
      </c>
      <c r="J113" t="s">
        <v>490</v>
      </c>
      <c r="K113" t="s">
        <v>29</v>
      </c>
      <c r="M113" t="s">
        <v>3735</v>
      </c>
    </row>
    <row r="114" spans="1:13" x14ac:dyDescent="0.3">
      <c r="A114" t="s">
        <v>491</v>
      </c>
      <c r="B114" t="s">
        <v>492</v>
      </c>
      <c r="C114" t="s">
        <v>181</v>
      </c>
      <c r="D114" t="s">
        <v>77</v>
      </c>
      <c r="E114" t="s">
        <v>52</v>
      </c>
      <c r="F114" t="s">
        <v>18</v>
      </c>
      <c r="G114">
        <v>44720</v>
      </c>
      <c r="H114">
        <v>45059</v>
      </c>
      <c r="I114" t="s">
        <v>493</v>
      </c>
      <c r="J114" t="s">
        <v>494</v>
      </c>
      <c r="K114" t="s">
        <v>21</v>
      </c>
      <c r="L114" t="s">
        <v>91</v>
      </c>
      <c r="M114" t="s">
        <v>22</v>
      </c>
    </row>
    <row r="115" spans="1:13" hidden="1" x14ac:dyDescent="0.3">
      <c r="A115" t="s">
        <v>495</v>
      </c>
      <c r="B115" t="s">
        <v>496</v>
      </c>
      <c r="C115" t="s">
        <v>46</v>
      </c>
      <c r="D115" t="s">
        <v>77</v>
      </c>
      <c r="E115" t="s">
        <v>52</v>
      </c>
      <c r="F115" t="s">
        <v>18</v>
      </c>
      <c r="G115">
        <v>45022</v>
      </c>
      <c r="H115">
        <v>45065</v>
      </c>
      <c r="I115" t="s">
        <v>497</v>
      </c>
      <c r="J115" t="s">
        <v>498</v>
      </c>
      <c r="K115" t="s">
        <v>37</v>
      </c>
      <c r="M115" t="s">
        <v>3735</v>
      </c>
    </row>
    <row r="116" spans="1:13" x14ac:dyDescent="0.3">
      <c r="A116" t="s">
        <v>499</v>
      </c>
      <c r="B116" t="s">
        <v>500</v>
      </c>
      <c r="C116" t="s">
        <v>87</v>
      </c>
      <c r="D116" t="s">
        <v>67</v>
      </c>
      <c r="E116" t="s">
        <v>26</v>
      </c>
      <c r="F116" t="s">
        <v>18</v>
      </c>
      <c r="G116">
        <v>43976</v>
      </c>
      <c r="H116">
        <v>44129</v>
      </c>
      <c r="I116" t="s">
        <v>502</v>
      </c>
      <c r="J116" t="s">
        <v>503</v>
      </c>
      <c r="K116" t="s">
        <v>21</v>
      </c>
      <c r="L116" t="s">
        <v>116</v>
      </c>
      <c r="M116" t="s">
        <v>22</v>
      </c>
    </row>
    <row r="117" spans="1:13" x14ac:dyDescent="0.3">
      <c r="A117" t="s">
        <v>504</v>
      </c>
      <c r="B117" t="s">
        <v>505</v>
      </c>
      <c r="C117" t="s">
        <v>87</v>
      </c>
      <c r="D117" t="s">
        <v>34</v>
      </c>
      <c r="E117" t="s">
        <v>26</v>
      </c>
      <c r="F117" t="s">
        <v>18</v>
      </c>
      <c r="G117">
        <v>43553</v>
      </c>
      <c r="H117">
        <v>43578</v>
      </c>
      <c r="I117" t="s">
        <v>506</v>
      </c>
      <c r="J117" t="s">
        <v>507</v>
      </c>
      <c r="K117" t="s">
        <v>37</v>
      </c>
      <c r="L117" t="s">
        <v>91</v>
      </c>
      <c r="M117" t="s">
        <v>22</v>
      </c>
    </row>
    <row r="118" spans="1:13" x14ac:dyDescent="0.3">
      <c r="A118" t="s">
        <v>508</v>
      </c>
      <c r="B118" t="s">
        <v>509</v>
      </c>
      <c r="C118" t="s">
        <v>40</v>
      </c>
      <c r="D118" t="s">
        <v>34</v>
      </c>
      <c r="E118" t="s">
        <v>26</v>
      </c>
      <c r="F118" t="s">
        <v>18</v>
      </c>
      <c r="G118">
        <v>44933</v>
      </c>
      <c r="H118">
        <v>44965</v>
      </c>
      <c r="I118" t="s">
        <v>510</v>
      </c>
      <c r="J118" t="s">
        <v>511</v>
      </c>
      <c r="K118" t="s">
        <v>37</v>
      </c>
      <c r="L118" t="s">
        <v>30</v>
      </c>
      <c r="M118" t="s">
        <v>22</v>
      </c>
    </row>
    <row r="119" spans="1:13" hidden="1" x14ac:dyDescent="0.3">
      <c r="A119" t="s">
        <v>512</v>
      </c>
      <c r="B119" t="s">
        <v>513</v>
      </c>
      <c r="C119" t="s">
        <v>33</v>
      </c>
      <c r="D119" t="s">
        <v>34</v>
      </c>
      <c r="E119" t="s">
        <v>26</v>
      </c>
      <c r="F119" t="s">
        <v>18</v>
      </c>
      <c r="G119">
        <v>45409</v>
      </c>
      <c r="H119">
        <v>45427</v>
      </c>
      <c r="I119" t="s">
        <v>514</v>
      </c>
      <c r="J119" t="s">
        <v>515</v>
      </c>
      <c r="K119" t="s">
        <v>37</v>
      </c>
      <c r="M119" t="s">
        <v>3735</v>
      </c>
    </row>
    <row r="120" spans="1:13" x14ac:dyDescent="0.3">
      <c r="A120" t="s">
        <v>516</v>
      </c>
      <c r="B120" t="s">
        <v>517</v>
      </c>
      <c r="C120" t="s">
        <v>46</v>
      </c>
      <c r="D120" t="s">
        <v>34</v>
      </c>
      <c r="E120" t="s">
        <v>26</v>
      </c>
      <c r="F120" t="s">
        <v>18</v>
      </c>
      <c r="G120">
        <v>45295</v>
      </c>
      <c r="H120">
        <v>45484</v>
      </c>
      <c r="I120" t="s">
        <v>518</v>
      </c>
      <c r="J120" t="s">
        <v>519</v>
      </c>
      <c r="K120" t="s">
        <v>37</v>
      </c>
      <c r="L120" t="s">
        <v>30</v>
      </c>
      <c r="M120" t="s">
        <v>22</v>
      </c>
    </row>
    <row r="121" spans="1:13" x14ac:dyDescent="0.3">
      <c r="A121" t="s">
        <v>520</v>
      </c>
      <c r="B121" t="s">
        <v>521</v>
      </c>
      <c r="C121" t="s">
        <v>15</v>
      </c>
      <c r="D121" t="s">
        <v>67</v>
      </c>
      <c r="E121" t="s">
        <v>26</v>
      </c>
      <c r="F121" t="s">
        <v>151</v>
      </c>
      <c r="G121">
        <v>45090</v>
      </c>
      <c r="H121">
        <v>45257</v>
      </c>
      <c r="I121" t="s">
        <v>522</v>
      </c>
      <c r="J121" t="s">
        <v>523</v>
      </c>
      <c r="K121" t="s">
        <v>21</v>
      </c>
      <c r="L121" t="s">
        <v>30</v>
      </c>
      <c r="M121" t="s">
        <v>22</v>
      </c>
    </row>
    <row r="122" spans="1:13" x14ac:dyDescent="0.3">
      <c r="A122" t="s">
        <v>524</v>
      </c>
      <c r="B122" t="s">
        <v>525</v>
      </c>
      <c r="C122" t="s">
        <v>87</v>
      </c>
      <c r="D122" t="s">
        <v>77</v>
      </c>
      <c r="E122" t="s">
        <v>52</v>
      </c>
      <c r="F122" t="s">
        <v>18</v>
      </c>
      <c r="G122">
        <v>44397</v>
      </c>
      <c r="H122">
        <v>44610</v>
      </c>
      <c r="I122" t="s">
        <v>526</v>
      </c>
      <c r="J122" t="s">
        <v>527</v>
      </c>
      <c r="K122" t="s">
        <v>21</v>
      </c>
      <c r="L122" t="s">
        <v>116</v>
      </c>
      <c r="M122" t="s">
        <v>22</v>
      </c>
    </row>
    <row r="123" spans="1:13" hidden="1" x14ac:dyDescent="0.3">
      <c r="A123" t="s">
        <v>528</v>
      </c>
      <c r="B123" t="s">
        <v>529</v>
      </c>
      <c r="C123" t="s">
        <v>15</v>
      </c>
      <c r="D123" t="s">
        <v>16</v>
      </c>
      <c r="E123" t="s">
        <v>17</v>
      </c>
      <c r="F123" t="s">
        <v>160</v>
      </c>
      <c r="G123">
        <v>44874</v>
      </c>
      <c r="H123">
        <v>45020</v>
      </c>
      <c r="I123" t="s">
        <v>530</v>
      </c>
      <c r="J123" t="s">
        <v>531</v>
      </c>
      <c r="K123" t="s">
        <v>90</v>
      </c>
      <c r="M123" t="s">
        <v>3735</v>
      </c>
    </row>
    <row r="124" spans="1:13" x14ac:dyDescent="0.3">
      <c r="A124" t="s">
        <v>532</v>
      </c>
      <c r="B124" t="s">
        <v>533</v>
      </c>
      <c r="C124" t="s">
        <v>181</v>
      </c>
      <c r="D124" t="s">
        <v>77</v>
      </c>
      <c r="E124" t="s">
        <v>52</v>
      </c>
      <c r="F124" t="s">
        <v>18</v>
      </c>
      <c r="G124">
        <v>45017</v>
      </c>
      <c r="H124">
        <v>45196</v>
      </c>
      <c r="I124" t="s">
        <v>534</v>
      </c>
      <c r="J124" t="s">
        <v>535</v>
      </c>
      <c r="K124" t="s">
        <v>90</v>
      </c>
      <c r="L124" t="s">
        <v>30</v>
      </c>
      <c r="M124" t="s">
        <v>22</v>
      </c>
    </row>
    <row r="125" spans="1:13" x14ac:dyDescent="0.3">
      <c r="A125" t="s">
        <v>536</v>
      </c>
      <c r="B125" t="s">
        <v>537</v>
      </c>
      <c r="C125" t="s">
        <v>46</v>
      </c>
      <c r="D125" t="s">
        <v>51</v>
      </c>
      <c r="E125" t="s">
        <v>52</v>
      </c>
      <c r="F125" t="s">
        <v>18</v>
      </c>
      <c r="G125">
        <v>43563</v>
      </c>
      <c r="H125">
        <v>43880</v>
      </c>
      <c r="I125" t="s">
        <v>539</v>
      </c>
      <c r="J125" t="s">
        <v>540</v>
      </c>
      <c r="K125" t="s">
        <v>37</v>
      </c>
      <c r="L125" t="s">
        <v>91</v>
      </c>
      <c r="M125" t="s">
        <v>22</v>
      </c>
    </row>
    <row r="126" spans="1:13" x14ac:dyDescent="0.3">
      <c r="A126" t="s">
        <v>541</v>
      </c>
      <c r="B126" t="s">
        <v>542</v>
      </c>
      <c r="C126" t="s">
        <v>46</v>
      </c>
      <c r="D126" t="s">
        <v>34</v>
      </c>
      <c r="E126" t="s">
        <v>26</v>
      </c>
      <c r="F126" t="s">
        <v>151</v>
      </c>
      <c r="G126">
        <v>45023</v>
      </c>
      <c r="H126">
        <v>45098</v>
      </c>
      <c r="I126" t="s">
        <v>543</v>
      </c>
      <c r="J126" t="s">
        <v>544</v>
      </c>
      <c r="K126" t="s">
        <v>90</v>
      </c>
      <c r="L126" t="s">
        <v>55</v>
      </c>
      <c r="M126" t="s">
        <v>22</v>
      </c>
    </row>
    <row r="127" spans="1:13" hidden="1" x14ac:dyDescent="0.3">
      <c r="A127" t="s">
        <v>545</v>
      </c>
      <c r="B127" t="s">
        <v>3721</v>
      </c>
      <c r="C127" t="s">
        <v>87</v>
      </c>
      <c r="D127" t="s">
        <v>16</v>
      </c>
      <c r="E127" t="s">
        <v>17</v>
      </c>
      <c r="F127" t="s">
        <v>18</v>
      </c>
      <c r="G127">
        <v>43505</v>
      </c>
      <c r="H127">
        <v>43676</v>
      </c>
      <c r="I127" t="s">
        <v>546</v>
      </c>
      <c r="J127" t="s">
        <v>547</v>
      </c>
      <c r="K127" t="s">
        <v>29</v>
      </c>
      <c r="L127" t="s">
        <v>60</v>
      </c>
      <c r="M127" t="s">
        <v>3735</v>
      </c>
    </row>
    <row r="128" spans="1:13" x14ac:dyDescent="0.3">
      <c r="A128" t="s">
        <v>548</v>
      </c>
      <c r="B128" t="s">
        <v>549</v>
      </c>
      <c r="C128" t="s">
        <v>87</v>
      </c>
      <c r="D128" t="s">
        <v>34</v>
      </c>
      <c r="E128" t="s">
        <v>26</v>
      </c>
      <c r="F128" t="s">
        <v>18</v>
      </c>
      <c r="G128">
        <v>44712</v>
      </c>
      <c r="H128">
        <v>44872</v>
      </c>
      <c r="I128" t="s">
        <v>550</v>
      </c>
      <c r="J128" t="s">
        <v>551</v>
      </c>
      <c r="K128" t="s">
        <v>29</v>
      </c>
      <c r="L128" t="s">
        <v>91</v>
      </c>
      <c r="M128" t="s">
        <v>22</v>
      </c>
    </row>
    <row r="129" spans="1:13" x14ac:dyDescent="0.3">
      <c r="A129" t="s">
        <v>552</v>
      </c>
      <c r="B129" t="s">
        <v>553</v>
      </c>
      <c r="C129" t="s">
        <v>46</v>
      </c>
      <c r="D129" t="s">
        <v>67</v>
      </c>
      <c r="E129" t="s">
        <v>26</v>
      </c>
      <c r="F129" t="s">
        <v>160</v>
      </c>
      <c r="G129">
        <v>45099</v>
      </c>
      <c r="H129">
        <v>45229</v>
      </c>
      <c r="I129" t="s">
        <v>555</v>
      </c>
      <c r="J129" t="s">
        <v>556</v>
      </c>
      <c r="K129" t="s">
        <v>21</v>
      </c>
      <c r="L129" t="s">
        <v>60</v>
      </c>
      <c r="M129" t="s">
        <v>22</v>
      </c>
    </row>
    <row r="130" spans="1:13" x14ac:dyDescent="0.3">
      <c r="A130" t="s">
        <v>557</v>
      </c>
      <c r="B130" t="s">
        <v>558</v>
      </c>
      <c r="C130" t="s">
        <v>15</v>
      </c>
      <c r="D130" t="s">
        <v>34</v>
      </c>
      <c r="E130" t="s">
        <v>26</v>
      </c>
      <c r="F130" t="s">
        <v>151</v>
      </c>
      <c r="G130">
        <v>44890</v>
      </c>
      <c r="H130">
        <v>45070</v>
      </c>
      <c r="I130" t="s">
        <v>559</v>
      </c>
      <c r="J130" t="s">
        <v>560</v>
      </c>
      <c r="K130" t="s">
        <v>37</v>
      </c>
      <c r="L130" t="s">
        <v>91</v>
      </c>
      <c r="M130" t="s">
        <v>22</v>
      </c>
    </row>
    <row r="131" spans="1:13" x14ac:dyDescent="0.3">
      <c r="A131" t="s">
        <v>561</v>
      </c>
      <c r="B131" t="s">
        <v>562</v>
      </c>
      <c r="C131" t="s">
        <v>40</v>
      </c>
      <c r="D131" t="s">
        <v>16</v>
      </c>
      <c r="E131" t="s">
        <v>17</v>
      </c>
      <c r="F131" t="s">
        <v>18</v>
      </c>
      <c r="G131">
        <v>44482</v>
      </c>
      <c r="H131">
        <v>44563</v>
      </c>
      <c r="I131" t="s">
        <v>563</v>
      </c>
      <c r="J131" t="s">
        <v>564</v>
      </c>
      <c r="K131" t="s">
        <v>37</v>
      </c>
      <c r="L131" t="s">
        <v>55</v>
      </c>
      <c r="M131" t="s">
        <v>22</v>
      </c>
    </row>
    <row r="132" spans="1:13" x14ac:dyDescent="0.3">
      <c r="A132" t="s">
        <v>565</v>
      </c>
      <c r="B132" t="s">
        <v>566</v>
      </c>
      <c r="C132" t="s">
        <v>15</v>
      </c>
      <c r="D132" t="s">
        <v>25</v>
      </c>
      <c r="E132" t="s">
        <v>26</v>
      </c>
      <c r="F132" t="s">
        <v>160</v>
      </c>
      <c r="G132">
        <v>45397</v>
      </c>
      <c r="H132">
        <v>45704</v>
      </c>
      <c r="I132" t="s">
        <v>567</v>
      </c>
      <c r="J132" t="s">
        <v>568</v>
      </c>
      <c r="K132" t="s">
        <v>90</v>
      </c>
      <c r="L132" t="s">
        <v>116</v>
      </c>
      <c r="M132" t="s">
        <v>22</v>
      </c>
    </row>
    <row r="133" spans="1:13" x14ac:dyDescent="0.3">
      <c r="A133" t="s">
        <v>569</v>
      </c>
      <c r="B133" t="s">
        <v>570</v>
      </c>
      <c r="C133" t="s">
        <v>46</v>
      </c>
      <c r="D133" t="s">
        <v>51</v>
      </c>
      <c r="E133" t="s">
        <v>52</v>
      </c>
      <c r="F133" t="s">
        <v>18</v>
      </c>
      <c r="G133">
        <v>43634</v>
      </c>
      <c r="H133">
        <v>43872</v>
      </c>
      <c r="I133" t="s">
        <v>571</v>
      </c>
      <c r="J133" t="s">
        <v>572</v>
      </c>
      <c r="K133" t="s">
        <v>21</v>
      </c>
      <c r="L133" t="s">
        <v>30</v>
      </c>
      <c r="M133" t="s">
        <v>22</v>
      </c>
    </row>
    <row r="134" spans="1:13" hidden="1" x14ac:dyDescent="0.3">
      <c r="A134" t="s">
        <v>573</v>
      </c>
      <c r="B134" t="s">
        <v>574</v>
      </c>
      <c r="C134" t="s">
        <v>33</v>
      </c>
      <c r="D134" t="s">
        <v>25</v>
      </c>
      <c r="E134" t="s">
        <v>26</v>
      </c>
      <c r="F134" t="s">
        <v>18</v>
      </c>
      <c r="G134">
        <v>43950</v>
      </c>
      <c r="H134">
        <v>44223</v>
      </c>
      <c r="I134" t="s">
        <v>575</v>
      </c>
      <c r="J134" t="s">
        <v>576</v>
      </c>
      <c r="K134" t="s">
        <v>90</v>
      </c>
      <c r="M134" t="s">
        <v>3735</v>
      </c>
    </row>
    <row r="135" spans="1:13" x14ac:dyDescent="0.3">
      <c r="A135" t="s">
        <v>577</v>
      </c>
      <c r="B135" t="s">
        <v>578</v>
      </c>
      <c r="C135" t="s">
        <v>33</v>
      </c>
      <c r="D135" t="s">
        <v>41</v>
      </c>
      <c r="E135" t="s">
        <v>17</v>
      </c>
      <c r="F135" t="s">
        <v>18</v>
      </c>
      <c r="G135">
        <v>45590</v>
      </c>
      <c r="H135">
        <v>45875</v>
      </c>
      <c r="I135" t="s">
        <v>579</v>
      </c>
      <c r="J135" t="s">
        <v>580</v>
      </c>
      <c r="K135" t="s">
        <v>21</v>
      </c>
      <c r="L135" t="s">
        <v>116</v>
      </c>
      <c r="M135" t="s">
        <v>22</v>
      </c>
    </row>
    <row r="136" spans="1:13" x14ac:dyDescent="0.3">
      <c r="A136" t="s">
        <v>581</v>
      </c>
      <c r="B136" t="s">
        <v>582</v>
      </c>
      <c r="C136" t="s">
        <v>181</v>
      </c>
      <c r="D136" t="s">
        <v>77</v>
      </c>
      <c r="E136" t="s">
        <v>52</v>
      </c>
      <c r="F136" t="s">
        <v>18</v>
      </c>
      <c r="G136">
        <v>45018</v>
      </c>
      <c r="H136">
        <v>45160</v>
      </c>
      <c r="I136" t="s">
        <v>583</v>
      </c>
      <c r="J136" t="s">
        <v>584</v>
      </c>
      <c r="K136" t="s">
        <v>90</v>
      </c>
      <c r="L136" t="s">
        <v>30</v>
      </c>
      <c r="M136" t="s">
        <v>22</v>
      </c>
    </row>
    <row r="137" spans="1:13" x14ac:dyDescent="0.3">
      <c r="A137" t="s">
        <v>585</v>
      </c>
      <c r="B137" t="s">
        <v>586</v>
      </c>
      <c r="C137" t="s">
        <v>46</v>
      </c>
      <c r="D137" t="s">
        <v>67</v>
      </c>
      <c r="E137" t="s">
        <v>26</v>
      </c>
      <c r="F137" t="s">
        <v>18</v>
      </c>
      <c r="G137">
        <v>44897</v>
      </c>
      <c r="H137">
        <v>45010</v>
      </c>
      <c r="I137" t="s">
        <v>587</v>
      </c>
      <c r="J137" t="s">
        <v>588</v>
      </c>
      <c r="K137" t="s">
        <v>29</v>
      </c>
      <c r="L137" t="s">
        <v>116</v>
      </c>
      <c r="M137" t="s">
        <v>22</v>
      </c>
    </row>
    <row r="138" spans="1:13" hidden="1" x14ac:dyDescent="0.3">
      <c r="A138" t="s">
        <v>589</v>
      </c>
      <c r="B138" t="s">
        <v>590</v>
      </c>
      <c r="C138" t="s">
        <v>46</v>
      </c>
      <c r="D138" t="s">
        <v>67</v>
      </c>
      <c r="E138" t="s">
        <v>26</v>
      </c>
      <c r="F138" t="s">
        <v>18</v>
      </c>
      <c r="G138">
        <v>43856</v>
      </c>
      <c r="H138">
        <v>44077</v>
      </c>
      <c r="I138" t="s">
        <v>591</v>
      </c>
      <c r="J138" t="s">
        <v>592</v>
      </c>
      <c r="K138" t="s">
        <v>29</v>
      </c>
      <c r="M138" t="s">
        <v>3735</v>
      </c>
    </row>
    <row r="139" spans="1:13" x14ac:dyDescent="0.3">
      <c r="A139" t="s">
        <v>593</v>
      </c>
      <c r="B139" t="s">
        <v>594</v>
      </c>
      <c r="C139" t="s">
        <v>181</v>
      </c>
      <c r="D139" t="s">
        <v>67</v>
      </c>
      <c r="E139" t="s">
        <v>26</v>
      </c>
      <c r="F139" t="s">
        <v>18</v>
      </c>
      <c r="G139">
        <v>45111</v>
      </c>
      <c r="H139">
        <v>45130</v>
      </c>
      <c r="I139" t="s">
        <v>595</v>
      </c>
      <c r="J139" t="s">
        <v>596</v>
      </c>
      <c r="K139" t="s">
        <v>37</v>
      </c>
      <c r="L139" t="s">
        <v>60</v>
      </c>
      <c r="M139" t="s">
        <v>22</v>
      </c>
    </row>
    <row r="140" spans="1:13" hidden="1" x14ac:dyDescent="0.3">
      <c r="A140" t="s">
        <v>597</v>
      </c>
      <c r="B140" t="s">
        <v>598</v>
      </c>
      <c r="C140" t="s">
        <v>76</v>
      </c>
      <c r="D140" t="s">
        <v>41</v>
      </c>
      <c r="E140" t="s">
        <v>17</v>
      </c>
      <c r="F140" t="s">
        <v>18</v>
      </c>
      <c r="G140">
        <v>45245</v>
      </c>
      <c r="H140">
        <v>45304</v>
      </c>
      <c r="J140" t="s">
        <v>599</v>
      </c>
      <c r="K140" t="s">
        <v>29</v>
      </c>
      <c r="M140" t="s">
        <v>3735</v>
      </c>
    </row>
    <row r="141" spans="1:13" x14ac:dyDescent="0.3">
      <c r="A141" t="s">
        <v>600</v>
      </c>
      <c r="B141" t="s">
        <v>601</v>
      </c>
      <c r="C141" t="s">
        <v>40</v>
      </c>
      <c r="D141" t="s">
        <v>41</v>
      </c>
      <c r="E141" t="s">
        <v>17</v>
      </c>
      <c r="F141" t="s">
        <v>18</v>
      </c>
      <c r="G141">
        <v>44907</v>
      </c>
      <c r="H141">
        <v>45088</v>
      </c>
      <c r="I141" t="s">
        <v>603</v>
      </c>
      <c r="J141" t="s">
        <v>604</v>
      </c>
      <c r="K141" t="s">
        <v>29</v>
      </c>
      <c r="L141" t="s">
        <v>60</v>
      </c>
      <c r="M141" t="s">
        <v>22</v>
      </c>
    </row>
    <row r="142" spans="1:13" x14ac:dyDescent="0.3">
      <c r="A142" t="s">
        <v>605</v>
      </c>
      <c r="B142" t="s">
        <v>606</v>
      </c>
      <c r="C142" t="s">
        <v>181</v>
      </c>
      <c r="D142" t="s">
        <v>41</v>
      </c>
      <c r="E142" t="s">
        <v>17</v>
      </c>
      <c r="F142" t="s">
        <v>18</v>
      </c>
      <c r="G142">
        <v>45457</v>
      </c>
      <c r="H142">
        <v>45555</v>
      </c>
      <c r="I142" t="s">
        <v>607</v>
      </c>
      <c r="J142" t="s">
        <v>608</v>
      </c>
      <c r="K142" t="s">
        <v>37</v>
      </c>
      <c r="L142" t="s">
        <v>60</v>
      </c>
      <c r="M142" t="s">
        <v>22</v>
      </c>
    </row>
    <row r="143" spans="1:13" x14ac:dyDescent="0.3">
      <c r="A143" t="s">
        <v>609</v>
      </c>
      <c r="B143" t="s">
        <v>610</v>
      </c>
      <c r="C143" t="s">
        <v>181</v>
      </c>
      <c r="D143" t="s">
        <v>25</v>
      </c>
      <c r="E143" t="s">
        <v>26</v>
      </c>
      <c r="F143" t="s">
        <v>160</v>
      </c>
      <c r="G143">
        <v>45538</v>
      </c>
      <c r="H143">
        <v>45732</v>
      </c>
      <c r="I143" t="s">
        <v>611</v>
      </c>
      <c r="J143" t="s">
        <v>612</v>
      </c>
      <c r="K143" t="s">
        <v>29</v>
      </c>
      <c r="L143" t="s">
        <v>91</v>
      </c>
      <c r="M143" t="s">
        <v>22</v>
      </c>
    </row>
    <row r="144" spans="1:13" x14ac:dyDescent="0.3">
      <c r="A144" t="s">
        <v>613</v>
      </c>
      <c r="B144" t="s">
        <v>614</v>
      </c>
      <c r="C144" t="s">
        <v>87</v>
      </c>
      <c r="D144" t="s">
        <v>51</v>
      </c>
      <c r="E144" t="s">
        <v>52</v>
      </c>
      <c r="F144" t="s">
        <v>18</v>
      </c>
      <c r="G144">
        <v>44192</v>
      </c>
      <c r="H144">
        <v>44425</v>
      </c>
      <c r="I144" t="s">
        <v>616</v>
      </c>
      <c r="J144" t="s">
        <v>617</v>
      </c>
      <c r="K144" t="s">
        <v>90</v>
      </c>
      <c r="L144" t="s">
        <v>60</v>
      </c>
      <c r="M144" t="s">
        <v>22</v>
      </c>
    </row>
    <row r="145" spans="1:13" x14ac:dyDescent="0.3">
      <c r="A145" t="s">
        <v>618</v>
      </c>
      <c r="B145" t="s">
        <v>619</v>
      </c>
      <c r="C145" t="s">
        <v>76</v>
      </c>
      <c r="D145" t="s">
        <v>51</v>
      </c>
      <c r="E145" t="s">
        <v>52</v>
      </c>
      <c r="F145" t="s">
        <v>18</v>
      </c>
      <c r="G145">
        <v>43967</v>
      </c>
      <c r="H145">
        <v>44103</v>
      </c>
      <c r="I145" t="s">
        <v>620</v>
      </c>
      <c r="J145" t="s">
        <v>621</v>
      </c>
      <c r="K145" t="s">
        <v>37</v>
      </c>
      <c r="L145" t="s">
        <v>60</v>
      </c>
      <c r="M145" t="s">
        <v>22</v>
      </c>
    </row>
    <row r="146" spans="1:13" x14ac:dyDescent="0.3">
      <c r="A146" t="s">
        <v>622</v>
      </c>
      <c r="B146" t="s">
        <v>623</v>
      </c>
      <c r="C146" t="s">
        <v>15</v>
      </c>
      <c r="D146" t="s">
        <v>67</v>
      </c>
      <c r="E146" t="s">
        <v>26</v>
      </c>
      <c r="F146" t="s">
        <v>18</v>
      </c>
      <c r="G146">
        <v>45105</v>
      </c>
      <c r="H146">
        <v>45287</v>
      </c>
      <c r="I146" t="s">
        <v>624</v>
      </c>
      <c r="J146" t="s">
        <v>625</v>
      </c>
      <c r="K146" t="s">
        <v>21</v>
      </c>
      <c r="L146" t="s">
        <v>91</v>
      </c>
      <c r="M146" t="s">
        <v>22</v>
      </c>
    </row>
    <row r="147" spans="1:13" hidden="1" x14ac:dyDescent="0.3">
      <c r="A147" t="s">
        <v>626</v>
      </c>
      <c r="B147" t="s">
        <v>3721</v>
      </c>
      <c r="C147" t="s">
        <v>33</v>
      </c>
      <c r="D147" t="s">
        <v>34</v>
      </c>
      <c r="E147" t="s">
        <v>26</v>
      </c>
      <c r="F147" t="s">
        <v>160</v>
      </c>
      <c r="G147">
        <v>44026</v>
      </c>
      <c r="I147" t="s">
        <v>627</v>
      </c>
      <c r="J147" t="s">
        <v>628</v>
      </c>
      <c r="K147" t="s">
        <v>29</v>
      </c>
      <c r="L147" t="s">
        <v>30</v>
      </c>
      <c r="M147" t="s">
        <v>3735</v>
      </c>
    </row>
    <row r="148" spans="1:13" x14ac:dyDescent="0.3">
      <c r="A148" t="s">
        <v>629</v>
      </c>
      <c r="B148" t="s">
        <v>630</v>
      </c>
      <c r="C148" t="s">
        <v>76</v>
      </c>
      <c r="D148" t="s">
        <v>51</v>
      </c>
      <c r="E148" t="s">
        <v>52</v>
      </c>
      <c r="F148" t="s">
        <v>151</v>
      </c>
      <c r="G148">
        <v>45654</v>
      </c>
      <c r="H148">
        <v>45738</v>
      </c>
      <c r="I148" t="s">
        <v>631</v>
      </c>
      <c r="J148" t="s">
        <v>632</v>
      </c>
      <c r="K148" t="s">
        <v>37</v>
      </c>
      <c r="L148" t="s">
        <v>91</v>
      </c>
      <c r="M148" t="s">
        <v>22</v>
      </c>
    </row>
    <row r="149" spans="1:13" hidden="1" x14ac:dyDescent="0.3">
      <c r="A149" t="s">
        <v>633</v>
      </c>
      <c r="B149" t="s">
        <v>634</v>
      </c>
      <c r="C149" t="s">
        <v>87</v>
      </c>
      <c r="D149" t="s">
        <v>67</v>
      </c>
      <c r="E149" t="s">
        <v>26</v>
      </c>
      <c r="F149" t="s">
        <v>18</v>
      </c>
      <c r="G149">
        <v>44461</v>
      </c>
      <c r="H149">
        <v>44531</v>
      </c>
      <c r="I149" t="s">
        <v>635</v>
      </c>
      <c r="K149" t="s">
        <v>37</v>
      </c>
      <c r="L149" t="s">
        <v>116</v>
      </c>
      <c r="M149" t="s">
        <v>3735</v>
      </c>
    </row>
    <row r="150" spans="1:13" x14ac:dyDescent="0.3">
      <c r="A150" t="s">
        <v>636</v>
      </c>
      <c r="B150" t="s">
        <v>637</v>
      </c>
      <c r="C150" t="s">
        <v>76</v>
      </c>
      <c r="D150" t="s">
        <v>16</v>
      </c>
      <c r="E150" t="s">
        <v>17</v>
      </c>
      <c r="F150" t="s">
        <v>18</v>
      </c>
      <c r="G150">
        <v>44931</v>
      </c>
      <c r="H150">
        <v>45029</v>
      </c>
      <c r="I150" t="s">
        <v>638</v>
      </c>
      <c r="J150" t="s">
        <v>639</v>
      </c>
      <c r="K150" t="s">
        <v>37</v>
      </c>
      <c r="L150" t="s">
        <v>55</v>
      </c>
      <c r="M150" t="s">
        <v>22</v>
      </c>
    </row>
    <row r="151" spans="1:13" x14ac:dyDescent="0.3">
      <c r="A151" t="s">
        <v>640</v>
      </c>
      <c r="B151" t="s">
        <v>641</v>
      </c>
      <c r="C151" t="s">
        <v>15</v>
      </c>
      <c r="D151" t="s">
        <v>16</v>
      </c>
      <c r="E151" t="s">
        <v>17</v>
      </c>
      <c r="F151" t="s">
        <v>18</v>
      </c>
      <c r="G151">
        <v>44902</v>
      </c>
      <c r="H151">
        <v>45265</v>
      </c>
      <c r="I151" t="s">
        <v>642</v>
      </c>
      <c r="J151" t="s">
        <v>643</v>
      </c>
      <c r="K151" t="s">
        <v>37</v>
      </c>
      <c r="L151" t="s">
        <v>91</v>
      </c>
      <c r="M151" t="s">
        <v>22</v>
      </c>
    </row>
    <row r="152" spans="1:13" hidden="1" x14ac:dyDescent="0.3">
      <c r="A152" t="s">
        <v>644</v>
      </c>
      <c r="B152" t="s">
        <v>645</v>
      </c>
      <c r="C152" t="s">
        <v>76</v>
      </c>
      <c r="D152" t="s">
        <v>67</v>
      </c>
      <c r="E152" t="s">
        <v>26</v>
      </c>
      <c r="F152" t="s">
        <v>18</v>
      </c>
      <c r="G152">
        <v>44824</v>
      </c>
      <c r="H152">
        <v>45138</v>
      </c>
      <c r="I152" t="s">
        <v>646</v>
      </c>
      <c r="J152" t="s">
        <v>647</v>
      </c>
      <c r="K152" t="s">
        <v>29</v>
      </c>
      <c r="M152" t="s">
        <v>3735</v>
      </c>
    </row>
    <row r="153" spans="1:13" x14ac:dyDescent="0.3">
      <c r="A153" t="s">
        <v>648</v>
      </c>
      <c r="B153" t="s">
        <v>649</v>
      </c>
      <c r="C153" t="s">
        <v>87</v>
      </c>
      <c r="D153" t="s">
        <v>77</v>
      </c>
      <c r="E153" t="s">
        <v>52</v>
      </c>
      <c r="F153" t="s">
        <v>18</v>
      </c>
      <c r="G153">
        <v>44230</v>
      </c>
      <c r="H153">
        <v>44508</v>
      </c>
      <c r="I153" t="s">
        <v>650</v>
      </c>
      <c r="J153" t="s">
        <v>651</v>
      </c>
      <c r="K153" t="s">
        <v>21</v>
      </c>
      <c r="L153" t="s">
        <v>116</v>
      </c>
      <c r="M153" t="s">
        <v>22</v>
      </c>
    </row>
    <row r="154" spans="1:13" x14ac:dyDescent="0.3">
      <c r="A154" t="s">
        <v>652</v>
      </c>
      <c r="B154" t="s">
        <v>3722</v>
      </c>
      <c r="C154" t="s">
        <v>87</v>
      </c>
      <c r="D154" t="s">
        <v>77</v>
      </c>
      <c r="E154" t="s">
        <v>52</v>
      </c>
      <c r="F154" t="s">
        <v>160</v>
      </c>
      <c r="G154">
        <v>44780</v>
      </c>
      <c r="H154">
        <v>44917</v>
      </c>
      <c r="I154" t="s">
        <v>654</v>
      </c>
      <c r="J154" t="s">
        <v>655</v>
      </c>
      <c r="K154" t="s">
        <v>37</v>
      </c>
      <c r="L154" t="s">
        <v>30</v>
      </c>
      <c r="M154" t="s">
        <v>22</v>
      </c>
    </row>
    <row r="155" spans="1:13" hidden="1" x14ac:dyDescent="0.3">
      <c r="A155" t="s">
        <v>656</v>
      </c>
      <c r="B155" t="s">
        <v>3721</v>
      </c>
      <c r="C155" t="s">
        <v>76</v>
      </c>
      <c r="D155" t="s">
        <v>51</v>
      </c>
      <c r="E155" t="s">
        <v>52</v>
      </c>
      <c r="F155" t="s">
        <v>160</v>
      </c>
      <c r="G155">
        <v>45641</v>
      </c>
      <c r="H155">
        <v>45738</v>
      </c>
      <c r="I155" t="s">
        <v>657</v>
      </c>
      <c r="J155" t="s">
        <v>658</v>
      </c>
      <c r="K155" t="s">
        <v>37</v>
      </c>
      <c r="L155" t="s">
        <v>55</v>
      </c>
      <c r="M155" t="s">
        <v>3735</v>
      </c>
    </row>
    <row r="156" spans="1:13" x14ac:dyDescent="0.3">
      <c r="A156" t="s">
        <v>659</v>
      </c>
      <c r="B156" t="s">
        <v>660</v>
      </c>
      <c r="C156" t="s">
        <v>46</v>
      </c>
      <c r="D156" t="s">
        <v>25</v>
      </c>
      <c r="E156" t="s">
        <v>26</v>
      </c>
      <c r="F156" t="s">
        <v>18</v>
      </c>
      <c r="G156">
        <v>44619</v>
      </c>
      <c r="H156">
        <v>44749</v>
      </c>
      <c r="I156" t="s">
        <v>661</v>
      </c>
      <c r="J156" t="s">
        <v>662</v>
      </c>
      <c r="K156" t="s">
        <v>29</v>
      </c>
      <c r="L156" t="s">
        <v>91</v>
      </c>
      <c r="M156" t="s">
        <v>22</v>
      </c>
    </row>
    <row r="157" spans="1:13" x14ac:dyDescent="0.3">
      <c r="A157" t="s">
        <v>663</v>
      </c>
      <c r="B157" t="s">
        <v>664</v>
      </c>
      <c r="C157" t="s">
        <v>76</v>
      </c>
      <c r="D157" t="s">
        <v>51</v>
      </c>
      <c r="E157" t="s">
        <v>52</v>
      </c>
      <c r="F157" t="s">
        <v>160</v>
      </c>
      <c r="G157">
        <v>45086</v>
      </c>
      <c r="H157">
        <v>45386</v>
      </c>
      <c r="I157" t="s">
        <v>665</v>
      </c>
      <c r="J157" t="s">
        <v>666</v>
      </c>
      <c r="K157" t="s">
        <v>29</v>
      </c>
      <c r="L157" t="s">
        <v>116</v>
      </c>
      <c r="M157" t="s">
        <v>22</v>
      </c>
    </row>
    <row r="158" spans="1:13" hidden="1" x14ac:dyDescent="0.3">
      <c r="A158" t="s">
        <v>667</v>
      </c>
      <c r="B158" t="s">
        <v>668</v>
      </c>
      <c r="C158" t="s">
        <v>87</v>
      </c>
      <c r="D158" t="s">
        <v>41</v>
      </c>
      <c r="E158" t="s">
        <v>17</v>
      </c>
      <c r="F158" t="s">
        <v>18</v>
      </c>
      <c r="G158">
        <v>45051</v>
      </c>
      <c r="H158">
        <v>45338</v>
      </c>
      <c r="I158" t="s">
        <v>669</v>
      </c>
      <c r="J158" t="s">
        <v>670</v>
      </c>
      <c r="K158" t="s">
        <v>29</v>
      </c>
      <c r="M158" t="s">
        <v>3735</v>
      </c>
    </row>
    <row r="159" spans="1:13" hidden="1" x14ac:dyDescent="0.3">
      <c r="A159" t="s">
        <v>671</v>
      </c>
      <c r="B159" t="s">
        <v>672</v>
      </c>
      <c r="C159" t="s">
        <v>87</v>
      </c>
      <c r="D159" t="s">
        <v>51</v>
      </c>
      <c r="E159" t="s">
        <v>52</v>
      </c>
      <c r="F159" t="s">
        <v>160</v>
      </c>
      <c r="G159">
        <v>43813</v>
      </c>
      <c r="H159">
        <v>43839</v>
      </c>
      <c r="I159" t="s">
        <v>673</v>
      </c>
      <c r="J159" t="s">
        <v>674</v>
      </c>
      <c r="K159" t="s">
        <v>90</v>
      </c>
      <c r="M159" t="s">
        <v>3735</v>
      </c>
    </row>
    <row r="160" spans="1:13" hidden="1" x14ac:dyDescent="0.3">
      <c r="A160" t="s">
        <v>675</v>
      </c>
      <c r="B160" t="s">
        <v>676</v>
      </c>
      <c r="C160" t="s">
        <v>76</v>
      </c>
      <c r="D160" t="s">
        <v>67</v>
      </c>
      <c r="E160" t="s">
        <v>26</v>
      </c>
      <c r="F160" t="s">
        <v>160</v>
      </c>
      <c r="G160">
        <v>45001</v>
      </c>
      <c r="H160">
        <v>45264</v>
      </c>
      <c r="I160" t="s">
        <v>677</v>
      </c>
      <c r="K160" t="s">
        <v>21</v>
      </c>
      <c r="L160" t="s">
        <v>60</v>
      </c>
      <c r="M160" t="s">
        <v>3735</v>
      </c>
    </row>
    <row r="161" spans="1:13" x14ac:dyDescent="0.3">
      <c r="A161" t="s">
        <v>678</v>
      </c>
      <c r="B161" t="s">
        <v>679</v>
      </c>
      <c r="C161" t="s">
        <v>181</v>
      </c>
      <c r="D161" t="s">
        <v>25</v>
      </c>
      <c r="E161" t="s">
        <v>26</v>
      </c>
      <c r="F161" t="s">
        <v>18</v>
      </c>
      <c r="G161">
        <v>45244</v>
      </c>
      <c r="H161">
        <v>45410</v>
      </c>
      <c r="I161" t="s">
        <v>680</v>
      </c>
      <c r="J161" t="s">
        <v>681</v>
      </c>
      <c r="K161" t="s">
        <v>29</v>
      </c>
      <c r="L161" t="s">
        <v>91</v>
      </c>
      <c r="M161" t="s">
        <v>22</v>
      </c>
    </row>
    <row r="162" spans="1:13" x14ac:dyDescent="0.3">
      <c r="A162" t="s">
        <v>682</v>
      </c>
      <c r="B162" t="s">
        <v>683</v>
      </c>
      <c r="C162" t="s">
        <v>40</v>
      </c>
      <c r="D162" t="s">
        <v>77</v>
      </c>
      <c r="E162" t="s">
        <v>52</v>
      </c>
      <c r="F162" t="s">
        <v>160</v>
      </c>
      <c r="G162">
        <v>45533</v>
      </c>
      <c r="H162">
        <v>45579</v>
      </c>
      <c r="I162" t="s">
        <v>684</v>
      </c>
      <c r="J162" t="s">
        <v>685</v>
      </c>
      <c r="K162" t="s">
        <v>29</v>
      </c>
      <c r="L162" t="s">
        <v>30</v>
      </c>
      <c r="M162" t="s">
        <v>22</v>
      </c>
    </row>
    <row r="163" spans="1:13" x14ac:dyDescent="0.3">
      <c r="A163" t="s">
        <v>686</v>
      </c>
      <c r="B163" t="s">
        <v>687</v>
      </c>
      <c r="C163" t="s">
        <v>33</v>
      </c>
      <c r="D163" t="s">
        <v>34</v>
      </c>
      <c r="E163" t="s">
        <v>26</v>
      </c>
      <c r="F163" t="s">
        <v>18</v>
      </c>
      <c r="G163">
        <v>43955</v>
      </c>
      <c r="H163">
        <v>44146</v>
      </c>
      <c r="I163" t="s">
        <v>688</v>
      </c>
      <c r="J163" t="s">
        <v>689</v>
      </c>
      <c r="K163" t="s">
        <v>29</v>
      </c>
      <c r="L163" t="s">
        <v>55</v>
      </c>
      <c r="M163" t="s">
        <v>22</v>
      </c>
    </row>
    <row r="164" spans="1:13" hidden="1" x14ac:dyDescent="0.3">
      <c r="A164" t="s">
        <v>690</v>
      </c>
      <c r="B164" t="s">
        <v>691</v>
      </c>
      <c r="C164" t="s">
        <v>76</v>
      </c>
      <c r="D164" t="s">
        <v>16</v>
      </c>
      <c r="E164" t="s">
        <v>17</v>
      </c>
      <c r="F164" t="s">
        <v>18</v>
      </c>
      <c r="G164">
        <v>45327</v>
      </c>
      <c r="H164">
        <v>45496</v>
      </c>
      <c r="I164" t="s">
        <v>692</v>
      </c>
      <c r="J164" t="s">
        <v>693</v>
      </c>
      <c r="K164" t="s">
        <v>29</v>
      </c>
      <c r="M164" t="s">
        <v>3735</v>
      </c>
    </row>
    <row r="165" spans="1:13" hidden="1" x14ac:dyDescent="0.3">
      <c r="A165" t="s">
        <v>694</v>
      </c>
      <c r="B165" t="s">
        <v>695</v>
      </c>
      <c r="C165" t="s">
        <v>46</v>
      </c>
      <c r="D165" t="s">
        <v>16</v>
      </c>
      <c r="E165" t="s">
        <v>17</v>
      </c>
      <c r="F165" t="s">
        <v>18</v>
      </c>
      <c r="G165">
        <v>45464</v>
      </c>
      <c r="H165">
        <v>45583</v>
      </c>
      <c r="I165" t="s">
        <v>696</v>
      </c>
      <c r="J165" t="s">
        <v>697</v>
      </c>
      <c r="K165" t="s">
        <v>21</v>
      </c>
      <c r="M165" t="s">
        <v>3735</v>
      </c>
    </row>
    <row r="166" spans="1:13" x14ac:dyDescent="0.3">
      <c r="A166" t="s">
        <v>698</v>
      </c>
      <c r="B166" t="s">
        <v>699</v>
      </c>
      <c r="C166" t="s">
        <v>46</v>
      </c>
      <c r="D166" t="s">
        <v>67</v>
      </c>
      <c r="E166" t="s">
        <v>26</v>
      </c>
      <c r="F166" t="s">
        <v>18</v>
      </c>
      <c r="G166">
        <v>45083</v>
      </c>
      <c r="H166">
        <v>45218</v>
      </c>
      <c r="I166" t="s">
        <v>700</v>
      </c>
      <c r="J166" t="s">
        <v>701</v>
      </c>
      <c r="K166" t="s">
        <v>21</v>
      </c>
      <c r="L166" t="s">
        <v>30</v>
      </c>
      <c r="M166" t="s">
        <v>22</v>
      </c>
    </row>
    <row r="167" spans="1:13" hidden="1" x14ac:dyDescent="0.3">
      <c r="A167" t="s">
        <v>702</v>
      </c>
      <c r="B167" t="s">
        <v>703</v>
      </c>
      <c r="C167" t="s">
        <v>46</v>
      </c>
      <c r="D167" t="s">
        <v>51</v>
      </c>
      <c r="E167" t="s">
        <v>52</v>
      </c>
      <c r="F167" t="s">
        <v>18</v>
      </c>
      <c r="G167">
        <v>44202</v>
      </c>
      <c r="H167">
        <v>44215</v>
      </c>
      <c r="I167" t="s">
        <v>704</v>
      </c>
      <c r="J167" t="s">
        <v>705</v>
      </c>
      <c r="K167" t="s">
        <v>90</v>
      </c>
      <c r="L167" t="s">
        <v>116</v>
      </c>
      <c r="M167" t="s">
        <v>3735</v>
      </c>
    </row>
    <row r="168" spans="1:13" hidden="1" x14ac:dyDescent="0.3">
      <c r="A168" t="s">
        <v>706</v>
      </c>
      <c r="B168" t="s">
        <v>707</v>
      </c>
      <c r="C168" t="s">
        <v>40</v>
      </c>
      <c r="D168" t="s">
        <v>34</v>
      </c>
      <c r="E168" t="s">
        <v>26</v>
      </c>
      <c r="F168" t="s">
        <v>18</v>
      </c>
      <c r="G168">
        <v>45033</v>
      </c>
      <c r="H168">
        <v>45240</v>
      </c>
      <c r="I168" t="s">
        <v>708</v>
      </c>
      <c r="J168" t="s">
        <v>709</v>
      </c>
      <c r="K168" t="s">
        <v>37</v>
      </c>
      <c r="M168" t="s">
        <v>3735</v>
      </c>
    </row>
    <row r="169" spans="1:13" hidden="1" x14ac:dyDescent="0.3">
      <c r="A169" t="s">
        <v>710</v>
      </c>
      <c r="B169" t="s">
        <v>711</v>
      </c>
      <c r="C169" t="s">
        <v>76</v>
      </c>
      <c r="D169" t="s">
        <v>51</v>
      </c>
      <c r="E169" t="s">
        <v>52</v>
      </c>
      <c r="F169" t="s">
        <v>18</v>
      </c>
      <c r="G169">
        <v>43937</v>
      </c>
      <c r="H169">
        <v>44009</v>
      </c>
      <c r="I169" t="s">
        <v>712</v>
      </c>
      <c r="J169" t="s">
        <v>713</v>
      </c>
      <c r="K169" t="s">
        <v>37</v>
      </c>
      <c r="M169" t="s">
        <v>3735</v>
      </c>
    </row>
    <row r="170" spans="1:13" x14ac:dyDescent="0.3">
      <c r="A170" t="s">
        <v>714</v>
      </c>
      <c r="B170" t="s">
        <v>715</v>
      </c>
      <c r="C170" t="s">
        <v>76</v>
      </c>
      <c r="D170" t="s">
        <v>41</v>
      </c>
      <c r="E170" t="s">
        <v>17</v>
      </c>
      <c r="F170" t="s">
        <v>18</v>
      </c>
      <c r="G170">
        <v>45311</v>
      </c>
      <c r="H170">
        <v>45479</v>
      </c>
      <c r="I170" t="s">
        <v>716</v>
      </c>
      <c r="J170" t="s">
        <v>717</v>
      </c>
      <c r="K170" t="s">
        <v>37</v>
      </c>
      <c r="L170" t="s">
        <v>91</v>
      </c>
      <c r="M170" t="s">
        <v>22</v>
      </c>
    </row>
    <row r="171" spans="1:13" x14ac:dyDescent="0.3">
      <c r="A171" t="s">
        <v>718</v>
      </c>
      <c r="B171" t="s">
        <v>719</v>
      </c>
      <c r="C171" t="s">
        <v>15</v>
      </c>
      <c r="D171" t="s">
        <v>77</v>
      </c>
      <c r="E171" t="s">
        <v>52</v>
      </c>
      <c r="F171" t="s">
        <v>18</v>
      </c>
      <c r="G171">
        <v>43733</v>
      </c>
      <c r="H171">
        <v>43938</v>
      </c>
      <c r="I171" t="s">
        <v>720</v>
      </c>
      <c r="J171" t="s">
        <v>721</v>
      </c>
      <c r="K171" t="s">
        <v>90</v>
      </c>
      <c r="L171" t="s">
        <v>55</v>
      </c>
      <c r="M171" t="s">
        <v>22</v>
      </c>
    </row>
    <row r="172" spans="1:13" x14ac:dyDescent="0.3">
      <c r="A172" t="s">
        <v>722</v>
      </c>
      <c r="B172" t="s">
        <v>723</v>
      </c>
      <c r="C172" t="s">
        <v>87</v>
      </c>
      <c r="D172" t="s">
        <v>51</v>
      </c>
      <c r="E172" t="s">
        <v>52</v>
      </c>
      <c r="F172" t="s">
        <v>18</v>
      </c>
      <c r="G172">
        <v>43763</v>
      </c>
      <c r="H172">
        <v>43767</v>
      </c>
      <c r="I172" t="s">
        <v>724</v>
      </c>
      <c r="J172" t="s">
        <v>725</v>
      </c>
      <c r="K172" t="s">
        <v>90</v>
      </c>
      <c r="L172" t="s">
        <v>91</v>
      </c>
      <c r="M172" t="s">
        <v>22</v>
      </c>
    </row>
    <row r="173" spans="1:13" x14ac:dyDescent="0.3">
      <c r="A173" t="s">
        <v>726</v>
      </c>
      <c r="B173" t="s">
        <v>727</v>
      </c>
      <c r="C173" t="s">
        <v>46</v>
      </c>
      <c r="D173" t="s">
        <v>16</v>
      </c>
      <c r="E173" t="s">
        <v>17</v>
      </c>
      <c r="F173" t="s">
        <v>18</v>
      </c>
      <c r="G173">
        <v>43724</v>
      </c>
      <c r="H173">
        <v>43827</v>
      </c>
      <c r="I173" t="s">
        <v>728</v>
      </c>
      <c r="J173" t="s">
        <v>729</v>
      </c>
      <c r="K173" t="s">
        <v>21</v>
      </c>
      <c r="L173" t="s">
        <v>116</v>
      </c>
      <c r="M173" t="s">
        <v>22</v>
      </c>
    </row>
    <row r="174" spans="1:13" x14ac:dyDescent="0.3">
      <c r="A174" t="s">
        <v>730</v>
      </c>
      <c r="B174" t="s">
        <v>731</v>
      </c>
      <c r="C174" t="s">
        <v>87</v>
      </c>
      <c r="D174" t="s">
        <v>16</v>
      </c>
      <c r="E174" t="s">
        <v>17</v>
      </c>
      <c r="F174" t="s">
        <v>18</v>
      </c>
      <c r="G174">
        <v>44890</v>
      </c>
      <c r="H174">
        <v>44950</v>
      </c>
      <c r="I174" t="s">
        <v>732</v>
      </c>
      <c r="J174" t="s">
        <v>733</v>
      </c>
      <c r="K174" t="s">
        <v>21</v>
      </c>
      <c r="L174" t="s">
        <v>91</v>
      </c>
      <c r="M174" t="s">
        <v>22</v>
      </c>
    </row>
    <row r="175" spans="1:13" hidden="1" x14ac:dyDescent="0.3">
      <c r="A175" t="s">
        <v>734</v>
      </c>
      <c r="B175" t="s">
        <v>735</v>
      </c>
      <c r="C175" t="s">
        <v>76</v>
      </c>
      <c r="D175" t="s">
        <v>77</v>
      </c>
      <c r="E175" t="s">
        <v>52</v>
      </c>
      <c r="F175" t="s">
        <v>151</v>
      </c>
      <c r="G175">
        <v>44474</v>
      </c>
      <c r="H175">
        <v>44729</v>
      </c>
      <c r="I175" t="s">
        <v>736</v>
      </c>
      <c r="J175" t="s">
        <v>737</v>
      </c>
      <c r="K175" t="s">
        <v>90</v>
      </c>
      <c r="L175" t="s">
        <v>116</v>
      </c>
      <c r="M175" t="s">
        <v>3735</v>
      </c>
    </row>
    <row r="176" spans="1:13" x14ac:dyDescent="0.3">
      <c r="A176" t="s">
        <v>738</v>
      </c>
      <c r="B176" t="s">
        <v>739</v>
      </c>
      <c r="C176" t="s">
        <v>87</v>
      </c>
      <c r="D176" t="s">
        <v>16</v>
      </c>
      <c r="E176" t="s">
        <v>17</v>
      </c>
      <c r="F176" t="s">
        <v>18</v>
      </c>
      <c r="G176">
        <v>45092</v>
      </c>
      <c r="H176">
        <v>45663</v>
      </c>
      <c r="I176" t="s">
        <v>740</v>
      </c>
      <c r="J176" t="s">
        <v>741</v>
      </c>
      <c r="K176" t="s">
        <v>21</v>
      </c>
      <c r="L176" t="s">
        <v>60</v>
      </c>
      <c r="M176" t="s">
        <v>22</v>
      </c>
    </row>
    <row r="177" spans="1:13" x14ac:dyDescent="0.3">
      <c r="A177" t="s">
        <v>742</v>
      </c>
      <c r="B177" t="s">
        <v>743</v>
      </c>
      <c r="C177" t="s">
        <v>181</v>
      </c>
      <c r="D177" t="s">
        <v>16</v>
      </c>
      <c r="E177" t="s">
        <v>17</v>
      </c>
      <c r="F177" t="s">
        <v>18</v>
      </c>
      <c r="G177">
        <v>44897</v>
      </c>
      <c r="H177">
        <v>44910</v>
      </c>
      <c r="I177" t="s">
        <v>744</v>
      </c>
      <c r="J177" t="s">
        <v>745</v>
      </c>
      <c r="K177" t="s">
        <v>21</v>
      </c>
      <c r="L177" t="s">
        <v>91</v>
      </c>
      <c r="M177" t="s">
        <v>22</v>
      </c>
    </row>
    <row r="178" spans="1:13" x14ac:dyDescent="0.3">
      <c r="A178" t="s">
        <v>746</v>
      </c>
      <c r="B178" t="s">
        <v>747</v>
      </c>
      <c r="C178" t="s">
        <v>40</v>
      </c>
      <c r="D178" t="s">
        <v>34</v>
      </c>
      <c r="E178" t="s">
        <v>26</v>
      </c>
      <c r="F178" t="s">
        <v>18</v>
      </c>
      <c r="G178">
        <v>43860</v>
      </c>
      <c r="H178">
        <v>44127</v>
      </c>
      <c r="I178" t="s">
        <v>748</v>
      </c>
      <c r="J178" t="s">
        <v>749</v>
      </c>
      <c r="K178" t="s">
        <v>37</v>
      </c>
      <c r="L178" t="s">
        <v>55</v>
      </c>
      <c r="M178" t="s">
        <v>22</v>
      </c>
    </row>
    <row r="179" spans="1:13" x14ac:dyDescent="0.3">
      <c r="A179" t="s">
        <v>750</v>
      </c>
      <c r="B179" t="s">
        <v>751</v>
      </c>
      <c r="C179" t="s">
        <v>15</v>
      </c>
      <c r="D179" t="s">
        <v>51</v>
      </c>
      <c r="E179" t="s">
        <v>52</v>
      </c>
      <c r="F179" t="s">
        <v>18</v>
      </c>
      <c r="G179">
        <v>44530</v>
      </c>
      <c r="H179">
        <v>44646</v>
      </c>
      <c r="I179" t="s">
        <v>752</v>
      </c>
      <c r="J179" t="s">
        <v>753</v>
      </c>
      <c r="K179" t="s">
        <v>29</v>
      </c>
      <c r="L179" t="s">
        <v>60</v>
      </c>
      <c r="M179" t="s">
        <v>22</v>
      </c>
    </row>
    <row r="180" spans="1:13" hidden="1" x14ac:dyDescent="0.3">
      <c r="A180" t="s">
        <v>754</v>
      </c>
      <c r="B180" t="s">
        <v>755</v>
      </c>
      <c r="C180" t="s">
        <v>15</v>
      </c>
      <c r="D180" t="s">
        <v>34</v>
      </c>
      <c r="E180" t="s">
        <v>26</v>
      </c>
      <c r="F180" t="s">
        <v>18</v>
      </c>
      <c r="G180">
        <v>43961</v>
      </c>
      <c r="H180">
        <v>44250</v>
      </c>
      <c r="I180" t="s">
        <v>756</v>
      </c>
      <c r="J180" t="s">
        <v>757</v>
      </c>
      <c r="K180" t="s">
        <v>21</v>
      </c>
      <c r="M180" t="s">
        <v>3735</v>
      </c>
    </row>
    <row r="181" spans="1:13" x14ac:dyDescent="0.3">
      <c r="A181" t="s">
        <v>758</v>
      </c>
      <c r="B181" t="s">
        <v>759</v>
      </c>
      <c r="C181" t="s">
        <v>87</v>
      </c>
      <c r="D181" t="s">
        <v>77</v>
      </c>
      <c r="E181" t="s">
        <v>52</v>
      </c>
      <c r="F181" t="s">
        <v>18</v>
      </c>
      <c r="G181">
        <v>45023</v>
      </c>
      <c r="H181">
        <v>45295</v>
      </c>
      <c r="I181" t="s">
        <v>760</v>
      </c>
      <c r="J181" t="s">
        <v>761</v>
      </c>
      <c r="K181" t="s">
        <v>29</v>
      </c>
      <c r="L181" t="s">
        <v>60</v>
      </c>
      <c r="M181" t="s">
        <v>22</v>
      </c>
    </row>
    <row r="182" spans="1:13" x14ac:dyDescent="0.3">
      <c r="A182" t="s">
        <v>762</v>
      </c>
      <c r="B182" t="s">
        <v>763</v>
      </c>
      <c r="C182" t="s">
        <v>181</v>
      </c>
      <c r="D182" t="s">
        <v>51</v>
      </c>
      <c r="E182" t="s">
        <v>52</v>
      </c>
      <c r="F182" t="s">
        <v>160</v>
      </c>
      <c r="G182">
        <v>44315</v>
      </c>
      <c r="H182">
        <v>44668</v>
      </c>
      <c r="I182" t="s">
        <v>764</v>
      </c>
      <c r="J182" t="s">
        <v>765</v>
      </c>
      <c r="K182" t="s">
        <v>21</v>
      </c>
      <c r="L182" t="s">
        <v>116</v>
      </c>
      <c r="M182" t="s">
        <v>22</v>
      </c>
    </row>
    <row r="183" spans="1:13" x14ac:dyDescent="0.3">
      <c r="A183" t="s">
        <v>766</v>
      </c>
      <c r="B183" t="s">
        <v>767</v>
      </c>
      <c r="C183" t="s">
        <v>46</v>
      </c>
      <c r="D183" t="s">
        <v>16</v>
      </c>
      <c r="E183" t="s">
        <v>17</v>
      </c>
      <c r="F183" t="s">
        <v>18</v>
      </c>
      <c r="G183">
        <v>45342</v>
      </c>
      <c r="H183">
        <v>45348</v>
      </c>
      <c r="I183" t="s">
        <v>768</v>
      </c>
      <c r="J183" t="s">
        <v>769</v>
      </c>
      <c r="K183" t="s">
        <v>21</v>
      </c>
      <c r="L183" t="s">
        <v>60</v>
      </c>
      <c r="M183" t="s">
        <v>22</v>
      </c>
    </row>
    <row r="184" spans="1:13" x14ac:dyDescent="0.3">
      <c r="A184" t="s">
        <v>770</v>
      </c>
      <c r="B184" t="s">
        <v>771</v>
      </c>
      <c r="C184" t="s">
        <v>87</v>
      </c>
      <c r="D184" t="s">
        <v>77</v>
      </c>
      <c r="E184" t="s">
        <v>52</v>
      </c>
      <c r="F184" t="s">
        <v>18</v>
      </c>
      <c r="G184">
        <v>45480</v>
      </c>
      <c r="H184">
        <v>45692</v>
      </c>
      <c r="I184" t="s">
        <v>772</v>
      </c>
      <c r="J184" t="s">
        <v>773</v>
      </c>
      <c r="K184" t="s">
        <v>37</v>
      </c>
      <c r="L184" t="s">
        <v>60</v>
      </c>
      <c r="M184" t="s">
        <v>22</v>
      </c>
    </row>
    <row r="185" spans="1:13" x14ac:dyDescent="0.3">
      <c r="A185" t="s">
        <v>774</v>
      </c>
      <c r="B185" t="s">
        <v>775</v>
      </c>
      <c r="C185" t="s">
        <v>76</v>
      </c>
      <c r="D185" t="s">
        <v>77</v>
      </c>
      <c r="E185" t="s">
        <v>52</v>
      </c>
      <c r="F185" t="s">
        <v>18</v>
      </c>
      <c r="G185">
        <v>45387</v>
      </c>
      <c r="H185">
        <v>45680</v>
      </c>
      <c r="I185" t="s">
        <v>776</v>
      </c>
      <c r="J185" t="s">
        <v>777</v>
      </c>
      <c r="K185" t="s">
        <v>29</v>
      </c>
      <c r="L185" t="s">
        <v>116</v>
      </c>
      <c r="M185" t="s">
        <v>22</v>
      </c>
    </row>
    <row r="186" spans="1:13" hidden="1" x14ac:dyDescent="0.3">
      <c r="A186" t="s">
        <v>778</v>
      </c>
      <c r="B186" t="s">
        <v>779</v>
      </c>
      <c r="C186" t="s">
        <v>33</v>
      </c>
      <c r="D186" t="s">
        <v>25</v>
      </c>
      <c r="E186" t="s">
        <v>26</v>
      </c>
      <c r="F186" t="s">
        <v>18</v>
      </c>
      <c r="G186">
        <v>44162</v>
      </c>
      <c r="H186">
        <v>44354</v>
      </c>
      <c r="J186" t="s">
        <v>780</v>
      </c>
      <c r="K186" t="s">
        <v>90</v>
      </c>
      <c r="L186" t="s">
        <v>116</v>
      </c>
      <c r="M186" t="s">
        <v>3735</v>
      </c>
    </row>
    <row r="187" spans="1:13" x14ac:dyDescent="0.3">
      <c r="A187" t="s">
        <v>781</v>
      </c>
      <c r="B187" t="s">
        <v>782</v>
      </c>
      <c r="C187" t="s">
        <v>87</v>
      </c>
      <c r="D187" t="s">
        <v>34</v>
      </c>
      <c r="E187" t="s">
        <v>26</v>
      </c>
      <c r="F187" t="s">
        <v>160</v>
      </c>
      <c r="G187">
        <v>44751</v>
      </c>
      <c r="H187">
        <v>45115</v>
      </c>
      <c r="I187" t="s">
        <v>783</v>
      </c>
      <c r="J187" t="s">
        <v>784</v>
      </c>
      <c r="K187" t="s">
        <v>37</v>
      </c>
      <c r="L187" t="s">
        <v>55</v>
      </c>
      <c r="M187" t="s">
        <v>22</v>
      </c>
    </row>
    <row r="188" spans="1:13" x14ac:dyDescent="0.3">
      <c r="A188" t="s">
        <v>785</v>
      </c>
      <c r="B188" t="s">
        <v>786</v>
      </c>
      <c r="C188" t="s">
        <v>15</v>
      </c>
      <c r="D188" t="s">
        <v>34</v>
      </c>
      <c r="E188" t="s">
        <v>26</v>
      </c>
      <c r="F188" t="s">
        <v>160</v>
      </c>
      <c r="G188">
        <v>44247</v>
      </c>
      <c r="H188">
        <v>44291</v>
      </c>
      <c r="I188" t="s">
        <v>787</v>
      </c>
      <c r="J188" t="s">
        <v>788</v>
      </c>
      <c r="K188" t="s">
        <v>37</v>
      </c>
      <c r="L188" t="s">
        <v>30</v>
      </c>
      <c r="M188" t="s">
        <v>22</v>
      </c>
    </row>
    <row r="189" spans="1:13" x14ac:dyDescent="0.3">
      <c r="A189" t="s">
        <v>789</v>
      </c>
      <c r="B189" t="s">
        <v>790</v>
      </c>
      <c r="C189" t="s">
        <v>40</v>
      </c>
      <c r="D189" t="s">
        <v>51</v>
      </c>
      <c r="E189" t="s">
        <v>52</v>
      </c>
      <c r="F189" t="s">
        <v>18</v>
      </c>
      <c r="G189">
        <v>45023</v>
      </c>
      <c r="H189">
        <v>45202</v>
      </c>
      <c r="I189" t="s">
        <v>791</v>
      </c>
      <c r="J189" t="s">
        <v>792</v>
      </c>
      <c r="K189" t="s">
        <v>29</v>
      </c>
      <c r="L189" t="s">
        <v>60</v>
      </c>
      <c r="M189" t="s">
        <v>22</v>
      </c>
    </row>
    <row r="190" spans="1:13" hidden="1" x14ac:dyDescent="0.3">
      <c r="A190" t="s">
        <v>793</v>
      </c>
      <c r="B190" t="s">
        <v>794</v>
      </c>
      <c r="C190" t="s">
        <v>40</v>
      </c>
      <c r="D190" t="s">
        <v>41</v>
      </c>
      <c r="E190" t="s">
        <v>17</v>
      </c>
      <c r="F190" t="s">
        <v>160</v>
      </c>
      <c r="G190">
        <v>44221</v>
      </c>
      <c r="H190">
        <v>44316</v>
      </c>
      <c r="I190" t="s">
        <v>795</v>
      </c>
      <c r="J190" t="s">
        <v>796</v>
      </c>
      <c r="K190" t="s">
        <v>90</v>
      </c>
      <c r="M190" t="s">
        <v>3735</v>
      </c>
    </row>
    <row r="191" spans="1:13" x14ac:dyDescent="0.3">
      <c r="A191" t="s">
        <v>797</v>
      </c>
      <c r="B191" t="s">
        <v>798</v>
      </c>
      <c r="C191" t="s">
        <v>15</v>
      </c>
      <c r="D191" t="s">
        <v>16</v>
      </c>
      <c r="E191" t="s">
        <v>17</v>
      </c>
      <c r="F191" t="s">
        <v>18</v>
      </c>
      <c r="G191">
        <v>45163</v>
      </c>
      <c r="H191">
        <v>45485</v>
      </c>
      <c r="I191" t="s">
        <v>799</v>
      </c>
      <c r="J191" t="s">
        <v>800</v>
      </c>
      <c r="K191" t="s">
        <v>21</v>
      </c>
      <c r="L191" t="s">
        <v>30</v>
      </c>
      <c r="M191" t="s">
        <v>22</v>
      </c>
    </row>
    <row r="192" spans="1:13" x14ac:dyDescent="0.3">
      <c r="A192" t="s">
        <v>801</v>
      </c>
      <c r="B192" t="s">
        <v>802</v>
      </c>
      <c r="C192" t="s">
        <v>181</v>
      </c>
      <c r="D192" t="s">
        <v>77</v>
      </c>
      <c r="E192" t="s">
        <v>52</v>
      </c>
      <c r="F192" t="s">
        <v>18</v>
      </c>
      <c r="G192">
        <v>45284</v>
      </c>
      <c r="H192">
        <v>45614</v>
      </c>
      <c r="I192" t="s">
        <v>803</v>
      </c>
      <c r="J192" t="s">
        <v>804</v>
      </c>
      <c r="K192" t="s">
        <v>37</v>
      </c>
      <c r="L192" t="s">
        <v>60</v>
      </c>
      <c r="M192" t="s">
        <v>22</v>
      </c>
    </row>
    <row r="193" spans="1:13" x14ac:dyDescent="0.3">
      <c r="A193" t="s">
        <v>805</v>
      </c>
      <c r="B193" t="s">
        <v>806</v>
      </c>
      <c r="C193" t="s">
        <v>33</v>
      </c>
      <c r="D193" t="s">
        <v>67</v>
      </c>
      <c r="E193" t="s">
        <v>26</v>
      </c>
      <c r="F193" t="s">
        <v>18</v>
      </c>
      <c r="G193">
        <v>44319</v>
      </c>
      <c r="H193">
        <v>44614</v>
      </c>
      <c r="I193" t="s">
        <v>807</v>
      </c>
      <c r="J193" t="s">
        <v>808</v>
      </c>
      <c r="K193" t="s">
        <v>90</v>
      </c>
      <c r="L193" t="s">
        <v>55</v>
      </c>
      <c r="M193" t="s">
        <v>22</v>
      </c>
    </row>
    <row r="194" spans="1:13" hidden="1" x14ac:dyDescent="0.3">
      <c r="A194" t="s">
        <v>809</v>
      </c>
      <c r="B194" t="s">
        <v>810</v>
      </c>
      <c r="C194" t="s">
        <v>15</v>
      </c>
      <c r="D194" t="s">
        <v>67</v>
      </c>
      <c r="E194" t="s">
        <v>26</v>
      </c>
      <c r="F194" t="s">
        <v>18</v>
      </c>
      <c r="G194">
        <v>43502</v>
      </c>
      <c r="H194">
        <v>43560</v>
      </c>
      <c r="I194" t="s">
        <v>811</v>
      </c>
      <c r="J194" t="s">
        <v>812</v>
      </c>
      <c r="K194" t="s">
        <v>37</v>
      </c>
      <c r="M194" t="s">
        <v>3735</v>
      </c>
    </row>
    <row r="195" spans="1:13" hidden="1" x14ac:dyDescent="0.3">
      <c r="A195" t="s">
        <v>813</v>
      </c>
      <c r="B195" t="s">
        <v>814</v>
      </c>
      <c r="C195" t="s">
        <v>46</v>
      </c>
      <c r="D195" t="s">
        <v>25</v>
      </c>
      <c r="E195" t="s">
        <v>26</v>
      </c>
      <c r="F195" t="s">
        <v>151</v>
      </c>
      <c r="G195">
        <v>43748</v>
      </c>
      <c r="H195">
        <v>43986</v>
      </c>
      <c r="J195" t="s">
        <v>815</v>
      </c>
      <c r="K195" t="s">
        <v>29</v>
      </c>
      <c r="L195" t="s">
        <v>60</v>
      </c>
      <c r="M195" t="s">
        <v>3735</v>
      </c>
    </row>
    <row r="196" spans="1:13" x14ac:dyDescent="0.3">
      <c r="A196" t="s">
        <v>816</v>
      </c>
      <c r="B196" t="s">
        <v>817</v>
      </c>
      <c r="C196" t="s">
        <v>87</v>
      </c>
      <c r="D196" t="s">
        <v>41</v>
      </c>
      <c r="E196" t="s">
        <v>17</v>
      </c>
      <c r="F196" t="s">
        <v>18</v>
      </c>
      <c r="G196">
        <v>45468</v>
      </c>
      <c r="H196">
        <v>45669</v>
      </c>
      <c r="I196" t="s">
        <v>818</v>
      </c>
      <c r="J196" t="s">
        <v>819</v>
      </c>
      <c r="K196" t="s">
        <v>90</v>
      </c>
      <c r="L196" t="s">
        <v>91</v>
      </c>
      <c r="M196" t="s">
        <v>22</v>
      </c>
    </row>
    <row r="197" spans="1:13" x14ac:dyDescent="0.3">
      <c r="A197" t="s">
        <v>820</v>
      </c>
      <c r="B197" t="s">
        <v>821</v>
      </c>
      <c r="C197" t="s">
        <v>40</v>
      </c>
      <c r="D197" t="s">
        <v>34</v>
      </c>
      <c r="E197" t="s">
        <v>26</v>
      </c>
      <c r="F197" t="s">
        <v>18</v>
      </c>
      <c r="G197">
        <v>45623</v>
      </c>
      <c r="H197">
        <v>45710</v>
      </c>
      <c r="I197" t="s">
        <v>822</v>
      </c>
      <c r="J197" t="s">
        <v>823</v>
      </c>
      <c r="K197" t="s">
        <v>29</v>
      </c>
      <c r="L197" t="s">
        <v>116</v>
      </c>
      <c r="M197" t="s">
        <v>22</v>
      </c>
    </row>
    <row r="198" spans="1:13" x14ac:dyDescent="0.3">
      <c r="A198" t="s">
        <v>824</v>
      </c>
      <c r="B198" t="s">
        <v>825</v>
      </c>
      <c r="C198" t="s">
        <v>15</v>
      </c>
      <c r="D198" t="s">
        <v>51</v>
      </c>
      <c r="E198" t="s">
        <v>52</v>
      </c>
      <c r="F198" t="s">
        <v>151</v>
      </c>
      <c r="G198">
        <v>44353</v>
      </c>
      <c r="H198">
        <v>44582</v>
      </c>
      <c r="I198" t="s">
        <v>826</v>
      </c>
      <c r="J198" t="s">
        <v>827</v>
      </c>
      <c r="K198" t="s">
        <v>21</v>
      </c>
      <c r="L198" t="s">
        <v>55</v>
      </c>
      <c r="M198" t="s">
        <v>22</v>
      </c>
    </row>
    <row r="199" spans="1:13" x14ac:dyDescent="0.3">
      <c r="A199" t="s">
        <v>828</v>
      </c>
      <c r="B199" t="s">
        <v>829</v>
      </c>
      <c r="C199" t="s">
        <v>87</v>
      </c>
      <c r="D199" t="s">
        <v>77</v>
      </c>
      <c r="E199" t="s">
        <v>52</v>
      </c>
      <c r="F199" t="s">
        <v>160</v>
      </c>
      <c r="G199">
        <v>45027</v>
      </c>
      <c r="H199">
        <v>45224</v>
      </c>
      <c r="I199" t="s">
        <v>830</v>
      </c>
      <c r="J199" t="s">
        <v>831</v>
      </c>
      <c r="K199" t="s">
        <v>90</v>
      </c>
      <c r="L199" t="s">
        <v>55</v>
      </c>
      <c r="M199" t="s">
        <v>22</v>
      </c>
    </row>
    <row r="200" spans="1:13" hidden="1" x14ac:dyDescent="0.3">
      <c r="A200" t="s">
        <v>832</v>
      </c>
      <c r="B200" t="s">
        <v>833</v>
      </c>
      <c r="C200" t="s">
        <v>33</v>
      </c>
      <c r="D200" t="s">
        <v>77</v>
      </c>
      <c r="E200" t="s">
        <v>52</v>
      </c>
      <c r="F200" t="s">
        <v>18</v>
      </c>
      <c r="G200">
        <v>43776</v>
      </c>
      <c r="H200">
        <v>44103</v>
      </c>
      <c r="I200" t="s">
        <v>834</v>
      </c>
      <c r="J200" t="s">
        <v>835</v>
      </c>
      <c r="K200" t="s">
        <v>21</v>
      </c>
      <c r="M200" t="s">
        <v>3735</v>
      </c>
    </row>
    <row r="201" spans="1:13" x14ac:dyDescent="0.3">
      <c r="A201" t="s">
        <v>836</v>
      </c>
      <c r="B201" t="s">
        <v>837</v>
      </c>
      <c r="C201" t="s">
        <v>46</v>
      </c>
      <c r="D201" t="s">
        <v>67</v>
      </c>
      <c r="E201" t="s">
        <v>26</v>
      </c>
      <c r="F201" t="s">
        <v>18</v>
      </c>
      <c r="G201">
        <v>44411</v>
      </c>
      <c r="H201">
        <v>44716</v>
      </c>
      <c r="I201" t="s">
        <v>838</v>
      </c>
      <c r="J201" t="s">
        <v>839</v>
      </c>
      <c r="K201" t="s">
        <v>90</v>
      </c>
      <c r="L201" t="s">
        <v>116</v>
      </c>
      <c r="M201" t="s">
        <v>22</v>
      </c>
    </row>
    <row r="202" spans="1:13" x14ac:dyDescent="0.3">
      <c r="A202" t="s">
        <v>840</v>
      </c>
      <c r="B202" t="s">
        <v>841</v>
      </c>
      <c r="C202" t="s">
        <v>15</v>
      </c>
      <c r="D202" t="s">
        <v>51</v>
      </c>
      <c r="E202" t="s">
        <v>52</v>
      </c>
      <c r="F202" t="s">
        <v>18</v>
      </c>
      <c r="G202">
        <v>44494</v>
      </c>
      <c r="H202">
        <v>44520</v>
      </c>
      <c r="I202" t="s">
        <v>842</v>
      </c>
      <c r="J202" t="s">
        <v>843</v>
      </c>
      <c r="K202" t="s">
        <v>29</v>
      </c>
      <c r="L202" t="s">
        <v>60</v>
      </c>
      <c r="M202" t="s">
        <v>22</v>
      </c>
    </row>
    <row r="203" spans="1:13" x14ac:dyDescent="0.3">
      <c r="A203" t="s">
        <v>844</v>
      </c>
      <c r="B203" t="s">
        <v>845</v>
      </c>
      <c r="C203" t="s">
        <v>87</v>
      </c>
      <c r="D203" t="s">
        <v>51</v>
      </c>
      <c r="E203" t="s">
        <v>52</v>
      </c>
      <c r="F203" t="s">
        <v>18</v>
      </c>
      <c r="G203">
        <v>45632</v>
      </c>
      <c r="H203">
        <v>45636</v>
      </c>
      <c r="I203" t="s">
        <v>846</v>
      </c>
      <c r="J203" t="s">
        <v>847</v>
      </c>
      <c r="K203" t="s">
        <v>90</v>
      </c>
      <c r="L203" t="s">
        <v>55</v>
      </c>
      <c r="M203" t="s">
        <v>22</v>
      </c>
    </row>
    <row r="204" spans="1:13" x14ac:dyDescent="0.3">
      <c r="A204" t="s">
        <v>848</v>
      </c>
      <c r="B204" t="s">
        <v>849</v>
      </c>
      <c r="C204" t="s">
        <v>76</v>
      </c>
      <c r="D204" t="s">
        <v>41</v>
      </c>
      <c r="E204" t="s">
        <v>17</v>
      </c>
      <c r="F204" t="s">
        <v>18</v>
      </c>
      <c r="G204">
        <v>45401</v>
      </c>
      <c r="H204">
        <v>45464</v>
      </c>
      <c r="I204" t="s">
        <v>850</v>
      </c>
      <c r="J204" t="s">
        <v>851</v>
      </c>
      <c r="K204" t="s">
        <v>37</v>
      </c>
      <c r="L204" t="s">
        <v>30</v>
      </c>
      <c r="M204" t="s">
        <v>22</v>
      </c>
    </row>
    <row r="205" spans="1:13" hidden="1" x14ac:dyDescent="0.3">
      <c r="A205" t="s">
        <v>852</v>
      </c>
      <c r="B205" t="s">
        <v>853</v>
      </c>
      <c r="C205" t="s">
        <v>181</v>
      </c>
      <c r="D205" t="s">
        <v>51</v>
      </c>
      <c r="E205" t="s">
        <v>52</v>
      </c>
      <c r="F205" t="s">
        <v>151</v>
      </c>
      <c r="G205">
        <v>45591</v>
      </c>
      <c r="H205">
        <v>45736</v>
      </c>
      <c r="I205" t="s">
        <v>854</v>
      </c>
      <c r="J205" t="s">
        <v>855</v>
      </c>
      <c r="K205" t="s">
        <v>37</v>
      </c>
      <c r="M205" t="s">
        <v>3735</v>
      </c>
    </row>
    <row r="206" spans="1:13" x14ac:dyDescent="0.3">
      <c r="A206" t="s">
        <v>856</v>
      </c>
      <c r="B206" t="s">
        <v>857</v>
      </c>
      <c r="C206" t="s">
        <v>76</v>
      </c>
      <c r="D206" t="s">
        <v>16</v>
      </c>
      <c r="E206" t="s">
        <v>17</v>
      </c>
      <c r="F206" t="s">
        <v>18</v>
      </c>
      <c r="G206">
        <v>44240</v>
      </c>
      <c r="H206">
        <v>44514</v>
      </c>
      <c r="I206" t="s">
        <v>858</v>
      </c>
      <c r="J206" t="s">
        <v>859</v>
      </c>
      <c r="K206" t="s">
        <v>29</v>
      </c>
      <c r="L206" t="s">
        <v>55</v>
      </c>
      <c r="M206" t="s">
        <v>22</v>
      </c>
    </row>
    <row r="207" spans="1:13" hidden="1" x14ac:dyDescent="0.3">
      <c r="A207" t="s">
        <v>860</v>
      </c>
      <c r="B207" t="s">
        <v>861</v>
      </c>
      <c r="C207" t="s">
        <v>33</v>
      </c>
      <c r="D207" t="s">
        <v>41</v>
      </c>
      <c r="E207" t="s">
        <v>17</v>
      </c>
      <c r="F207" t="s">
        <v>18</v>
      </c>
      <c r="G207">
        <v>44691</v>
      </c>
      <c r="H207">
        <v>44994</v>
      </c>
      <c r="I207" t="s">
        <v>862</v>
      </c>
      <c r="J207" t="s">
        <v>210</v>
      </c>
      <c r="K207" t="s">
        <v>21</v>
      </c>
      <c r="M207" t="s">
        <v>3735</v>
      </c>
    </row>
    <row r="208" spans="1:13" hidden="1" x14ac:dyDescent="0.3">
      <c r="A208" t="s">
        <v>863</v>
      </c>
      <c r="B208" t="s">
        <v>864</v>
      </c>
      <c r="C208" t="s">
        <v>181</v>
      </c>
      <c r="D208" t="s">
        <v>41</v>
      </c>
      <c r="E208" t="s">
        <v>17</v>
      </c>
      <c r="F208" t="s">
        <v>18</v>
      </c>
      <c r="G208">
        <v>44101</v>
      </c>
      <c r="H208">
        <v>44242</v>
      </c>
      <c r="J208" t="s">
        <v>865</v>
      </c>
      <c r="K208" t="s">
        <v>90</v>
      </c>
      <c r="M208" t="s">
        <v>3735</v>
      </c>
    </row>
    <row r="209" spans="1:13" x14ac:dyDescent="0.3">
      <c r="A209" t="s">
        <v>866</v>
      </c>
      <c r="B209" t="s">
        <v>867</v>
      </c>
      <c r="C209" t="s">
        <v>40</v>
      </c>
      <c r="D209" t="s">
        <v>51</v>
      </c>
      <c r="E209" t="s">
        <v>52</v>
      </c>
      <c r="F209" t="s">
        <v>18</v>
      </c>
      <c r="G209">
        <v>44627</v>
      </c>
      <c r="H209">
        <v>44799</v>
      </c>
      <c r="I209" t="s">
        <v>868</v>
      </c>
      <c r="J209" t="s">
        <v>869</v>
      </c>
      <c r="K209" t="s">
        <v>21</v>
      </c>
      <c r="L209" t="s">
        <v>116</v>
      </c>
      <c r="M209" t="s">
        <v>22</v>
      </c>
    </row>
    <row r="210" spans="1:13" hidden="1" x14ac:dyDescent="0.3">
      <c r="A210" t="s">
        <v>870</v>
      </c>
      <c r="B210" t="s">
        <v>871</v>
      </c>
      <c r="C210" t="s">
        <v>15</v>
      </c>
      <c r="D210" t="s">
        <v>25</v>
      </c>
      <c r="E210" t="s">
        <v>26</v>
      </c>
      <c r="F210" t="s">
        <v>18</v>
      </c>
      <c r="G210">
        <v>44236</v>
      </c>
      <c r="H210">
        <v>44249</v>
      </c>
      <c r="I210" t="s">
        <v>872</v>
      </c>
      <c r="J210" t="s">
        <v>873</v>
      </c>
      <c r="K210" t="s">
        <v>37</v>
      </c>
      <c r="M210" t="s">
        <v>3735</v>
      </c>
    </row>
    <row r="211" spans="1:13" x14ac:dyDescent="0.3">
      <c r="A211" t="s">
        <v>874</v>
      </c>
      <c r="B211" t="s">
        <v>875</v>
      </c>
      <c r="C211" t="s">
        <v>40</v>
      </c>
      <c r="D211" t="s">
        <v>67</v>
      </c>
      <c r="E211" t="s">
        <v>26</v>
      </c>
      <c r="F211" t="s">
        <v>18</v>
      </c>
      <c r="G211">
        <v>44684</v>
      </c>
      <c r="H211">
        <v>44998</v>
      </c>
      <c r="I211" t="s">
        <v>876</v>
      </c>
      <c r="J211" t="s">
        <v>877</v>
      </c>
      <c r="K211" t="s">
        <v>37</v>
      </c>
      <c r="L211" t="s">
        <v>116</v>
      </c>
      <c r="M211" t="s">
        <v>22</v>
      </c>
    </row>
    <row r="212" spans="1:13" hidden="1" x14ac:dyDescent="0.3">
      <c r="A212" t="s">
        <v>878</v>
      </c>
      <c r="B212" t="s">
        <v>879</v>
      </c>
      <c r="C212" t="s">
        <v>15</v>
      </c>
      <c r="D212" t="s">
        <v>34</v>
      </c>
      <c r="E212" t="s">
        <v>26</v>
      </c>
      <c r="F212" t="s">
        <v>151</v>
      </c>
      <c r="G212">
        <v>45500</v>
      </c>
      <c r="H212">
        <v>45646</v>
      </c>
      <c r="I212" t="s">
        <v>880</v>
      </c>
      <c r="J212" t="s">
        <v>881</v>
      </c>
      <c r="K212" t="s">
        <v>37</v>
      </c>
      <c r="M212" t="s">
        <v>3735</v>
      </c>
    </row>
    <row r="213" spans="1:13" hidden="1" x14ac:dyDescent="0.3">
      <c r="A213" t="s">
        <v>882</v>
      </c>
      <c r="B213" t="s">
        <v>883</v>
      </c>
      <c r="C213" t="s">
        <v>46</v>
      </c>
      <c r="D213" t="s">
        <v>16</v>
      </c>
      <c r="E213" t="s">
        <v>17</v>
      </c>
      <c r="F213" t="s">
        <v>18</v>
      </c>
      <c r="G213">
        <v>44869</v>
      </c>
      <c r="H213">
        <v>45194</v>
      </c>
      <c r="I213" t="s">
        <v>884</v>
      </c>
      <c r="K213" t="s">
        <v>29</v>
      </c>
      <c r="L213" t="s">
        <v>55</v>
      </c>
      <c r="M213" t="s">
        <v>3735</v>
      </c>
    </row>
    <row r="214" spans="1:13" hidden="1" x14ac:dyDescent="0.3">
      <c r="A214" t="s">
        <v>885</v>
      </c>
      <c r="B214" t="s">
        <v>886</v>
      </c>
      <c r="C214" t="s">
        <v>40</v>
      </c>
      <c r="D214" t="s">
        <v>25</v>
      </c>
      <c r="E214" t="s">
        <v>26</v>
      </c>
      <c r="F214" t="s">
        <v>160</v>
      </c>
      <c r="G214">
        <v>44630</v>
      </c>
      <c r="I214" t="s">
        <v>887</v>
      </c>
      <c r="J214" t="s">
        <v>888</v>
      </c>
      <c r="K214" t="s">
        <v>29</v>
      </c>
      <c r="L214" t="s">
        <v>55</v>
      </c>
      <c r="M214" t="s">
        <v>3735</v>
      </c>
    </row>
    <row r="215" spans="1:13" x14ac:dyDescent="0.3">
      <c r="A215" t="s">
        <v>889</v>
      </c>
      <c r="B215" t="s">
        <v>890</v>
      </c>
      <c r="C215" t="s">
        <v>76</v>
      </c>
      <c r="D215" t="s">
        <v>41</v>
      </c>
      <c r="E215" t="s">
        <v>17</v>
      </c>
      <c r="F215" t="s">
        <v>18</v>
      </c>
      <c r="G215">
        <v>44590</v>
      </c>
      <c r="H215">
        <v>44815</v>
      </c>
      <c r="I215" t="s">
        <v>891</v>
      </c>
      <c r="J215" t="s">
        <v>892</v>
      </c>
      <c r="K215" t="s">
        <v>90</v>
      </c>
      <c r="L215" t="s">
        <v>30</v>
      </c>
      <c r="M215" t="s">
        <v>22</v>
      </c>
    </row>
    <row r="216" spans="1:13" x14ac:dyDescent="0.3">
      <c r="A216" t="s">
        <v>893</v>
      </c>
      <c r="B216" t="s">
        <v>894</v>
      </c>
      <c r="C216" t="s">
        <v>46</v>
      </c>
      <c r="D216" t="s">
        <v>77</v>
      </c>
      <c r="E216" t="s">
        <v>52</v>
      </c>
      <c r="F216" t="s">
        <v>18</v>
      </c>
      <c r="G216">
        <v>45369</v>
      </c>
      <c r="H216">
        <v>45686</v>
      </c>
      <c r="I216" t="s">
        <v>895</v>
      </c>
      <c r="J216" t="s">
        <v>681</v>
      </c>
      <c r="K216" t="s">
        <v>90</v>
      </c>
      <c r="L216" t="s">
        <v>60</v>
      </c>
      <c r="M216" t="s">
        <v>22</v>
      </c>
    </row>
    <row r="217" spans="1:13" x14ac:dyDescent="0.3">
      <c r="A217" t="s">
        <v>896</v>
      </c>
      <c r="B217" t="s">
        <v>897</v>
      </c>
      <c r="C217" t="s">
        <v>87</v>
      </c>
      <c r="D217" t="s">
        <v>67</v>
      </c>
      <c r="E217" t="s">
        <v>26</v>
      </c>
      <c r="F217" t="s">
        <v>18</v>
      </c>
      <c r="G217">
        <v>43599</v>
      </c>
      <c r="H217">
        <v>43717</v>
      </c>
      <c r="I217" t="s">
        <v>898</v>
      </c>
      <c r="J217" t="s">
        <v>899</v>
      </c>
      <c r="K217" t="s">
        <v>21</v>
      </c>
      <c r="L217" t="s">
        <v>60</v>
      </c>
      <c r="M217" t="s">
        <v>22</v>
      </c>
    </row>
    <row r="218" spans="1:13" x14ac:dyDescent="0.3">
      <c r="A218" t="s">
        <v>900</v>
      </c>
      <c r="B218" t="s">
        <v>901</v>
      </c>
      <c r="C218" t="s">
        <v>87</v>
      </c>
      <c r="D218" t="s">
        <v>51</v>
      </c>
      <c r="E218" t="s">
        <v>52</v>
      </c>
      <c r="F218" t="s">
        <v>160</v>
      </c>
      <c r="G218">
        <v>44694</v>
      </c>
      <c r="H218">
        <v>44822</v>
      </c>
      <c r="I218" t="s">
        <v>902</v>
      </c>
      <c r="J218" t="s">
        <v>367</v>
      </c>
      <c r="K218" t="s">
        <v>21</v>
      </c>
      <c r="L218" t="s">
        <v>60</v>
      </c>
      <c r="M218" t="s">
        <v>22</v>
      </c>
    </row>
    <row r="219" spans="1:13" x14ac:dyDescent="0.3">
      <c r="A219" t="s">
        <v>903</v>
      </c>
      <c r="B219" t="s">
        <v>904</v>
      </c>
      <c r="C219" t="s">
        <v>76</v>
      </c>
      <c r="D219" t="s">
        <v>41</v>
      </c>
      <c r="E219" t="s">
        <v>17</v>
      </c>
      <c r="F219" t="s">
        <v>160</v>
      </c>
      <c r="G219">
        <v>43476</v>
      </c>
      <c r="H219">
        <v>43498</v>
      </c>
      <c r="I219" t="s">
        <v>905</v>
      </c>
      <c r="J219" t="s">
        <v>906</v>
      </c>
      <c r="K219" t="s">
        <v>90</v>
      </c>
      <c r="L219" t="s">
        <v>30</v>
      </c>
      <c r="M219" t="s">
        <v>22</v>
      </c>
    </row>
    <row r="220" spans="1:13" x14ac:dyDescent="0.3">
      <c r="A220" t="s">
        <v>907</v>
      </c>
      <c r="B220" t="s">
        <v>908</v>
      </c>
      <c r="C220" t="s">
        <v>15</v>
      </c>
      <c r="D220" t="s">
        <v>77</v>
      </c>
      <c r="E220" t="s">
        <v>52</v>
      </c>
      <c r="F220" t="s">
        <v>18</v>
      </c>
      <c r="G220">
        <v>43810</v>
      </c>
      <c r="H220">
        <v>44108</v>
      </c>
      <c r="I220" t="s">
        <v>909</v>
      </c>
      <c r="J220" t="s">
        <v>910</v>
      </c>
      <c r="K220" t="s">
        <v>90</v>
      </c>
      <c r="L220" t="s">
        <v>60</v>
      </c>
      <c r="M220" t="s">
        <v>22</v>
      </c>
    </row>
    <row r="221" spans="1:13" x14ac:dyDescent="0.3">
      <c r="A221" t="s">
        <v>911</v>
      </c>
      <c r="B221" t="s">
        <v>912</v>
      </c>
      <c r="C221" t="s">
        <v>87</v>
      </c>
      <c r="D221" t="s">
        <v>34</v>
      </c>
      <c r="E221" t="s">
        <v>26</v>
      </c>
      <c r="F221" t="s">
        <v>18</v>
      </c>
      <c r="G221">
        <v>43965</v>
      </c>
      <c r="H221">
        <v>44238</v>
      </c>
      <c r="I221" t="s">
        <v>913</v>
      </c>
      <c r="J221" t="s">
        <v>914</v>
      </c>
      <c r="K221" t="s">
        <v>21</v>
      </c>
      <c r="L221" t="s">
        <v>60</v>
      </c>
      <c r="M221" t="s">
        <v>22</v>
      </c>
    </row>
    <row r="222" spans="1:13" x14ac:dyDescent="0.3">
      <c r="A222" t="s">
        <v>915</v>
      </c>
      <c r="B222" t="s">
        <v>188</v>
      </c>
      <c r="C222" t="s">
        <v>46</v>
      </c>
      <c r="D222" t="s">
        <v>34</v>
      </c>
      <c r="E222" t="s">
        <v>26</v>
      </c>
      <c r="F222" t="s">
        <v>160</v>
      </c>
      <c r="G222">
        <v>44740</v>
      </c>
      <c r="H222">
        <v>45038</v>
      </c>
      <c r="I222" t="s">
        <v>916</v>
      </c>
      <c r="J222" t="s">
        <v>917</v>
      </c>
      <c r="K222" t="s">
        <v>37</v>
      </c>
      <c r="L222" t="s">
        <v>30</v>
      </c>
      <c r="M222" t="s">
        <v>22</v>
      </c>
    </row>
    <row r="223" spans="1:13" hidden="1" x14ac:dyDescent="0.3">
      <c r="A223" t="s">
        <v>918</v>
      </c>
      <c r="B223" t="s">
        <v>919</v>
      </c>
      <c r="C223" t="s">
        <v>15</v>
      </c>
      <c r="D223" t="s">
        <v>67</v>
      </c>
      <c r="E223" t="s">
        <v>26</v>
      </c>
      <c r="F223" t="s">
        <v>160</v>
      </c>
      <c r="G223">
        <v>44343</v>
      </c>
      <c r="H223">
        <v>44456</v>
      </c>
      <c r="I223" t="s">
        <v>920</v>
      </c>
      <c r="J223" t="s">
        <v>921</v>
      </c>
      <c r="K223" t="s">
        <v>29</v>
      </c>
      <c r="M223" t="s">
        <v>3735</v>
      </c>
    </row>
    <row r="224" spans="1:13" x14ac:dyDescent="0.3">
      <c r="A224" t="s">
        <v>922</v>
      </c>
      <c r="B224" t="s">
        <v>923</v>
      </c>
      <c r="C224" t="s">
        <v>33</v>
      </c>
      <c r="D224" t="s">
        <v>16</v>
      </c>
      <c r="E224" t="s">
        <v>17</v>
      </c>
      <c r="F224" t="s">
        <v>160</v>
      </c>
      <c r="G224">
        <v>44119</v>
      </c>
      <c r="H224">
        <v>44476</v>
      </c>
      <c r="I224" t="s">
        <v>924</v>
      </c>
      <c r="J224" t="s">
        <v>925</v>
      </c>
      <c r="K224" t="s">
        <v>29</v>
      </c>
      <c r="L224" t="s">
        <v>55</v>
      </c>
      <c r="M224" t="s">
        <v>22</v>
      </c>
    </row>
    <row r="225" spans="1:13" x14ac:dyDescent="0.3">
      <c r="A225" t="s">
        <v>926</v>
      </c>
      <c r="B225" t="s">
        <v>927</v>
      </c>
      <c r="C225" t="s">
        <v>33</v>
      </c>
      <c r="D225" t="s">
        <v>16</v>
      </c>
      <c r="E225" t="s">
        <v>17</v>
      </c>
      <c r="F225" t="s">
        <v>18</v>
      </c>
      <c r="G225">
        <v>45651</v>
      </c>
      <c r="H225">
        <v>45845</v>
      </c>
      <c r="I225" t="s">
        <v>928</v>
      </c>
      <c r="J225" t="s">
        <v>929</v>
      </c>
      <c r="K225" t="s">
        <v>90</v>
      </c>
      <c r="L225" t="s">
        <v>91</v>
      </c>
      <c r="M225" t="s">
        <v>22</v>
      </c>
    </row>
    <row r="226" spans="1:13" x14ac:dyDescent="0.3">
      <c r="A226" t="s">
        <v>930</v>
      </c>
      <c r="B226" t="s">
        <v>931</v>
      </c>
      <c r="C226" t="s">
        <v>76</v>
      </c>
      <c r="D226" t="s">
        <v>16</v>
      </c>
      <c r="E226" t="s">
        <v>17</v>
      </c>
      <c r="F226" t="s">
        <v>18</v>
      </c>
      <c r="G226">
        <v>45150</v>
      </c>
      <c r="H226">
        <v>45200</v>
      </c>
      <c r="I226" t="s">
        <v>932</v>
      </c>
      <c r="J226" t="s">
        <v>933</v>
      </c>
      <c r="K226" t="s">
        <v>21</v>
      </c>
      <c r="L226" t="s">
        <v>116</v>
      </c>
      <c r="M226" t="s">
        <v>22</v>
      </c>
    </row>
    <row r="227" spans="1:13" x14ac:dyDescent="0.3">
      <c r="A227" t="s">
        <v>934</v>
      </c>
      <c r="B227" t="s">
        <v>935</v>
      </c>
      <c r="C227" t="s">
        <v>87</v>
      </c>
      <c r="D227" t="s">
        <v>77</v>
      </c>
      <c r="E227" t="s">
        <v>52</v>
      </c>
      <c r="F227" t="s">
        <v>160</v>
      </c>
      <c r="G227">
        <v>43842</v>
      </c>
      <c r="H227">
        <v>44011</v>
      </c>
      <c r="I227" t="s">
        <v>936</v>
      </c>
      <c r="J227" t="s">
        <v>937</v>
      </c>
      <c r="K227" t="s">
        <v>21</v>
      </c>
      <c r="L227" t="s">
        <v>60</v>
      </c>
      <c r="M227" t="s">
        <v>22</v>
      </c>
    </row>
    <row r="228" spans="1:13" x14ac:dyDescent="0.3">
      <c r="A228" t="s">
        <v>938</v>
      </c>
      <c r="B228" t="s">
        <v>939</v>
      </c>
      <c r="C228" t="s">
        <v>87</v>
      </c>
      <c r="D228" t="s">
        <v>25</v>
      </c>
      <c r="E228" t="s">
        <v>26</v>
      </c>
      <c r="F228" t="s">
        <v>160</v>
      </c>
      <c r="G228">
        <v>43804</v>
      </c>
      <c r="H228">
        <v>44059</v>
      </c>
      <c r="I228" t="s">
        <v>940</v>
      </c>
      <c r="J228" t="s">
        <v>941</v>
      </c>
      <c r="K228" t="s">
        <v>90</v>
      </c>
      <c r="L228" t="s">
        <v>91</v>
      </c>
      <c r="M228" t="s">
        <v>22</v>
      </c>
    </row>
    <row r="229" spans="1:13" x14ac:dyDescent="0.3">
      <c r="A229" t="s">
        <v>942</v>
      </c>
      <c r="B229" t="s">
        <v>943</v>
      </c>
      <c r="C229" t="s">
        <v>87</v>
      </c>
      <c r="D229" t="s">
        <v>25</v>
      </c>
      <c r="E229" t="s">
        <v>26</v>
      </c>
      <c r="F229" t="s">
        <v>18</v>
      </c>
      <c r="G229">
        <v>44553</v>
      </c>
      <c r="H229">
        <v>44888</v>
      </c>
      <c r="I229" t="s">
        <v>944</v>
      </c>
      <c r="J229" t="s">
        <v>254</v>
      </c>
      <c r="K229" t="s">
        <v>90</v>
      </c>
      <c r="L229" t="s">
        <v>91</v>
      </c>
      <c r="M229" t="s">
        <v>22</v>
      </c>
    </row>
    <row r="230" spans="1:13" x14ac:dyDescent="0.3">
      <c r="A230" t="s">
        <v>945</v>
      </c>
      <c r="B230" t="s">
        <v>946</v>
      </c>
      <c r="C230" t="s">
        <v>87</v>
      </c>
      <c r="D230" t="s">
        <v>51</v>
      </c>
      <c r="E230" t="s">
        <v>52</v>
      </c>
      <c r="F230" t="s">
        <v>151</v>
      </c>
      <c r="G230">
        <v>44294</v>
      </c>
      <c r="H230">
        <v>44465</v>
      </c>
      <c r="I230" t="s">
        <v>947</v>
      </c>
      <c r="J230" t="s">
        <v>948</v>
      </c>
      <c r="K230" t="s">
        <v>90</v>
      </c>
      <c r="L230" t="s">
        <v>116</v>
      </c>
      <c r="M230" t="s">
        <v>22</v>
      </c>
    </row>
    <row r="231" spans="1:13" x14ac:dyDescent="0.3">
      <c r="A231" t="s">
        <v>949</v>
      </c>
      <c r="B231" t="s">
        <v>950</v>
      </c>
      <c r="C231" t="s">
        <v>76</v>
      </c>
      <c r="D231" t="s">
        <v>25</v>
      </c>
      <c r="E231" t="s">
        <v>26</v>
      </c>
      <c r="F231" t="s">
        <v>18</v>
      </c>
      <c r="G231">
        <v>44651</v>
      </c>
      <c r="H231">
        <v>44691</v>
      </c>
      <c r="I231" t="s">
        <v>951</v>
      </c>
      <c r="J231" t="s">
        <v>952</v>
      </c>
      <c r="K231" t="s">
        <v>21</v>
      </c>
      <c r="L231" t="s">
        <v>116</v>
      </c>
      <c r="M231" t="s">
        <v>22</v>
      </c>
    </row>
    <row r="232" spans="1:13" hidden="1" x14ac:dyDescent="0.3">
      <c r="A232" t="s">
        <v>953</v>
      </c>
      <c r="B232" t="s">
        <v>954</v>
      </c>
      <c r="C232" t="s">
        <v>181</v>
      </c>
      <c r="D232" t="s">
        <v>51</v>
      </c>
      <c r="E232" t="s">
        <v>52</v>
      </c>
      <c r="F232" t="s">
        <v>18</v>
      </c>
      <c r="G232">
        <v>43796</v>
      </c>
      <c r="H232">
        <v>43866</v>
      </c>
      <c r="I232" t="s">
        <v>955</v>
      </c>
      <c r="J232" t="s">
        <v>956</v>
      </c>
      <c r="K232" t="s">
        <v>21</v>
      </c>
      <c r="M232" t="s">
        <v>3735</v>
      </c>
    </row>
    <row r="233" spans="1:13" x14ac:dyDescent="0.3">
      <c r="A233" t="s">
        <v>957</v>
      </c>
      <c r="B233" t="s">
        <v>958</v>
      </c>
      <c r="C233" t="s">
        <v>87</v>
      </c>
      <c r="D233" t="s">
        <v>67</v>
      </c>
      <c r="E233" t="s">
        <v>26</v>
      </c>
      <c r="F233" t="s">
        <v>18</v>
      </c>
      <c r="G233">
        <v>45344</v>
      </c>
      <c r="H233">
        <v>45703</v>
      </c>
      <c r="I233" t="s">
        <v>959</v>
      </c>
      <c r="J233" t="s">
        <v>960</v>
      </c>
      <c r="K233" t="s">
        <v>37</v>
      </c>
      <c r="L233" t="s">
        <v>55</v>
      </c>
      <c r="M233" t="s">
        <v>22</v>
      </c>
    </row>
    <row r="234" spans="1:13" hidden="1" x14ac:dyDescent="0.3">
      <c r="A234" t="s">
        <v>961</v>
      </c>
      <c r="B234" t="s">
        <v>962</v>
      </c>
      <c r="C234" t="s">
        <v>33</v>
      </c>
      <c r="D234" t="s">
        <v>34</v>
      </c>
      <c r="E234" t="s">
        <v>26</v>
      </c>
      <c r="F234" t="s">
        <v>18</v>
      </c>
      <c r="G234">
        <v>45535</v>
      </c>
      <c r="H234">
        <v>45591</v>
      </c>
      <c r="I234" t="s">
        <v>963</v>
      </c>
      <c r="J234" t="s">
        <v>964</v>
      </c>
      <c r="K234" t="s">
        <v>29</v>
      </c>
      <c r="M234" t="s">
        <v>3735</v>
      </c>
    </row>
    <row r="235" spans="1:13" x14ac:dyDescent="0.3">
      <c r="A235" t="s">
        <v>965</v>
      </c>
      <c r="B235" t="s">
        <v>966</v>
      </c>
      <c r="C235" t="s">
        <v>33</v>
      </c>
      <c r="D235" t="s">
        <v>51</v>
      </c>
      <c r="E235" t="s">
        <v>52</v>
      </c>
      <c r="F235" t="s">
        <v>18</v>
      </c>
      <c r="G235">
        <v>44707</v>
      </c>
      <c r="H235">
        <v>44866</v>
      </c>
      <c r="I235" t="s">
        <v>967</v>
      </c>
      <c r="J235" t="s">
        <v>968</v>
      </c>
      <c r="K235" t="s">
        <v>90</v>
      </c>
      <c r="L235" t="s">
        <v>55</v>
      </c>
      <c r="M235" t="s">
        <v>22</v>
      </c>
    </row>
    <row r="236" spans="1:13" x14ac:dyDescent="0.3">
      <c r="A236" t="s">
        <v>969</v>
      </c>
      <c r="B236" t="s">
        <v>970</v>
      </c>
      <c r="C236" t="s">
        <v>33</v>
      </c>
      <c r="D236" t="s">
        <v>41</v>
      </c>
      <c r="E236" t="s">
        <v>17</v>
      </c>
      <c r="F236" t="s">
        <v>18</v>
      </c>
      <c r="G236">
        <v>44253</v>
      </c>
      <c r="H236">
        <v>44493</v>
      </c>
      <c r="I236" t="s">
        <v>972</v>
      </c>
      <c r="J236" t="s">
        <v>973</v>
      </c>
      <c r="K236" t="s">
        <v>37</v>
      </c>
      <c r="L236" t="s">
        <v>91</v>
      </c>
      <c r="M236" t="s">
        <v>22</v>
      </c>
    </row>
    <row r="237" spans="1:13" x14ac:dyDescent="0.3">
      <c r="A237" t="s">
        <v>974</v>
      </c>
      <c r="B237" t="s">
        <v>975</v>
      </c>
      <c r="C237" t="s">
        <v>15</v>
      </c>
      <c r="D237" t="s">
        <v>67</v>
      </c>
      <c r="E237" t="s">
        <v>26</v>
      </c>
      <c r="F237" t="s">
        <v>18</v>
      </c>
      <c r="G237">
        <v>44784</v>
      </c>
      <c r="H237">
        <v>44880</v>
      </c>
      <c r="I237" t="s">
        <v>976</v>
      </c>
      <c r="J237" t="s">
        <v>977</v>
      </c>
      <c r="K237" t="s">
        <v>37</v>
      </c>
      <c r="L237" t="s">
        <v>30</v>
      </c>
      <c r="M237" t="s">
        <v>22</v>
      </c>
    </row>
    <row r="238" spans="1:13" x14ac:dyDescent="0.3">
      <c r="A238" t="s">
        <v>978</v>
      </c>
      <c r="B238" t="s">
        <v>979</v>
      </c>
      <c r="C238" t="s">
        <v>40</v>
      </c>
      <c r="D238" t="s">
        <v>16</v>
      </c>
      <c r="E238" t="s">
        <v>17</v>
      </c>
      <c r="F238" t="s">
        <v>160</v>
      </c>
      <c r="G238">
        <v>44472</v>
      </c>
      <c r="H238">
        <v>44737</v>
      </c>
      <c r="I238" t="s">
        <v>980</v>
      </c>
      <c r="J238" t="s">
        <v>796</v>
      </c>
      <c r="K238" t="s">
        <v>90</v>
      </c>
      <c r="L238" t="s">
        <v>91</v>
      </c>
      <c r="M238" t="s">
        <v>22</v>
      </c>
    </row>
    <row r="239" spans="1:13" x14ac:dyDescent="0.3">
      <c r="A239" t="s">
        <v>981</v>
      </c>
      <c r="B239" t="s">
        <v>982</v>
      </c>
      <c r="C239" t="s">
        <v>33</v>
      </c>
      <c r="D239" t="s">
        <v>16</v>
      </c>
      <c r="E239" t="s">
        <v>17</v>
      </c>
      <c r="F239" t="s">
        <v>151</v>
      </c>
      <c r="G239">
        <v>44963</v>
      </c>
      <c r="H239">
        <v>45036</v>
      </c>
      <c r="I239" t="s">
        <v>983</v>
      </c>
      <c r="J239" t="s">
        <v>984</v>
      </c>
      <c r="K239" t="s">
        <v>21</v>
      </c>
      <c r="L239" t="s">
        <v>91</v>
      </c>
      <c r="M239" t="s">
        <v>22</v>
      </c>
    </row>
    <row r="240" spans="1:13" x14ac:dyDescent="0.3">
      <c r="A240" t="s">
        <v>985</v>
      </c>
      <c r="B240" t="s">
        <v>986</v>
      </c>
      <c r="C240" t="s">
        <v>87</v>
      </c>
      <c r="D240" t="s">
        <v>41</v>
      </c>
      <c r="E240" t="s">
        <v>17</v>
      </c>
      <c r="F240" t="s">
        <v>18</v>
      </c>
      <c r="G240">
        <v>44084</v>
      </c>
      <c r="H240">
        <v>44088</v>
      </c>
      <c r="I240" t="s">
        <v>987</v>
      </c>
      <c r="J240" t="s">
        <v>988</v>
      </c>
      <c r="K240" t="s">
        <v>21</v>
      </c>
      <c r="L240" t="s">
        <v>116</v>
      </c>
      <c r="M240" t="s">
        <v>22</v>
      </c>
    </row>
    <row r="241" spans="1:13" x14ac:dyDescent="0.3">
      <c r="A241" t="s">
        <v>989</v>
      </c>
      <c r="B241" t="s">
        <v>990</v>
      </c>
      <c r="C241" t="s">
        <v>87</v>
      </c>
      <c r="D241" t="s">
        <v>51</v>
      </c>
      <c r="E241" t="s">
        <v>52</v>
      </c>
      <c r="F241" t="s">
        <v>18</v>
      </c>
      <c r="G241">
        <v>44744</v>
      </c>
      <c r="H241">
        <v>45071</v>
      </c>
      <c r="I241" t="s">
        <v>991</v>
      </c>
      <c r="J241" t="s">
        <v>992</v>
      </c>
      <c r="K241" t="s">
        <v>37</v>
      </c>
      <c r="L241" t="s">
        <v>55</v>
      </c>
      <c r="M241" t="s">
        <v>22</v>
      </c>
    </row>
    <row r="242" spans="1:13" x14ac:dyDescent="0.3">
      <c r="A242" t="s">
        <v>993</v>
      </c>
      <c r="B242" t="s">
        <v>400</v>
      </c>
      <c r="C242" t="s">
        <v>87</v>
      </c>
      <c r="D242" t="s">
        <v>25</v>
      </c>
      <c r="E242" t="s">
        <v>26</v>
      </c>
      <c r="F242" t="s">
        <v>18</v>
      </c>
      <c r="G242">
        <v>45335</v>
      </c>
      <c r="H242">
        <v>45512</v>
      </c>
      <c r="I242" t="s">
        <v>994</v>
      </c>
      <c r="J242" t="s">
        <v>995</v>
      </c>
      <c r="K242" t="s">
        <v>37</v>
      </c>
      <c r="L242" t="s">
        <v>30</v>
      </c>
      <c r="M242" t="s">
        <v>22</v>
      </c>
    </row>
    <row r="243" spans="1:13" x14ac:dyDescent="0.3">
      <c r="A243" t="s">
        <v>996</v>
      </c>
      <c r="B243" t="s">
        <v>997</v>
      </c>
      <c r="C243" t="s">
        <v>87</v>
      </c>
      <c r="D243" t="s">
        <v>25</v>
      </c>
      <c r="E243" t="s">
        <v>26</v>
      </c>
      <c r="F243" t="s">
        <v>18</v>
      </c>
      <c r="G243">
        <v>44456</v>
      </c>
      <c r="H243">
        <v>44646</v>
      </c>
      <c r="I243" t="s">
        <v>998</v>
      </c>
      <c r="J243" t="s">
        <v>999</v>
      </c>
      <c r="K243" t="s">
        <v>37</v>
      </c>
      <c r="L243" t="s">
        <v>30</v>
      </c>
      <c r="M243" t="s">
        <v>22</v>
      </c>
    </row>
    <row r="244" spans="1:13" x14ac:dyDescent="0.3">
      <c r="A244" t="s">
        <v>1000</v>
      </c>
      <c r="B244" t="s">
        <v>1001</v>
      </c>
      <c r="C244" t="s">
        <v>76</v>
      </c>
      <c r="D244" t="s">
        <v>25</v>
      </c>
      <c r="E244" t="s">
        <v>26</v>
      </c>
      <c r="F244" t="s">
        <v>160</v>
      </c>
      <c r="G244">
        <v>43976</v>
      </c>
      <c r="H244">
        <v>44205</v>
      </c>
      <c r="I244" t="s">
        <v>1002</v>
      </c>
      <c r="J244" t="s">
        <v>1003</v>
      </c>
      <c r="K244" t="s">
        <v>21</v>
      </c>
      <c r="L244" t="s">
        <v>116</v>
      </c>
      <c r="M244" t="s">
        <v>22</v>
      </c>
    </row>
    <row r="245" spans="1:13" hidden="1" x14ac:dyDescent="0.3">
      <c r="A245" t="s">
        <v>1004</v>
      </c>
      <c r="B245" t="s">
        <v>1005</v>
      </c>
      <c r="C245" t="s">
        <v>181</v>
      </c>
      <c r="D245" t="s">
        <v>34</v>
      </c>
      <c r="E245" t="s">
        <v>26</v>
      </c>
      <c r="F245" t="s">
        <v>18</v>
      </c>
      <c r="G245">
        <v>44306</v>
      </c>
      <c r="H245">
        <v>44584</v>
      </c>
      <c r="I245" t="s">
        <v>1006</v>
      </c>
      <c r="J245" t="s">
        <v>1007</v>
      </c>
      <c r="K245" t="s">
        <v>29</v>
      </c>
      <c r="M245" t="s">
        <v>3735</v>
      </c>
    </row>
    <row r="246" spans="1:13" x14ac:dyDescent="0.3">
      <c r="A246" t="s">
        <v>1008</v>
      </c>
      <c r="B246" t="s">
        <v>1009</v>
      </c>
      <c r="C246" t="s">
        <v>76</v>
      </c>
      <c r="D246" t="s">
        <v>67</v>
      </c>
      <c r="E246" t="s">
        <v>26</v>
      </c>
      <c r="F246" t="s">
        <v>160</v>
      </c>
      <c r="G246">
        <v>43715</v>
      </c>
      <c r="H246">
        <v>43875</v>
      </c>
      <c r="I246" t="s">
        <v>1010</v>
      </c>
      <c r="J246" t="s">
        <v>1011</v>
      </c>
      <c r="K246" t="s">
        <v>21</v>
      </c>
      <c r="L246" t="s">
        <v>91</v>
      </c>
      <c r="M246" t="s">
        <v>22</v>
      </c>
    </row>
    <row r="247" spans="1:13" x14ac:dyDescent="0.3">
      <c r="A247" t="s">
        <v>1012</v>
      </c>
      <c r="B247" t="s">
        <v>1013</v>
      </c>
      <c r="C247" t="s">
        <v>33</v>
      </c>
      <c r="D247" t="s">
        <v>16</v>
      </c>
      <c r="E247" t="s">
        <v>17</v>
      </c>
      <c r="F247" t="s">
        <v>18</v>
      </c>
      <c r="G247">
        <v>43710</v>
      </c>
      <c r="H247">
        <v>43794</v>
      </c>
      <c r="I247" t="s">
        <v>1014</v>
      </c>
      <c r="J247" t="s">
        <v>1015</v>
      </c>
      <c r="K247" t="s">
        <v>21</v>
      </c>
      <c r="L247" t="s">
        <v>60</v>
      </c>
      <c r="M247" t="s">
        <v>22</v>
      </c>
    </row>
    <row r="248" spans="1:13" x14ac:dyDescent="0.3">
      <c r="A248" t="s">
        <v>1016</v>
      </c>
      <c r="B248" t="s">
        <v>1017</v>
      </c>
      <c r="C248" t="s">
        <v>40</v>
      </c>
      <c r="D248" t="s">
        <v>25</v>
      </c>
      <c r="E248" t="s">
        <v>26</v>
      </c>
      <c r="F248" t="s">
        <v>160</v>
      </c>
      <c r="G248">
        <v>43915</v>
      </c>
      <c r="H248">
        <v>43993</v>
      </c>
      <c r="I248" t="s">
        <v>1018</v>
      </c>
      <c r="J248" t="s">
        <v>1019</v>
      </c>
      <c r="K248" t="s">
        <v>90</v>
      </c>
      <c r="L248" t="s">
        <v>30</v>
      </c>
      <c r="M248" t="s">
        <v>22</v>
      </c>
    </row>
    <row r="249" spans="1:13" x14ac:dyDescent="0.3">
      <c r="A249" t="s">
        <v>1020</v>
      </c>
      <c r="B249" t="s">
        <v>1021</v>
      </c>
      <c r="C249" t="s">
        <v>76</v>
      </c>
      <c r="D249" t="s">
        <v>25</v>
      </c>
      <c r="E249" t="s">
        <v>26</v>
      </c>
      <c r="F249" t="s">
        <v>160</v>
      </c>
      <c r="G249">
        <v>44937</v>
      </c>
      <c r="H249">
        <v>44993</v>
      </c>
      <c r="I249" t="s">
        <v>1022</v>
      </c>
      <c r="J249" t="s">
        <v>1023</v>
      </c>
      <c r="K249" t="s">
        <v>37</v>
      </c>
      <c r="L249" t="s">
        <v>30</v>
      </c>
      <c r="M249" t="s">
        <v>22</v>
      </c>
    </row>
    <row r="250" spans="1:13" x14ac:dyDescent="0.3">
      <c r="A250" t="s">
        <v>1024</v>
      </c>
      <c r="B250" t="s">
        <v>1025</v>
      </c>
      <c r="C250" t="s">
        <v>76</v>
      </c>
      <c r="D250" t="s">
        <v>16</v>
      </c>
      <c r="E250" t="s">
        <v>17</v>
      </c>
      <c r="F250" t="s">
        <v>160</v>
      </c>
      <c r="G250">
        <v>45618</v>
      </c>
      <c r="H250">
        <v>45730</v>
      </c>
      <c r="I250" t="s">
        <v>1026</v>
      </c>
      <c r="J250" t="s">
        <v>1027</v>
      </c>
      <c r="K250" t="s">
        <v>90</v>
      </c>
      <c r="L250" t="s">
        <v>91</v>
      </c>
      <c r="M250" t="s">
        <v>22</v>
      </c>
    </row>
    <row r="251" spans="1:13" hidden="1" x14ac:dyDescent="0.3">
      <c r="A251" t="s">
        <v>1028</v>
      </c>
      <c r="B251" t="s">
        <v>1029</v>
      </c>
      <c r="C251" t="s">
        <v>87</v>
      </c>
      <c r="D251" t="s">
        <v>25</v>
      </c>
      <c r="E251" t="s">
        <v>26</v>
      </c>
      <c r="F251" t="s">
        <v>18</v>
      </c>
      <c r="G251">
        <v>44158</v>
      </c>
      <c r="H251">
        <v>44221</v>
      </c>
      <c r="I251" t="s">
        <v>1030</v>
      </c>
      <c r="J251" t="s">
        <v>1031</v>
      </c>
      <c r="K251" t="s">
        <v>21</v>
      </c>
      <c r="M251" t="s">
        <v>3735</v>
      </c>
    </row>
    <row r="252" spans="1:13" x14ac:dyDescent="0.3">
      <c r="A252" t="s">
        <v>1032</v>
      </c>
      <c r="B252" t="s">
        <v>1033</v>
      </c>
      <c r="C252" t="s">
        <v>76</v>
      </c>
      <c r="D252" t="s">
        <v>41</v>
      </c>
      <c r="E252" t="s">
        <v>17</v>
      </c>
      <c r="F252" t="s">
        <v>18</v>
      </c>
      <c r="G252">
        <v>44774</v>
      </c>
      <c r="H252">
        <v>44859</v>
      </c>
      <c r="I252" t="s">
        <v>1034</v>
      </c>
      <c r="J252" t="s">
        <v>1035</v>
      </c>
      <c r="K252" t="s">
        <v>21</v>
      </c>
      <c r="L252" t="s">
        <v>60</v>
      </c>
      <c r="M252" t="s">
        <v>22</v>
      </c>
    </row>
    <row r="253" spans="1:13" x14ac:dyDescent="0.3">
      <c r="A253" t="s">
        <v>1036</v>
      </c>
      <c r="B253" t="s">
        <v>1037</v>
      </c>
      <c r="C253" t="s">
        <v>33</v>
      </c>
      <c r="D253" t="s">
        <v>77</v>
      </c>
      <c r="E253" t="s">
        <v>52</v>
      </c>
      <c r="F253" t="s">
        <v>18</v>
      </c>
      <c r="G253">
        <v>44185</v>
      </c>
      <c r="H253">
        <v>44515</v>
      </c>
      <c r="I253" t="s">
        <v>1038</v>
      </c>
      <c r="J253" t="s">
        <v>1039</v>
      </c>
      <c r="K253" t="s">
        <v>29</v>
      </c>
      <c r="L253" t="s">
        <v>55</v>
      </c>
      <c r="M253" t="s">
        <v>22</v>
      </c>
    </row>
    <row r="254" spans="1:13" x14ac:dyDescent="0.3">
      <c r="A254" t="s">
        <v>1040</v>
      </c>
      <c r="B254" t="s">
        <v>1041</v>
      </c>
      <c r="C254" t="s">
        <v>181</v>
      </c>
      <c r="D254" t="s">
        <v>41</v>
      </c>
      <c r="E254" t="s">
        <v>17</v>
      </c>
      <c r="F254" t="s">
        <v>18</v>
      </c>
      <c r="G254">
        <v>45331</v>
      </c>
      <c r="H254">
        <v>45647</v>
      </c>
      <c r="I254" t="s">
        <v>1042</v>
      </c>
      <c r="J254" t="s">
        <v>1043</v>
      </c>
      <c r="K254" t="s">
        <v>21</v>
      </c>
      <c r="L254" t="s">
        <v>55</v>
      </c>
      <c r="M254" t="s">
        <v>22</v>
      </c>
    </row>
    <row r="255" spans="1:13" hidden="1" x14ac:dyDescent="0.3">
      <c r="A255" t="s">
        <v>1044</v>
      </c>
      <c r="B255" t="s">
        <v>1045</v>
      </c>
      <c r="C255" t="s">
        <v>15</v>
      </c>
      <c r="D255" t="s">
        <v>67</v>
      </c>
      <c r="E255" t="s">
        <v>26</v>
      </c>
      <c r="F255" t="s">
        <v>18</v>
      </c>
      <c r="G255">
        <v>43947</v>
      </c>
      <c r="H255">
        <v>43994</v>
      </c>
      <c r="I255" t="s">
        <v>1046</v>
      </c>
      <c r="J255" t="s">
        <v>1047</v>
      </c>
      <c r="K255" t="s">
        <v>90</v>
      </c>
      <c r="M255" t="s">
        <v>3735</v>
      </c>
    </row>
    <row r="256" spans="1:13" x14ac:dyDescent="0.3">
      <c r="A256" t="s">
        <v>1048</v>
      </c>
      <c r="B256" t="s">
        <v>1049</v>
      </c>
      <c r="C256" t="s">
        <v>181</v>
      </c>
      <c r="D256" t="s">
        <v>34</v>
      </c>
      <c r="E256" t="s">
        <v>26</v>
      </c>
      <c r="F256" t="s">
        <v>18</v>
      </c>
      <c r="G256">
        <v>45427</v>
      </c>
      <c r="H256">
        <v>45551</v>
      </c>
      <c r="I256" t="s">
        <v>1050</v>
      </c>
      <c r="J256" t="s">
        <v>1051</v>
      </c>
      <c r="K256" t="s">
        <v>21</v>
      </c>
      <c r="L256" t="s">
        <v>55</v>
      </c>
      <c r="M256" t="s">
        <v>22</v>
      </c>
    </row>
    <row r="257" spans="1:13" x14ac:dyDescent="0.3">
      <c r="A257" t="s">
        <v>1052</v>
      </c>
      <c r="B257" t="s">
        <v>1053</v>
      </c>
      <c r="C257" t="s">
        <v>33</v>
      </c>
      <c r="D257" t="s">
        <v>25</v>
      </c>
      <c r="E257" t="s">
        <v>26</v>
      </c>
      <c r="F257" t="s">
        <v>18</v>
      </c>
      <c r="G257">
        <v>44355</v>
      </c>
      <c r="H257">
        <v>44582</v>
      </c>
      <c r="I257" t="s">
        <v>1054</v>
      </c>
      <c r="J257" t="s">
        <v>1055</v>
      </c>
      <c r="K257" t="s">
        <v>29</v>
      </c>
      <c r="L257" t="s">
        <v>60</v>
      </c>
      <c r="M257" t="s">
        <v>22</v>
      </c>
    </row>
    <row r="258" spans="1:13" x14ac:dyDescent="0.3">
      <c r="A258" t="s">
        <v>1056</v>
      </c>
      <c r="B258" t="s">
        <v>1057</v>
      </c>
      <c r="C258" t="s">
        <v>46</v>
      </c>
      <c r="D258" t="s">
        <v>77</v>
      </c>
      <c r="E258" t="s">
        <v>52</v>
      </c>
      <c r="F258" t="s">
        <v>160</v>
      </c>
      <c r="G258">
        <v>45083</v>
      </c>
      <c r="H258">
        <v>45337</v>
      </c>
      <c r="I258" t="s">
        <v>1058</v>
      </c>
      <c r="J258" t="s">
        <v>1059</v>
      </c>
      <c r="K258" t="s">
        <v>21</v>
      </c>
      <c r="L258" t="s">
        <v>55</v>
      </c>
      <c r="M258" t="s">
        <v>22</v>
      </c>
    </row>
    <row r="259" spans="1:13" x14ac:dyDescent="0.3">
      <c r="A259" t="s">
        <v>1060</v>
      </c>
      <c r="B259" t="s">
        <v>1061</v>
      </c>
      <c r="C259" t="s">
        <v>15</v>
      </c>
      <c r="D259" t="s">
        <v>41</v>
      </c>
      <c r="E259" t="s">
        <v>17</v>
      </c>
      <c r="F259" t="s">
        <v>160</v>
      </c>
      <c r="G259">
        <v>43532</v>
      </c>
      <c r="H259">
        <v>43665</v>
      </c>
      <c r="I259" t="s">
        <v>1062</v>
      </c>
      <c r="J259" t="s">
        <v>140</v>
      </c>
      <c r="K259" t="s">
        <v>29</v>
      </c>
      <c r="L259" t="s">
        <v>55</v>
      </c>
      <c r="M259" t="s">
        <v>22</v>
      </c>
    </row>
    <row r="260" spans="1:13" x14ac:dyDescent="0.3">
      <c r="A260" t="s">
        <v>1063</v>
      </c>
      <c r="B260" t="s">
        <v>1064</v>
      </c>
      <c r="C260" t="s">
        <v>181</v>
      </c>
      <c r="D260" t="s">
        <v>51</v>
      </c>
      <c r="E260" t="s">
        <v>52</v>
      </c>
      <c r="F260" t="s">
        <v>160</v>
      </c>
      <c r="G260">
        <v>43779</v>
      </c>
      <c r="H260">
        <v>43817</v>
      </c>
      <c r="I260" t="s">
        <v>1065</v>
      </c>
      <c r="J260" t="s">
        <v>1066</v>
      </c>
      <c r="K260" t="s">
        <v>90</v>
      </c>
      <c r="L260" t="s">
        <v>91</v>
      </c>
      <c r="M260" t="s">
        <v>22</v>
      </c>
    </row>
    <row r="261" spans="1:13" x14ac:dyDescent="0.3">
      <c r="A261" t="s">
        <v>1067</v>
      </c>
      <c r="B261" t="s">
        <v>1068</v>
      </c>
      <c r="C261" t="s">
        <v>181</v>
      </c>
      <c r="D261" t="s">
        <v>34</v>
      </c>
      <c r="E261" t="s">
        <v>26</v>
      </c>
      <c r="F261" t="s">
        <v>18</v>
      </c>
      <c r="G261">
        <v>44553</v>
      </c>
      <c r="H261">
        <v>44658</v>
      </c>
      <c r="I261" t="s">
        <v>1069</v>
      </c>
      <c r="J261" t="s">
        <v>1070</v>
      </c>
      <c r="K261" t="s">
        <v>37</v>
      </c>
      <c r="L261" t="s">
        <v>91</v>
      </c>
      <c r="M261" t="s">
        <v>22</v>
      </c>
    </row>
    <row r="262" spans="1:13" x14ac:dyDescent="0.3">
      <c r="A262" t="s">
        <v>1071</v>
      </c>
      <c r="B262" t="s">
        <v>1072</v>
      </c>
      <c r="C262" t="s">
        <v>15</v>
      </c>
      <c r="D262" t="s">
        <v>34</v>
      </c>
      <c r="E262" t="s">
        <v>26</v>
      </c>
      <c r="F262" t="s">
        <v>18</v>
      </c>
      <c r="G262">
        <v>45323</v>
      </c>
      <c r="H262">
        <v>45360</v>
      </c>
      <c r="I262" t="s">
        <v>1073</v>
      </c>
      <c r="J262" t="s">
        <v>1074</v>
      </c>
      <c r="K262" t="s">
        <v>21</v>
      </c>
      <c r="L262" t="s">
        <v>30</v>
      </c>
      <c r="M262" t="s">
        <v>22</v>
      </c>
    </row>
    <row r="263" spans="1:13" x14ac:dyDescent="0.3">
      <c r="A263" t="s">
        <v>1075</v>
      </c>
      <c r="B263" t="s">
        <v>1076</v>
      </c>
      <c r="C263" t="s">
        <v>15</v>
      </c>
      <c r="D263" t="s">
        <v>25</v>
      </c>
      <c r="E263" t="s">
        <v>26</v>
      </c>
      <c r="F263" t="s">
        <v>18</v>
      </c>
      <c r="G263">
        <v>45024</v>
      </c>
      <c r="H263">
        <v>45184</v>
      </c>
      <c r="I263" t="s">
        <v>1077</v>
      </c>
      <c r="J263" t="s">
        <v>1078</v>
      </c>
      <c r="K263" t="s">
        <v>90</v>
      </c>
      <c r="L263" t="s">
        <v>91</v>
      </c>
      <c r="M263" t="s">
        <v>22</v>
      </c>
    </row>
    <row r="264" spans="1:13" hidden="1" x14ac:dyDescent="0.3">
      <c r="A264" t="s">
        <v>1079</v>
      </c>
      <c r="B264" t="s">
        <v>1080</v>
      </c>
      <c r="C264" t="s">
        <v>33</v>
      </c>
      <c r="D264" t="s">
        <v>34</v>
      </c>
      <c r="E264" t="s">
        <v>26</v>
      </c>
      <c r="F264" t="s">
        <v>18</v>
      </c>
      <c r="G264">
        <v>44448</v>
      </c>
      <c r="H264">
        <v>44536</v>
      </c>
      <c r="I264" t="s">
        <v>1081</v>
      </c>
      <c r="K264" t="s">
        <v>37</v>
      </c>
      <c r="L264" t="s">
        <v>60</v>
      </c>
      <c r="M264" t="s">
        <v>3735</v>
      </c>
    </row>
    <row r="265" spans="1:13" hidden="1" x14ac:dyDescent="0.3">
      <c r="A265" t="s">
        <v>1082</v>
      </c>
      <c r="B265" t="s">
        <v>1083</v>
      </c>
      <c r="C265" t="s">
        <v>76</v>
      </c>
      <c r="D265" t="s">
        <v>16</v>
      </c>
      <c r="E265" t="s">
        <v>17</v>
      </c>
      <c r="F265" t="s">
        <v>18</v>
      </c>
      <c r="G265">
        <v>43474</v>
      </c>
      <c r="H265">
        <v>43648</v>
      </c>
      <c r="I265" t="s">
        <v>1084</v>
      </c>
      <c r="J265" t="s">
        <v>1085</v>
      </c>
      <c r="K265" t="s">
        <v>29</v>
      </c>
      <c r="M265" t="s">
        <v>3735</v>
      </c>
    </row>
    <row r="266" spans="1:13" hidden="1" x14ac:dyDescent="0.3">
      <c r="A266" t="s">
        <v>1086</v>
      </c>
      <c r="B266" t="s">
        <v>1087</v>
      </c>
      <c r="C266" t="s">
        <v>87</v>
      </c>
      <c r="D266" t="s">
        <v>34</v>
      </c>
      <c r="E266" t="s">
        <v>26</v>
      </c>
      <c r="F266" t="s">
        <v>160</v>
      </c>
      <c r="G266">
        <v>45203</v>
      </c>
      <c r="H266">
        <v>45256</v>
      </c>
      <c r="I266" t="s">
        <v>1088</v>
      </c>
      <c r="J266" t="s">
        <v>1089</v>
      </c>
      <c r="K266" t="s">
        <v>21</v>
      </c>
      <c r="M266" t="s">
        <v>3735</v>
      </c>
    </row>
    <row r="267" spans="1:13" x14ac:dyDescent="0.3">
      <c r="A267" t="s">
        <v>1090</v>
      </c>
      <c r="B267" t="s">
        <v>1091</v>
      </c>
      <c r="C267" t="s">
        <v>33</v>
      </c>
      <c r="D267" t="s">
        <v>77</v>
      </c>
      <c r="E267" t="s">
        <v>52</v>
      </c>
      <c r="F267" t="s">
        <v>160</v>
      </c>
      <c r="G267">
        <v>45610</v>
      </c>
      <c r="H267">
        <v>45768</v>
      </c>
      <c r="I267" t="s">
        <v>1092</v>
      </c>
      <c r="J267" t="s">
        <v>1093</v>
      </c>
      <c r="K267" t="s">
        <v>90</v>
      </c>
      <c r="L267" t="s">
        <v>91</v>
      </c>
      <c r="M267" t="s">
        <v>22</v>
      </c>
    </row>
    <row r="268" spans="1:13" x14ac:dyDescent="0.3">
      <c r="A268" t="s">
        <v>1094</v>
      </c>
      <c r="B268" t="s">
        <v>224</v>
      </c>
      <c r="C268" t="s">
        <v>15</v>
      </c>
      <c r="D268" t="s">
        <v>25</v>
      </c>
      <c r="E268" t="s">
        <v>26</v>
      </c>
      <c r="F268" t="s">
        <v>18</v>
      </c>
      <c r="G268">
        <v>43647</v>
      </c>
      <c r="H268">
        <v>43852</v>
      </c>
      <c r="I268" t="s">
        <v>225</v>
      </c>
      <c r="J268" t="s">
        <v>1095</v>
      </c>
      <c r="K268" t="s">
        <v>37</v>
      </c>
      <c r="L268" t="s">
        <v>60</v>
      </c>
      <c r="M268" t="s">
        <v>22</v>
      </c>
    </row>
    <row r="269" spans="1:13" x14ac:dyDescent="0.3">
      <c r="A269" t="s">
        <v>1096</v>
      </c>
      <c r="B269" t="s">
        <v>1097</v>
      </c>
      <c r="C269" t="s">
        <v>76</v>
      </c>
      <c r="D269" t="s">
        <v>51</v>
      </c>
      <c r="E269" t="s">
        <v>52</v>
      </c>
      <c r="F269" t="s">
        <v>18</v>
      </c>
      <c r="G269">
        <v>44710</v>
      </c>
      <c r="H269">
        <v>45028</v>
      </c>
      <c r="I269" t="s">
        <v>1098</v>
      </c>
      <c r="J269" t="s">
        <v>1099</v>
      </c>
      <c r="K269" t="s">
        <v>29</v>
      </c>
      <c r="L269" t="s">
        <v>91</v>
      </c>
      <c r="M269" t="s">
        <v>22</v>
      </c>
    </row>
    <row r="270" spans="1:13" x14ac:dyDescent="0.3">
      <c r="A270" t="s">
        <v>1100</v>
      </c>
      <c r="B270" t="s">
        <v>1101</v>
      </c>
      <c r="C270" t="s">
        <v>181</v>
      </c>
      <c r="D270" t="s">
        <v>67</v>
      </c>
      <c r="E270" t="s">
        <v>26</v>
      </c>
      <c r="F270" t="s">
        <v>18</v>
      </c>
      <c r="G270">
        <v>45425</v>
      </c>
      <c r="H270">
        <v>45694</v>
      </c>
      <c r="I270" t="s">
        <v>1102</v>
      </c>
      <c r="J270" t="s">
        <v>1103</v>
      </c>
      <c r="K270" t="s">
        <v>37</v>
      </c>
      <c r="L270" t="s">
        <v>30</v>
      </c>
      <c r="M270" t="s">
        <v>22</v>
      </c>
    </row>
    <row r="271" spans="1:13" x14ac:dyDescent="0.3">
      <c r="A271" t="s">
        <v>1104</v>
      </c>
      <c r="B271" t="s">
        <v>1105</v>
      </c>
      <c r="C271" t="s">
        <v>15</v>
      </c>
      <c r="D271" t="s">
        <v>34</v>
      </c>
      <c r="E271" t="s">
        <v>26</v>
      </c>
      <c r="F271" t="s">
        <v>18</v>
      </c>
      <c r="G271">
        <v>44983</v>
      </c>
      <c r="H271">
        <v>45303</v>
      </c>
      <c r="I271" t="s">
        <v>1106</v>
      </c>
      <c r="J271" t="s">
        <v>1107</v>
      </c>
      <c r="K271" t="s">
        <v>90</v>
      </c>
      <c r="L271" t="s">
        <v>30</v>
      </c>
      <c r="M271" t="s">
        <v>22</v>
      </c>
    </row>
    <row r="272" spans="1:13" x14ac:dyDescent="0.3">
      <c r="A272" t="s">
        <v>1108</v>
      </c>
      <c r="B272" t="s">
        <v>1109</v>
      </c>
      <c r="C272" t="s">
        <v>15</v>
      </c>
      <c r="D272" t="s">
        <v>51</v>
      </c>
      <c r="E272" t="s">
        <v>52</v>
      </c>
      <c r="F272" t="s">
        <v>18</v>
      </c>
      <c r="G272">
        <v>45106</v>
      </c>
      <c r="H272">
        <v>45249</v>
      </c>
      <c r="I272" t="s">
        <v>1110</v>
      </c>
      <c r="J272" t="s">
        <v>1111</v>
      </c>
      <c r="K272" t="s">
        <v>37</v>
      </c>
      <c r="L272" t="s">
        <v>91</v>
      </c>
      <c r="M272" t="s">
        <v>22</v>
      </c>
    </row>
    <row r="273" spans="1:13" x14ac:dyDescent="0.3">
      <c r="A273" t="s">
        <v>1112</v>
      </c>
      <c r="B273" t="s">
        <v>1113</v>
      </c>
      <c r="C273" t="s">
        <v>33</v>
      </c>
      <c r="D273" t="s">
        <v>51</v>
      </c>
      <c r="E273" t="s">
        <v>52</v>
      </c>
      <c r="F273" t="s">
        <v>18</v>
      </c>
      <c r="G273">
        <v>43499</v>
      </c>
      <c r="H273">
        <v>43764</v>
      </c>
      <c r="I273" t="s">
        <v>1114</v>
      </c>
      <c r="J273" t="s">
        <v>1115</v>
      </c>
      <c r="K273" t="s">
        <v>90</v>
      </c>
      <c r="L273" t="s">
        <v>55</v>
      </c>
      <c r="M273" t="s">
        <v>22</v>
      </c>
    </row>
    <row r="274" spans="1:13" hidden="1" x14ac:dyDescent="0.3">
      <c r="A274" t="s">
        <v>1116</v>
      </c>
      <c r="B274" t="s">
        <v>1117</v>
      </c>
      <c r="C274" t="s">
        <v>33</v>
      </c>
      <c r="D274" t="s">
        <v>51</v>
      </c>
      <c r="E274" t="s">
        <v>52</v>
      </c>
      <c r="F274" t="s">
        <v>18</v>
      </c>
      <c r="G274">
        <v>44363</v>
      </c>
      <c r="H274">
        <v>44431</v>
      </c>
      <c r="I274" t="s">
        <v>1118</v>
      </c>
      <c r="J274" t="s">
        <v>1119</v>
      </c>
      <c r="K274" t="s">
        <v>21</v>
      </c>
      <c r="M274" t="s">
        <v>3735</v>
      </c>
    </row>
    <row r="275" spans="1:13" hidden="1" x14ac:dyDescent="0.3">
      <c r="A275" t="s">
        <v>1120</v>
      </c>
      <c r="B275" t="s">
        <v>1121</v>
      </c>
      <c r="C275" t="s">
        <v>46</v>
      </c>
      <c r="D275" t="s">
        <v>41</v>
      </c>
      <c r="E275" t="s">
        <v>17</v>
      </c>
      <c r="F275" t="s">
        <v>160</v>
      </c>
      <c r="G275">
        <v>44945</v>
      </c>
      <c r="I275" t="s">
        <v>1122</v>
      </c>
      <c r="J275" t="s">
        <v>1123</v>
      </c>
      <c r="K275" t="s">
        <v>21</v>
      </c>
      <c r="L275" t="s">
        <v>30</v>
      </c>
      <c r="M275" t="s">
        <v>3735</v>
      </c>
    </row>
    <row r="276" spans="1:13" x14ac:dyDescent="0.3">
      <c r="A276" t="s">
        <v>1124</v>
      </c>
      <c r="B276" t="s">
        <v>1125</v>
      </c>
      <c r="C276" t="s">
        <v>87</v>
      </c>
      <c r="D276" t="s">
        <v>67</v>
      </c>
      <c r="E276" t="s">
        <v>26</v>
      </c>
      <c r="F276" t="s">
        <v>18</v>
      </c>
      <c r="G276">
        <v>44091</v>
      </c>
      <c r="H276">
        <v>44233</v>
      </c>
      <c r="I276" t="s">
        <v>1126</v>
      </c>
      <c r="J276" t="s">
        <v>1127</v>
      </c>
      <c r="K276" t="s">
        <v>90</v>
      </c>
      <c r="L276" t="s">
        <v>91</v>
      </c>
      <c r="M276" t="s">
        <v>22</v>
      </c>
    </row>
    <row r="277" spans="1:13" x14ac:dyDescent="0.3">
      <c r="A277" t="s">
        <v>1128</v>
      </c>
      <c r="B277" t="s">
        <v>1129</v>
      </c>
      <c r="C277" t="s">
        <v>181</v>
      </c>
      <c r="D277" t="s">
        <v>25</v>
      </c>
      <c r="E277" t="s">
        <v>26</v>
      </c>
      <c r="F277" t="s">
        <v>18</v>
      </c>
      <c r="G277">
        <v>45515</v>
      </c>
      <c r="H277">
        <v>45576</v>
      </c>
      <c r="I277" t="s">
        <v>1130</v>
      </c>
      <c r="J277" t="s">
        <v>1131</v>
      </c>
      <c r="K277" t="s">
        <v>29</v>
      </c>
      <c r="L277" t="s">
        <v>30</v>
      </c>
      <c r="M277" t="s">
        <v>22</v>
      </c>
    </row>
    <row r="278" spans="1:13" x14ac:dyDescent="0.3">
      <c r="A278" t="s">
        <v>1132</v>
      </c>
      <c r="B278" t="s">
        <v>1133</v>
      </c>
      <c r="C278" t="s">
        <v>76</v>
      </c>
      <c r="D278" t="s">
        <v>34</v>
      </c>
      <c r="E278" t="s">
        <v>26</v>
      </c>
      <c r="F278" t="s">
        <v>18</v>
      </c>
      <c r="G278">
        <v>44818</v>
      </c>
      <c r="H278">
        <v>44876</v>
      </c>
      <c r="I278" t="s">
        <v>1134</v>
      </c>
      <c r="J278" t="s">
        <v>1135</v>
      </c>
      <c r="K278" t="s">
        <v>21</v>
      </c>
      <c r="L278" t="s">
        <v>55</v>
      </c>
      <c r="M278" t="s">
        <v>22</v>
      </c>
    </row>
    <row r="279" spans="1:13" hidden="1" x14ac:dyDescent="0.3">
      <c r="A279" t="s">
        <v>1136</v>
      </c>
      <c r="B279" t="s">
        <v>1137</v>
      </c>
      <c r="C279" t="s">
        <v>40</v>
      </c>
      <c r="D279" t="s">
        <v>16</v>
      </c>
      <c r="E279" t="s">
        <v>17</v>
      </c>
      <c r="F279" t="s">
        <v>18</v>
      </c>
      <c r="G279">
        <v>45094</v>
      </c>
      <c r="H279">
        <v>45335</v>
      </c>
      <c r="I279" t="s">
        <v>1138</v>
      </c>
      <c r="J279" t="s">
        <v>1139</v>
      </c>
      <c r="K279" t="s">
        <v>90</v>
      </c>
      <c r="M279" t="s">
        <v>3735</v>
      </c>
    </row>
    <row r="280" spans="1:13" x14ac:dyDescent="0.3">
      <c r="A280" t="s">
        <v>1140</v>
      </c>
      <c r="B280" t="s">
        <v>1141</v>
      </c>
      <c r="C280" t="s">
        <v>33</v>
      </c>
      <c r="D280" t="s">
        <v>77</v>
      </c>
      <c r="E280" t="s">
        <v>52</v>
      </c>
      <c r="F280" t="s">
        <v>18</v>
      </c>
      <c r="G280">
        <v>44690</v>
      </c>
      <c r="H280">
        <v>44823</v>
      </c>
      <c r="I280" t="s">
        <v>1142</v>
      </c>
      <c r="J280" t="s">
        <v>1143</v>
      </c>
      <c r="K280" t="s">
        <v>21</v>
      </c>
      <c r="L280" t="s">
        <v>30</v>
      </c>
      <c r="M280" t="s">
        <v>22</v>
      </c>
    </row>
    <row r="281" spans="1:13" x14ac:dyDescent="0.3">
      <c r="A281" t="s">
        <v>1144</v>
      </c>
      <c r="B281" t="s">
        <v>1145</v>
      </c>
      <c r="C281" t="s">
        <v>15</v>
      </c>
      <c r="D281" t="s">
        <v>25</v>
      </c>
      <c r="E281" t="s">
        <v>26</v>
      </c>
      <c r="F281" t="s">
        <v>18</v>
      </c>
      <c r="G281">
        <v>44964</v>
      </c>
      <c r="H281">
        <v>45175</v>
      </c>
      <c r="I281" t="s">
        <v>1146</v>
      </c>
      <c r="J281" t="s">
        <v>1147</v>
      </c>
      <c r="K281" t="s">
        <v>29</v>
      </c>
      <c r="L281" t="s">
        <v>60</v>
      </c>
      <c r="M281" t="s">
        <v>22</v>
      </c>
    </row>
    <row r="282" spans="1:13" x14ac:dyDescent="0.3">
      <c r="A282" t="s">
        <v>1148</v>
      </c>
      <c r="B282" t="s">
        <v>1149</v>
      </c>
      <c r="C282" t="s">
        <v>87</v>
      </c>
      <c r="D282" t="s">
        <v>16</v>
      </c>
      <c r="E282" t="s">
        <v>17</v>
      </c>
      <c r="F282" t="s">
        <v>18</v>
      </c>
      <c r="G282">
        <v>43598</v>
      </c>
      <c r="H282">
        <v>43828</v>
      </c>
      <c r="I282" t="s">
        <v>1150</v>
      </c>
      <c r="J282" t="s">
        <v>1151</v>
      </c>
      <c r="K282" t="s">
        <v>90</v>
      </c>
      <c r="L282" t="s">
        <v>30</v>
      </c>
      <c r="M282" t="s">
        <v>22</v>
      </c>
    </row>
    <row r="283" spans="1:13" x14ac:dyDescent="0.3">
      <c r="A283" t="s">
        <v>1152</v>
      </c>
      <c r="B283" t="s">
        <v>1153</v>
      </c>
      <c r="C283" t="s">
        <v>15</v>
      </c>
      <c r="D283" t="s">
        <v>51</v>
      </c>
      <c r="E283" t="s">
        <v>52</v>
      </c>
      <c r="F283" t="s">
        <v>18</v>
      </c>
      <c r="G283">
        <v>45504</v>
      </c>
      <c r="H283">
        <v>45759</v>
      </c>
      <c r="I283" t="s">
        <v>1154</v>
      </c>
      <c r="J283" t="s">
        <v>1155</v>
      </c>
      <c r="K283" t="s">
        <v>21</v>
      </c>
      <c r="L283" t="s">
        <v>55</v>
      </c>
      <c r="M283" t="s">
        <v>22</v>
      </c>
    </row>
    <row r="284" spans="1:13" x14ac:dyDescent="0.3">
      <c r="A284" t="s">
        <v>1156</v>
      </c>
      <c r="B284" t="s">
        <v>1157</v>
      </c>
      <c r="C284" t="s">
        <v>181</v>
      </c>
      <c r="D284" t="s">
        <v>77</v>
      </c>
      <c r="E284" t="s">
        <v>52</v>
      </c>
      <c r="F284" t="s">
        <v>18</v>
      </c>
      <c r="G284">
        <v>44365</v>
      </c>
      <c r="H284">
        <v>44715</v>
      </c>
      <c r="I284" t="s">
        <v>1158</v>
      </c>
      <c r="J284" t="s">
        <v>1159</v>
      </c>
      <c r="K284" t="s">
        <v>37</v>
      </c>
      <c r="L284" t="s">
        <v>60</v>
      </c>
      <c r="M284" t="s">
        <v>22</v>
      </c>
    </row>
    <row r="285" spans="1:13" x14ac:dyDescent="0.3">
      <c r="A285" t="s">
        <v>1160</v>
      </c>
      <c r="B285" t="s">
        <v>1161</v>
      </c>
      <c r="C285" t="s">
        <v>15</v>
      </c>
      <c r="D285" t="s">
        <v>34</v>
      </c>
      <c r="E285" t="s">
        <v>26</v>
      </c>
      <c r="F285" t="s">
        <v>151</v>
      </c>
      <c r="G285">
        <v>44081</v>
      </c>
      <c r="H285">
        <v>44251</v>
      </c>
      <c r="I285" t="s">
        <v>1162</v>
      </c>
      <c r="J285" t="s">
        <v>1163</v>
      </c>
      <c r="K285" t="s">
        <v>29</v>
      </c>
      <c r="L285" t="s">
        <v>116</v>
      </c>
      <c r="M285" t="s">
        <v>22</v>
      </c>
    </row>
    <row r="286" spans="1:13" x14ac:dyDescent="0.3">
      <c r="A286" t="s">
        <v>1164</v>
      </c>
      <c r="B286" t="s">
        <v>1165</v>
      </c>
      <c r="C286" t="s">
        <v>15</v>
      </c>
      <c r="D286" t="s">
        <v>77</v>
      </c>
      <c r="E286" t="s">
        <v>52</v>
      </c>
      <c r="F286" t="s">
        <v>18</v>
      </c>
      <c r="G286">
        <v>45229</v>
      </c>
      <c r="H286">
        <v>45378</v>
      </c>
      <c r="I286" t="s">
        <v>1166</v>
      </c>
      <c r="J286" t="s">
        <v>956</v>
      </c>
      <c r="K286" t="s">
        <v>90</v>
      </c>
      <c r="L286" t="s">
        <v>91</v>
      </c>
      <c r="M286" t="s">
        <v>22</v>
      </c>
    </row>
    <row r="287" spans="1:13" hidden="1" x14ac:dyDescent="0.3">
      <c r="A287" t="s">
        <v>1167</v>
      </c>
      <c r="B287" t="s">
        <v>1168</v>
      </c>
      <c r="C287" t="s">
        <v>15</v>
      </c>
      <c r="D287" t="s">
        <v>77</v>
      </c>
      <c r="E287" t="s">
        <v>52</v>
      </c>
      <c r="F287" t="s">
        <v>18</v>
      </c>
      <c r="G287">
        <v>45534</v>
      </c>
      <c r="H287">
        <v>45621</v>
      </c>
      <c r="I287" t="s">
        <v>1169</v>
      </c>
      <c r="J287" t="s">
        <v>1170</v>
      </c>
      <c r="K287" t="s">
        <v>29</v>
      </c>
      <c r="M287" t="s">
        <v>3735</v>
      </c>
    </row>
    <row r="288" spans="1:13" x14ac:dyDescent="0.3">
      <c r="A288" t="s">
        <v>1171</v>
      </c>
      <c r="B288" t="s">
        <v>1172</v>
      </c>
      <c r="C288" t="s">
        <v>15</v>
      </c>
      <c r="D288" t="s">
        <v>25</v>
      </c>
      <c r="E288" t="s">
        <v>26</v>
      </c>
      <c r="F288" t="s">
        <v>18</v>
      </c>
      <c r="G288">
        <v>43756</v>
      </c>
      <c r="H288">
        <v>43910</v>
      </c>
      <c r="I288" t="s">
        <v>1173</v>
      </c>
      <c r="J288" t="s">
        <v>1174</v>
      </c>
      <c r="K288" t="s">
        <v>21</v>
      </c>
      <c r="L288" t="s">
        <v>91</v>
      </c>
      <c r="M288" t="s">
        <v>22</v>
      </c>
    </row>
    <row r="289" spans="1:13" x14ac:dyDescent="0.3">
      <c r="A289" t="s">
        <v>1175</v>
      </c>
      <c r="B289" t="s">
        <v>1176</v>
      </c>
      <c r="C289" t="s">
        <v>87</v>
      </c>
      <c r="D289" t="s">
        <v>25</v>
      </c>
      <c r="E289" t="s">
        <v>26</v>
      </c>
      <c r="F289" t="s">
        <v>18</v>
      </c>
      <c r="G289">
        <v>43803</v>
      </c>
      <c r="H289">
        <v>43953</v>
      </c>
      <c r="I289" t="s">
        <v>1177</v>
      </c>
      <c r="J289" t="s">
        <v>1178</v>
      </c>
      <c r="K289" t="s">
        <v>90</v>
      </c>
      <c r="L289" t="s">
        <v>116</v>
      </c>
      <c r="M289" t="s">
        <v>22</v>
      </c>
    </row>
    <row r="290" spans="1:13" x14ac:dyDescent="0.3">
      <c r="A290" t="s">
        <v>1179</v>
      </c>
      <c r="B290" t="s">
        <v>1180</v>
      </c>
      <c r="C290" t="s">
        <v>40</v>
      </c>
      <c r="D290" t="s">
        <v>51</v>
      </c>
      <c r="E290" t="s">
        <v>52</v>
      </c>
      <c r="F290" t="s">
        <v>160</v>
      </c>
      <c r="G290">
        <v>45412</v>
      </c>
      <c r="H290">
        <v>45722</v>
      </c>
      <c r="I290" t="s">
        <v>1181</v>
      </c>
      <c r="J290" t="s">
        <v>1182</v>
      </c>
      <c r="K290" t="s">
        <v>21</v>
      </c>
      <c r="L290" t="s">
        <v>30</v>
      </c>
      <c r="M290" t="s">
        <v>22</v>
      </c>
    </row>
    <row r="291" spans="1:13" x14ac:dyDescent="0.3">
      <c r="A291" t="s">
        <v>1183</v>
      </c>
      <c r="B291" t="s">
        <v>1184</v>
      </c>
      <c r="C291" t="s">
        <v>87</v>
      </c>
      <c r="D291" t="s">
        <v>25</v>
      </c>
      <c r="E291" t="s">
        <v>26</v>
      </c>
      <c r="F291" t="s">
        <v>18</v>
      </c>
      <c r="G291">
        <v>45201</v>
      </c>
      <c r="H291">
        <v>45444</v>
      </c>
      <c r="I291" t="s">
        <v>1185</v>
      </c>
      <c r="J291" t="s">
        <v>1186</v>
      </c>
      <c r="K291" t="s">
        <v>37</v>
      </c>
      <c r="L291" t="s">
        <v>116</v>
      </c>
      <c r="M291" t="s">
        <v>22</v>
      </c>
    </row>
    <row r="292" spans="1:13" x14ac:dyDescent="0.3">
      <c r="A292" t="s">
        <v>1187</v>
      </c>
      <c r="B292" t="s">
        <v>1188</v>
      </c>
      <c r="C292" t="s">
        <v>15</v>
      </c>
      <c r="D292" t="s">
        <v>77</v>
      </c>
      <c r="E292" t="s">
        <v>52</v>
      </c>
      <c r="F292" t="s">
        <v>18</v>
      </c>
      <c r="G292">
        <v>44492</v>
      </c>
      <c r="H292">
        <v>44742</v>
      </c>
      <c r="I292" t="s">
        <v>1189</v>
      </c>
      <c r="J292" t="s">
        <v>1190</v>
      </c>
      <c r="K292" t="s">
        <v>37</v>
      </c>
      <c r="L292" t="s">
        <v>60</v>
      </c>
      <c r="M292" t="s">
        <v>22</v>
      </c>
    </row>
    <row r="293" spans="1:13" x14ac:dyDescent="0.3">
      <c r="A293" t="s">
        <v>1191</v>
      </c>
      <c r="B293" t="s">
        <v>1192</v>
      </c>
      <c r="C293" t="s">
        <v>76</v>
      </c>
      <c r="D293" t="s">
        <v>51</v>
      </c>
      <c r="E293" t="s">
        <v>52</v>
      </c>
      <c r="F293" t="s">
        <v>18</v>
      </c>
      <c r="G293">
        <v>43991</v>
      </c>
      <c r="H293">
        <v>44147</v>
      </c>
      <c r="I293" t="s">
        <v>1193</v>
      </c>
      <c r="J293" t="s">
        <v>1194</v>
      </c>
      <c r="K293" t="s">
        <v>29</v>
      </c>
      <c r="L293" t="s">
        <v>116</v>
      </c>
      <c r="M293" t="s">
        <v>22</v>
      </c>
    </row>
    <row r="294" spans="1:13" hidden="1" x14ac:dyDescent="0.3">
      <c r="A294" t="s">
        <v>1195</v>
      </c>
      <c r="B294" t="s">
        <v>1196</v>
      </c>
      <c r="C294" t="s">
        <v>181</v>
      </c>
      <c r="D294" t="s">
        <v>16</v>
      </c>
      <c r="E294" t="s">
        <v>17</v>
      </c>
      <c r="F294" t="s">
        <v>18</v>
      </c>
      <c r="G294">
        <v>45647</v>
      </c>
      <c r="H294">
        <v>45840</v>
      </c>
      <c r="I294" t="s">
        <v>1197</v>
      </c>
      <c r="J294" t="s">
        <v>1198</v>
      </c>
      <c r="K294" t="s">
        <v>21</v>
      </c>
      <c r="M294" t="s">
        <v>3735</v>
      </c>
    </row>
    <row r="295" spans="1:13" x14ac:dyDescent="0.3">
      <c r="A295" t="s">
        <v>1199</v>
      </c>
      <c r="B295" t="s">
        <v>1200</v>
      </c>
      <c r="C295" t="s">
        <v>15</v>
      </c>
      <c r="D295" t="s">
        <v>16</v>
      </c>
      <c r="E295" t="s">
        <v>17</v>
      </c>
      <c r="F295" t="s">
        <v>18</v>
      </c>
      <c r="G295">
        <v>44775</v>
      </c>
      <c r="H295">
        <v>45123</v>
      </c>
      <c r="I295" t="s">
        <v>1201</v>
      </c>
      <c r="J295" t="s">
        <v>1202</v>
      </c>
      <c r="K295" t="s">
        <v>21</v>
      </c>
      <c r="L295" t="s">
        <v>116</v>
      </c>
      <c r="M295" t="s">
        <v>22</v>
      </c>
    </row>
    <row r="296" spans="1:13" x14ac:dyDescent="0.3">
      <c r="A296" t="s">
        <v>1203</v>
      </c>
      <c r="B296" t="s">
        <v>1072</v>
      </c>
      <c r="C296" t="s">
        <v>87</v>
      </c>
      <c r="D296" t="s">
        <v>67</v>
      </c>
      <c r="E296" t="s">
        <v>26</v>
      </c>
      <c r="F296" t="s">
        <v>18</v>
      </c>
      <c r="G296">
        <v>45650</v>
      </c>
      <c r="H296">
        <v>45954</v>
      </c>
      <c r="I296" t="s">
        <v>1204</v>
      </c>
      <c r="J296" t="s">
        <v>1205</v>
      </c>
      <c r="K296" t="s">
        <v>29</v>
      </c>
      <c r="L296" t="s">
        <v>116</v>
      </c>
      <c r="M296" t="s">
        <v>22</v>
      </c>
    </row>
    <row r="297" spans="1:13" x14ac:dyDescent="0.3">
      <c r="A297" t="s">
        <v>1206</v>
      </c>
      <c r="B297" t="s">
        <v>1207</v>
      </c>
      <c r="C297" t="s">
        <v>87</v>
      </c>
      <c r="D297" t="s">
        <v>51</v>
      </c>
      <c r="E297" t="s">
        <v>52</v>
      </c>
      <c r="F297" t="s">
        <v>18</v>
      </c>
      <c r="G297">
        <v>45306</v>
      </c>
      <c r="H297">
        <v>45314</v>
      </c>
      <c r="I297" t="s">
        <v>1208</v>
      </c>
      <c r="J297" t="s">
        <v>1209</v>
      </c>
      <c r="K297" t="s">
        <v>90</v>
      </c>
      <c r="L297" t="s">
        <v>116</v>
      </c>
      <c r="M297" t="s">
        <v>22</v>
      </c>
    </row>
    <row r="298" spans="1:13" x14ac:dyDescent="0.3">
      <c r="A298" t="s">
        <v>1210</v>
      </c>
      <c r="B298" t="s">
        <v>1211</v>
      </c>
      <c r="C298" t="s">
        <v>46</v>
      </c>
      <c r="D298" t="s">
        <v>67</v>
      </c>
      <c r="E298" t="s">
        <v>26</v>
      </c>
      <c r="F298" t="s">
        <v>18</v>
      </c>
      <c r="G298">
        <v>44414</v>
      </c>
      <c r="H298">
        <v>44728</v>
      </c>
      <c r="I298" t="s">
        <v>1212</v>
      </c>
      <c r="J298" t="s">
        <v>1213</v>
      </c>
      <c r="K298" t="s">
        <v>29</v>
      </c>
      <c r="L298" t="s">
        <v>55</v>
      </c>
      <c r="M298" t="s">
        <v>22</v>
      </c>
    </row>
    <row r="299" spans="1:13" x14ac:dyDescent="0.3">
      <c r="A299" t="s">
        <v>1214</v>
      </c>
      <c r="B299" t="s">
        <v>1215</v>
      </c>
      <c r="C299" t="s">
        <v>46</v>
      </c>
      <c r="D299" t="s">
        <v>25</v>
      </c>
      <c r="E299" t="s">
        <v>26</v>
      </c>
      <c r="F299" t="s">
        <v>18</v>
      </c>
      <c r="G299">
        <v>45619</v>
      </c>
      <c r="H299">
        <v>45841</v>
      </c>
      <c r="I299" t="s">
        <v>1216</v>
      </c>
      <c r="J299" t="s">
        <v>1217</v>
      </c>
      <c r="K299" t="s">
        <v>90</v>
      </c>
      <c r="L299" t="s">
        <v>55</v>
      </c>
      <c r="M299" t="s">
        <v>22</v>
      </c>
    </row>
    <row r="300" spans="1:13" x14ac:dyDescent="0.3">
      <c r="A300" t="s">
        <v>1218</v>
      </c>
      <c r="B300" t="s">
        <v>1219</v>
      </c>
      <c r="C300" t="s">
        <v>15</v>
      </c>
      <c r="D300" t="s">
        <v>25</v>
      </c>
      <c r="E300" t="s">
        <v>26</v>
      </c>
      <c r="F300" t="s">
        <v>160</v>
      </c>
      <c r="G300">
        <v>44431</v>
      </c>
      <c r="H300">
        <v>44715</v>
      </c>
      <c r="I300" t="s">
        <v>1220</v>
      </c>
      <c r="J300" t="s">
        <v>1221</v>
      </c>
      <c r="K300" t="s">
        <v>37</v>
      </c>
      <c r="L300" t="s">
        <v>55</v>
      </c>
      <c r="M300" t="s">
        <v>22</v>
      </c>
    </row>
    <row r="301" spans="1:13" x14ac:dyDescent="0.3">
      <c r="A301" t="s">
        <v>1222</v>
      </c>
      <c r="B301" t="s">
        <v>1223</v>
      </c>
      <c r="C301" t="s">
        <v>40</v>
      </c>
      <c r="D301" t="s">
        <v>34</v>
      </c>
      <c r="E301" t="s">
        <v>26</v>
      </c>
      <c r="F301" t="s">
        <v>18</v>
      </c>
      <c r="G301">
        <v>45394</v>
      </c>
      <c r="H301">
        <v>45669</v>
      </c>
      <c r="I301" t="s">
        <v>1224</v>
      </c>
      <c r="J301" t="s">
        <v>1225</v>
      </c>
      <c r="K301" t="s">
        <v>90</v>
      </c>
      <c r="L301" t="s">
        <v>91</v>
      </c>
      <c r="M301" t="s">
        <v>22</v>
      </c>
    </row>
    <row r="302" spans="1:13" x14ac:dyDescent="0.3">
      <c r="A302" t="s">
        <v>1226</v>
      </c>
      <c r="B302" t="s">
        <v>1227</v>
      </c>
      <c r="C302" t="s">
        <v>15</v>
      </c>
      <c r="D302" t="s">
        <v>41</v>
      </c>
      <c r="E302" t="s">
        <v>17</v>
      </c>
      <c r="F302" t="s">
        <v>160</v>
      </c>
      <c r="G302">
        <v>44470</v>
      </c>
      <c r="H302">
        <v>44547</v>
      </c>
      <c r="I302" t="s">
        <v>1228</v>
      </c>
      <c r="J302" t="s">
        <v>1229</v>
      </c>
      <c r="K302" t="s">
        <v>90</v>
      </c>
      <c r="L302" t="s">
        <v>55</v>
      </c>
      <c r="M302" t="s">
        <v>22</v>
      </c>
    </row>
    <row r="303" spans="1:13" x14ac:dyDescent="0.3">
      <c r="A303" t="s">
        <v>1230</v>
      </c>
      <c r="B303" t="s">
        <v>1231</v>
      </c>
      <c r="C303" t="s">
        <v>33</v>
      </c>
      <c r="D303" t="s">
        <v>77</v>
      </c>
      <c r="E303" t="s">
        <v>52</v>
      </c>
      <c r="F303" t="s">
        <v>18</v>
      </c>
      <c r="G303">
        <v>45637</v>
      </c>
      <c r="H303">
        <v>45917</v>
      </c>
      <c r="I303" t="s">
        <v>1232</v>
      </c>
      <c r="J303" t="s">
        <v>1233</v>
      </c>
      <c r="K303" t="s">
        <v>29</v>
      </c>
      <c r="L303" t="s">
        <v>91</v>
      </c>
      <c r="M303" t="s">
        <v>22</v>
      </c>
    </row>
    <row r="304" spans="1:13" hidden="1" x14ac:dyDescent="0.3">
      <c r="A304" t="s">
        <v>1234</v>
      </c>
      <c r="B304" t="s">
        <v>3721</v>
      </c>
      <c r="C304" t="s">
        <v>33</v>
      </c>
      <c r="D304" t="s">
        <v>67</v>
      </c>
      <c r="E304" t="s">
        <v>26</v>
      </c>
      <c r="F304" t="s">
        <v>18</v>
      </c>
      <c r="G304">
        <v>44548</v>
      </c>
      <c r="H304">
        <v>44860</v>
      </c>
      <c r="I304" t="s">
        <v>1235</v>
      </c>
      <c r="J304" t="s">
        <v>1236</v>
      </c>
      <c r="K304" t="s">
        <v>37</v>
      </c>
      <c r="L304" t="s">
        <v>116</v>
      </c>
      <c r="M304" t="s">
        <v>3735</v>
      </c>
    </row>
    <row r="305" spans="1:13" x14ac:dyDescent="0.3">
      <c r="A305" t="s">
        <v>1237</v>
      </c>
      <c r="B305" t="s">
        <v>1238</v>
      </c>
      <c r="C305" t="s">
        <v>46</v>
      </c>
      <c r="D305" t="s">
        <v>51</v>
      </c>
      <c r="E305" t="s">
        <v>52</v>
      </c>
      <c r="F305" t="s">
        <v>18</v>
      </c>
      <c r="G305">
        <v>44482</v>
      </c>
      <c r="H305">
        <v>44542</v>
      </c>
      <c r="I305" t="s">
        <v>1239</v>
      </c>
      <c r="J305" t="s">
        <v>1240</v>
      </c>
      <c r="K305" t="s">
        <v>37</v>
      </c>
      <c r="L305" t="s">
        <v>91</v>
      </c>
      <c r="M305" t="s">
        <v>22</v>
      </c>
    </row>
    <row r="306" spans="1:13" x14ac:dyDescent="0.3">
      <c r="A306" t="s">
        <v>1241</v>
      </c>
      <c r="B306" t="s">
        <v>1242</v>
      </c>
      <c r="C306" t="s">
        <v>46</v>
      </c>
      <c r="D306" t="s">
        <v>34</v>
      </c>
      <c r="E306" t="s">
        <v>26</v>
      </c>
      <c r="F306" t="s">
        <v>18</v>
      </c>
      <c r="G306">
        <v>44789</v>
      </c>
      <c r="H306">
        <v>45110</v>
      </c>
      <c r="I306" t="s">
        <v>1243</v>
      </c>
      <c r="J306" t="s">
        <v>1244</v>
      </c>
      <c r="K306" t="s">
        <v>21</v>
      </c>
      <c r="L306" t="s">
        <v>60</v>
      </c>
      <c r="M306" t="s">
        <v>22</v>
      </c>
    </row>
    <row r="307" spans="1:13" hidden="1" x14ac:dyDescent="0.3">
      <c r="A307" t="s">
        <v>1245</v>
      </c>
      <c r="B307" t="s">
        <v>1246</v>
      </c>
      <c r="C307" t="s">
        <v>87</v>
      </c>
      <c r="D307" t="s">
        <v>41</v>
      </c>
      <c r="E307" t="s">
        <v>17</v>
      </c>
      <c r="F307" t="s">
        <v>160</v>
      </c>
      <c r="G307">
        <v>44009</v>
      </c>
      <c r="H307">
        <v>44136</v>
      </c>
      <c r="I307" t="s">
        <v>1247</v>
      </c>
      <c r="J307" t="s">
        <v>1248</v>
      </c>
      <c r="K307" t="s">
        <v>37</v>
      </c>
      <c r="M307" t="s">
        <v>3735</v>
      </c>
    </row>
    <row r="308" spans="1:13" x14ac:dyDescent="0.3">
      <c r="A308" t="s">
        <v>1249</v>
      </c>
      <c r="B308" t="s">
        <v>1250</v>
      </c>
      <c r="C308" t="s">
        <v>40</v>
      </c>
      <c r="D308" t="s">
        <v>67</v>
      </c>
      <c r="E308" t="s">
        <v>26</v>
      </c>
      <c r="F308" t="s">
        <v>18</v>
      </c>
      <c r="G308">
        <v>44407</v>
      </c>
      <c r="H308">
        <v>44600</v>
      </c>
      <c r="I308" t="s">
        <v>1251</v>
      </c>
      <c r="J308" t="s">
        <v>1252</v>
      </c>
      <c r="K308" t="s">
        <v>90</v>
      </c>
      <c r="L308" t="s">
        <v>60</v>
      </c>
      <c r="M308" t="s">
        <v>22</v>
      </c>
    </row>
    <row r="309" spans="1:13" x14ac:dyDescent="0.3">
      <c r="A309" t="s">
        <v>1253</v>
      </c>
      <c r="B309" t="s">
        <v>1254</v>
      </c>
      <c r="C309" t="s">
        <v>181</v>
      </c>
      <c r="D309" t="s">
        <v>67</v>
      </c>
      <c r="E309" t="s">
        <v>26</v>
      </c>
      <c r="F309" t="s">
        <v>18</v>
      </c>
      <c r="G309">
        <v>44852</v>
      </c>
      <c r="H309">
        <v>45133</v>
      </c>
      <c r="I309" t="s">
        <v>1255</v>
      </c>
      <c r="J309" t="s">
        <v>1256</v>
      </c>
      <c r="K309" t="s">
        <v>37</v>
      </c>
      <c r="L309" t="s">
        <v>30</v>
      </c>
      <c r="M309" t="s">
        <v>22</v>
      </c>
    </row>
    <row r="310" spans="1:13" hidden="1" x14ac:dyDescent="0.3">
      <c r="A310" t="s">
        <v>1257</v>
      </c>
      <c r="B310" t="s">
        <v>723</v>
      </c>
      <c r="C310" t="s">
        <v>15</v>
      </c>
      <c r="D310" t="s">
        <v>67</v>
      </c>
      <c r="E310" t="s">
        <v>26</v>
      </c>
      <c r="F310" t="s">
        <v>160</v>
      </c>
      <c r="G310">
        <v>45355</v>
      </c>
      <c r="H310">
        <v>45685</v>
      </c>
      <c r="I310" t="s">
        <v>1258</v>
      </c>
      <c r="J310" t="s">
        <v>1259</v>
      </c>
      <c r="K310" t="s">
        <v>29</v>
      </c>
      <c r="M310" t="s">
        <v>3735</v>
      </c>
    </row>
    <row r="311" spans="1:13" x14ac:dyDescent="0.3">
      <c r="A311" t="s">
        <v>1260</v>
      </c>
      <c r="B311" t="s">
        <v>1261</v>
      </c>
      <c r="C311" t="s">
        <v>46</v>
      </c>
      <c r="D311" t="s">
        <v>34</v>
      </c>
      <c r="E311" t="s">
        <v>26</v>
      </c>
      <c r="F311" t="s">
        <v>18</v>
      </c>
      <c r="G311">
        <v>45395</v>
      </c>
      <c r="H311">
        <v>45432</v>
      </c>
      <c r="I311" t="s">
        <v>1262</v>
      </c>
      <c r="J311" t="s">
        <v>1263</v>
      </c>
      <c r="K311" t="s">
        <v>90</v>
      </c>
      <c r="L311" t="s">
        <v>116</v>
      </c>
      <c r="M311" t="s">
        <v>22</v>
      </c>
    </row>
    <row r="312" spans="1:13" x14ac:dyDescent="0.3">
      <c r="A312" t="s">
        <v>1264</v>
      </c>
      <c r="B312" t="s">
        <v>1265</v>
      </c>
      <c r="C312" t="s">
        <v>181</v>
      </c>
      <c r="D312" t="s">
        <v>41</v>
      </c>
      <c r="E312" t="s">
        <v>17</v>
      </c>
      <c r="F312" t="s">
        <v>18</v>
      </c>
      <c r="G312">
        <v>44384</v>
      </c>
      <c r="H312">
        <v>44439</v>
      </c>
      <c r="I312" t="s">
        <v>1266</v>
      </c>
      <c r="J312" t="s">
        <v>1267</v>
      </c>
      <c r="K312" t="s">
        <v>90</v>
      </c>
      <c r="L312" t="s">
        <v>116</v>
      </c>
      <c r="M312" t="s">
        <v>22</v>
      </c>
    </row>
    <row r="313" spans="1:13" x14ac:dyDescent="0.3">
      <c r="A313" t="s">
        <v>1268</v>
      </c>
      <c r="B313" t="s">
        <v>1269</v>
      </c>
      <c r="C313" t="s">
        <v>181</v>
      </c>
      <c r="D313" t="s">
        <v>51</v>
      </c>
      <c r="E313" t="s">
        <v>52</v>
      </c>
      <c r="F313" t="s">
        <v>18</v>
      </c>
      <c r="G313">
        <v>44807</v>
      </c>
      <c r="H313">
        <v>44951</v>
      </c>
      <c r="I313" t="s">
        <v>1270</v>
      </c>
      <c r="J313" t="s">
        <v>1271</v>
      </c>
      <c r="K313" t="s">
        <v>21</v>
      </c>
      <c r="L313" t="s">
        <v>116</v>
      </c>
      <c r="M313" t="s">
        <v>22</v>
      </c>
    </row>
    <row r="314" spans="1:13" x14ac:dyDescent="0.3">
      <c r="A314" t="s">
        <v>1272</v>
      </c>
      <c r="B314" t="s">
        <v>1273</v>
      </c>
      <c r="C314" t="s">
        <v>33</v>
      </c>
      <c r="D314" t="s">
        <v>16</v>
      </c>
      <c r="E314" t="s">
        <v>17</v>
      </c>
      <c r="F314" t="s">
        <v>18</v>
      </c>
      <c r="G314">
        <v>45195</v>
      </c>
      <c r="H314">
        <v>45550</v>
      </c>
      <c r="I314" t="s">
        <v>1274</v>
      </c>
      <c r="J314" t="s">
        <v>1275</v>
      </c>
      <c r="K314" t="s">
        <v>90</v>
      </c>
      <c r="L314" t="s">
        <v>55</v>
      </c>
      <c r="M314" t="s">
        <v>22</v>
      </c>
    </row>
    <row r="315" spans="1:13" hidden="1" x14ac:dyDescent="0.3">
      <c r="A315" t="s">
        <v>1276</v>
      </c>
      <c r="B315" t="s">
        <v>1277</v>
      </c>
      <c r="C315" t="s">
        <v>40</v>
      </c>
      <c r="D315" t="s">
        <v>51</v>
      </c>
      <c r="E315" t="s">
        <v>52</v>
      </c>
      <c r="F315" t="s">
        <v>18</v>
      </c>
      <c r="G315">
        <v>43689</v>
      </c>
      <c r="H315">
        <v>44042</v>
      </c>
      <c r="I315" t="s">
        <v>1278</v>
      </c>
      <c r="J315" t="s">
        <v>1279</v>
      </c>
      <c r="K315" t="s">
        <v>21</v>
      </c>
      <c r="M315" t="s">
        <v>3735</v>
      </c>
    </row>
    <row r="316" spans="1:13" x14ac:dyDescent="0.3">
      <c r="A316" t="s">
        <v>1280</v>
      </c>
      <c r="B316" t="s">
        <v>1281</v>
      </c>
      <c r="C316" t="s">
        <v>181</v>
      </c>
      <c r="D316" t="s">
        <v>77</v>
      </c>
      <c r="E316" t="s">
        <v>52</v>
      </c>
      <c r="F316" t="s">
        <v>18</v>
      </c>
      <c r="G316">
        <v>45396</v>
      </c>
      <c r="H316">
        <v>45712</v>
      </c>
      <c r="I316" t="s">
        <v>1282</v>
      </c>
      <c r="J316" t="s">
        <v>1283</v>
      </c>
      <c r="K316" t="s">
        <v>37</v>
      </c>
      <c r="L316" t="s">
        <v>60</v>
      </c>
      <c r="M316" t="s">
        <v>22</v>
      </c>
    </row>
    <row r="317" spans="1:13" x14ac:dyDescent="0.3">
      <c r="A317" t="s">
        <v>1284</v>
      </c>
      <c r="B317" t="s">
        <v>1285</v>
      </c>
      <c r="C317" t="s">
        <v>76</v>
      </c>
      <c r="D317" t="s">
        <v>34</v>
      </c>
      <c r="E317" t="s">
        <v>26</v>
      </c>
      <c r="F317" t="s">
        <v>18</v>
      </c>
      <c r="G317">
        <v>44380</v>
      </c>
      <c r="H317">
        <v>44451</v>
      </c>
      <c r="I317" t="s">
        <v>1286</v>
      </c>
      <c r="J317" t="s">
        <v>1287</v>
      </c>
      <c r="K317" t="s">
        <v>90</v>
      </c>
      <c r="L317" t="s">
        <v>91</v>
      </c>
      <c r="M317" t="s">
        <v>22</v>
      </c>
    </row>
    <row r="318" spans="1:13" hidden="1" x14ac:dyDescent="0.3">
      <c r="A318" t="s">
        <v>1288</v>
      </c>
      <c r="B318" t="s">
        <v>1289</v>
      </c>
      <c r="C318" t="s">
        <v>46</v>
      </c>
      <c r="D318" t="s">
        <v>34</v>
      </c>
      <c r="E318" t="s">
        <v>26</v>
      </c>
      <c r="F318" t="s">
        <v>18</v>
      </c>
      <c r="G318">
        <v>43891</v>
      </c>
      <c r="H318">
        <v>43912</v>
      </c>
      <c r="I318" t="s">
        <v>1290</v>
      </c>
      <c r="J318" t="s">
        <v>1291</v>
      </c>
      <c r="K318" t="s">
        <v>37</v>
      </c>
      <c r="M318" t="s">
        <v>3735</v>
      </c>
    </row>
    <row r="319" spans="1:13" x14ac:dyDescent="0.3">
      <c r="A319" t="s">
        <v>1292</v>
      </c>
      <c r="B319" t="s">
        <v>1293</v>
      </c>
      <c r="C319" t="s">
        <v>46</v>
      </c>
      <c r="D319" t="s">
        <v>67</v>
      </c>
      <c r="E319" t="s">
        <v>26</v>
      </c>
      <c r="F319" t="s">
        <v>18</v>
      </c>
      <c r="G319">
        <v>44280</v>
      </c>
      <c r="H319">
        <v>44626</v>
      </c>
      <c r="I319" t="s">
        <v>1294</v>
      </c>
      <c r="J319" t="s">
        <v>1295</v>
      </c>
      <c r="K319" t="s">
        <v>90</v>
      </c>
      <c r="L319" t="s">
        <v>116</v>
      </c>
      <c r="M319" t="s">
        <v>22</v>
      </c>
    </row>
    <row r="320" spans="1:13" hidden="1" x14ac:dyDescent="0.3">
      <c r="A320" t="s">
        <v>1296</v>
      </c>
      <c r="B320" t="s">
        <v>1297</v>
      </c>
      <c r="C320" t="s">
        <v>33</v>
      </c>
      <c r="D320" t="s">
        <v>41</v>
      </c>
      <c r="E320" t="s">
        <v>17</v>
      </c>
      <c r="F320" t="s">
        <v>160</v>
      </c>
      <c r="G320">
        <v>44333</v>
      </c>
      <c r="I320" t="s">
        <v>1298</v>
      </c>
      <c r="J320" t="s">
        <v>1299</v>
      </c>
      <c r="K320" t="s">
        <v>29</v>
      </c>
      <c r="L320" t="s">
        <v>91</v>
      </c>
      <c r="M320" t="s">
        <v>3735</v>
      </c>
    </row>
    <row r="321" spans="1:13" x14ac:dyDescent="0.3">
      <c r="A321" t="s">
        <v>1300</v>
      </c>
      <c r="B321" t="s">
        <v>1301</v>
      </c>
      <c r="C321" t="s">
        <v>40</v>
      </c>
      <c r="D321" t="s">
        <v>34</v>
      </c>
      <c r="E321" t="s">
        <v>26</v>
      </c>
      <c r="F321" t="s">
        <v>160</v>
      </c>
      <c r="G321">
        <v>44693</v>
      </c>
      <c r="H321">
        <v>44859</v>
      </c>
      <c r="I321" t="s">
        <v>1302</v>
      </c>
      <c r="J321" t="s">
        <v>1303</v>
      </c>
      <c r="K321" t="s">
        <v>90</v>
      </c>
      <c r="L321" t="s">
        <v>55</v>
      </c>
      <c r="M321" t="s">
        <v>22</v>
      </c>
    </row>
    <row r="322" spans="1:13" x14ac:dyDescent="0.3">
      <c r="A322" t="s">
        <v>1304</v>
      </c>
      <c r="B322" t="s">
        <v>1305</v>
      </c>
      <c r="C322" t="s">
        <v>33</v>
      </c>
      <c r="D322" t="s">
        <v>34</v>
      </c>
      <c r="E322" t="s">
        <v>26</v>
      </c>
      <c r="F322" t="s">
        <v>18</v>
      </c>
      <c r="G322">
        <v>45085</v>
      </c>
      <c r="H322">
        <v>45223</v>
      </c>
      <c r="I322" t="s">
        <v>1306</v>
      </c>
      <c r="J322" t="s">
        <v>1307</v>
      </c>
      <c r="K322" t="s">
        <v>21</v>
      </c>
      <c r="L322" t="s">
        <v>30</v>
      </c>
      <c r="M322" t="s">
        <v>22</v>
      </c>
    </row>
    <row r="323" spans="1:13" x14ac:dyDescent="0.3">
      <c r="A323" t="s">
        <v>1308</v>
      </c>
      <c r="B323" t="s">
        <v>1309</v>
      </c>
      <c r="C323" t="s">
        <v>33</v>
      </c>
      <c r="D323" t="s">
        <v>67</v>
      </c>
      <c r="E323" t="s">
        <v>26</v>
      </c>
      <c r="F323" t="s">
        <v>160</v>
      </c>
      <c r="G323">
        <v>45194</v>
      </c>
      <c r="H323">
        <v>45370</v>
      </c>
      <c r="I323" t="s">
        <v>1311</v>
      </c>
      <c r="J323" t="s">
        <v>1312</v>
      </c>
      <c r="K323" t="s">
        <v>37</v>
      </c>
      <c r="L323" t="s">
        <v>60</v>
      </c>
      <c r="M323" t="s">
        <v>22</v>
      </c>
    </row>
    <row r="324" spans="1:13" x14ac:dyDescent="0.3">
      <c r="A324" t="s">
        <v>1313</v>
      </c>
      <c r="B324" t="s">
        <v>1314</v>
      </c>
      <c r="C324" t="s">
        <v>15</v>
      </c>
      <c r="D324" t="s">
        <v>34</v>
      </c>
      <c r="E324" t="s">
        <v>26</v>
      </c>
      <c r="F324" t="s">
        <v>18</v>
      </c>
      <c r="G324">
        <v>44364</v>
      </c>
      <c r="H324">
        <v>44658</v>
      </c>
      <c r="I324" t="s">
        <v>1315</v>
      </c>
      <c r="J324" t="s">
        <v>1316</v>
      </c>
      <c r="K324" t="s">
        <v>37</v>
      </c>
      <c r="L324" t="s">
        <v>55</v>
      </c>
      <c r="M324" t="s">
        <v>22</v>
      </c>
    </row>
    <row r="325" spans="1:13" x14ac:dyDescent="0.3">
      <c r="A325" t="s">
        <v>1317</v>
      </c>
      <c r="B325" t="s">
        <v>252</v>
      </c>
      <c r="C325" t="s">
        <v>76</v>
      </c>
      <c r="D325" t="s">
        <v>34</v>
      </c>
      <c r="E325" t="s">
        <v>26</v>
      </c>
      <c r="F325" t="s">
        <v>18</v>
      </c>
      <c r="G325">
        <v>44995</v>
      </c>
      <c r="H325">
        <v>45124</v>
      </c>
      <c r="I325" t="s">
        <v>1318</v>
      </c>
      <c r="J325" t="s">
        <v>1319</v>
      </c>
      <c r="K325" t="s">
        <v>90</v>
      </c>
      <c r="L325" t="s">
        <v>116</v>
      </c>
      <c r="M325" t="s">
        <v>22</v>
      </c>
    </row>
    <row r="326" spans="1:13" x14ac:dyDescent="0.3">
      <c r="A326" t="s">
        <v>1320</v>
      </c>
      <c r="B326" t="s">
        <v>1321</v>
      </c>
      <c r="C326" t="s">
        <v>46</v>
      </c>
      <c r="D326" t="s">
        <v>25</v>
      </c>
      <c r="E326" t="s">
        <v>26</v>
      </c>
      <c r="F326" t="s">
        <v>160</v>
      </c>
      <c r="G326">
        <v>45601</v>
      </c>
      <c r="H326">
        <v>45755</v>
      </c>
      <c r="I326" t="s">
        <v>1322</v>
      </c>
      <c r="J326" t="s">
        <v>1023</v>
      </c>
      <c r="K326" t="s">
        <v>90</v>
      </c>
      <c r="L326" t="s">
        <v>30</v>
      </c>
      <c r="M326" t="s">
        <v>22</v>
      </c>
    </row>
    <row r="327" spans="1:13" x14ac:dyDescent="0.3">
      <c r="A327" t="s">
        <v>1323</v>
      </c>
      <c r="B327" t="s">
        <v>1324</v>
      </c>
      <c r="C327" t="s">
        <v>33</v>
      </c>
      <c r="D327" t="s">
        <v>77</v>
      </c>
      <c r="E327" t="s">
        <v>52</v>
      </c>
      <c r="F327" t="s">
        <v>18</v>
      </c>
      <c r="G327">
        <v>44819</v>
      </c>
      <c r="H327">
        <v>44985</v>
      </c>
      <c r="I327" t="s">
        <v>1325</v>
      </c>
      <c r="J327" t="s">
        <v>1326</v>
      </c>
      <c r="K327" t="s">
        <v>90</v>
      </c>
      <c r="L327" t="s">
        <v>60</v>
      </c>
      <c r="M327" t="s">
        <v>22</v>
      </c>
    </row>
    <row r="328" spans="1:13" hidden="1" x14ac:dyDescent="0.3">
      <c r="A328" t="s">
        <v>1327</v>
      </c>
      <c r="B328" t="s">
        <v>1328</v>
      </c>
      <c r="C328" t="s">
        <v>33</v>
      </c>
      <c r="D328" t="s">
        <v>41</v>
      </c>
      <c r="E328" t="s">
        <v>17</v>
      </c>
      <c r="F328" t="s">
        <v>160</v>
      </c>
      <c r="G328">
        <v>44723</v>
      </c>
      <c r="H328">
        <v>44938</v>
      </c>
      <c r="J328" t="s">
        <v>1329</v>
      </c>
      <c r="K328" t="s">
        <v>29</v>
      </c>
      <c r="L328" t="s">
        <v>91</v>
      </c>
      <c r="M328" t="s">
        <v>3735</v>
      </c>
    </row>
    <row r="329" spans="1:13" x14ac:dyDescent="0.3">
      <c r="A329" t="s">
        <v>1330</v>
      </c>
      <c r="B329" t="s">
        <v>1331</v>
      </c>
      <c r="C329" t="s">
        <v>33</v>
      </c>
      <c r="D329" t="s">
        <v>41</v>
      </c>
      <c r="E329" t="s">
        <v>17</v>
      </c>
      <c r="F329" t="s">
        <v>18</v>
      </c>
      <c r="G329">
        <v>44811</v>
      </c>
      <c r="H329">
        <v>44819</v>
      </c>
      <c r="I329" t="s">
        <v>1332</v>
      </c>
      <c r="J329" t="s">
        <v>1333</v>
      </c>
      <c r="K329" t="s">
        <v>21</v>
      </c>
      <c r="L329" t="s">
        <v>60</v>
      </c>
      <c r="M329" t="s">
        <v>22</v>
      </c>
    </row>
    <row r="330" spans="1:13" x14ac:dyDescent="0.3">
      <c r="A330" t="s">
        <v>1334</v>
      </c>
      <c r="B330" t="s">
        <v>1335</v>
      </c>
      <c r="C330" t="s">
        <v>33</v>
      </c>
      <c r="D330" t="s">
        <v>25</v>
      </c>
      <c r="E330" t="s">
        <v>26</v>
      </c>
      <c r="F330" t="s">
        <v>151</v>
      </c>
      <c r="G330">
        <v>45121</v>
      </c>
      <c r="H330">
        <v>45384</v>
      </c>
      <c r="I330" t="s">
        <v>1336</v>
      </c>
      <c r="J330" t="s">
        <v>1337</v>
      </c>
      <c r="K330" t="s">
        <v>21</v>
      </c>
      <c r="L330" t="s">
        <v>30</v>
      </c>
      <c r="M330" t="s">
        <v>22</v>
      </c>
    </row>
    <row r="331" spans="1:13" x14ac:dyDescent="0.3">
      <c r="A331" t="s">
        <v>1338</v>
      </c>
      <c r="B331" t="s">
        <v>1339</v>
      </c>
      <c r="C331" t="s">
        <v>46</v>
      </c>
      <c r="D331" t="s">
        <v>34</v>
      </c>
      <c r="E331" t="s">
        <v>26</v>
      </c>
      <c r="F331" t="s">
        <v>18</v>
      </c>
      <c r="G331">
        <v>44365</v>
      </c>
      <c r="H331">
        <v>44468</v>
      </c>
      <c r="I331" t="s">
        <v>1340</v>
      </c>
      <c r="J331" t="s">
        <v>1341</v>
      </c>
      <c r="K331" t="s">
        <v>21</v>
      </c>
      <c r="L331" t="s">
        <v>55</v>
      </c>
      <c r="M331" t="s">
        <v>22</v>
      </c>
    </row>
    <row r="332" spans="1:13" x14ac:dyDescent="0.3">
      <c r="A332" t="s">
        <v>1342</v>
      </c>
      <c r="B332" t="s">
        <v>1343</v>
      </c>
      <c r="C332" t="s">
        <v>40</v>
      </c>
      <c r="D332" t="s">
        <v>51</v>
      </c>
      <c r="E332" t="s">
        <v>52</v>
      </c>
      <c r="F332" t="s">
        <v>18</v>
      </c>
      <c r="G332">
        <v>44121</v>
      </c>
      <c r="H332">
        <v>44136</v>
      </c>
      <c r="I332" t="s">
        <v>1344</v>
      </c>
      <c r="J332" t="s">
        <v>1345</v>
      </c>
      <c r="K332" t="s">
        <v>90</v>
      </c>
      <c r="L332" t="s">
        <v>55</v>
      </c>
      <c r="M332" t="s">
        <v>22</v>
      </c>
    </row>
    <row r="333" spans="1:13" x14ac:dyDescent="0.3">
      <c r="A333" t="s">
        <v>1346</v>
      </c>
      <c r="B333" t="s">
        <v>1347</v>
      </c>
      <c r="C333" t="s">
        <v>33</v>
      </c>
      <c r="D333" t="s">
        <v>51</v>
      </c>
      <c r="E333" t="s">
        <v>52</v>
      </c>
      <c r="F333" t="s">
        <v>18</v>
      </c>
      <c r="G333">
        <v>44288</v>
      </c>
      <c r="H333">
        <v>44533</v>
      </c>
      <c r="I333" t="s">
        <v>1348</v>
      </c>
      <c r="J333" t="s">
        <v>1349</v>
      </c>
      <c r="K333" t="s">
        <v>21</v>
      </c>
      <c r="L333" t="s">
        <v>116</v>
      </c>
      <c r="M333" t="s">
        <v>22</v>
      </c>
    </row>
    <row r="334" spans="1:13" x14ac:dyDescent="0.3">
      <c r="A334" t="s">
        <v>1350</v>
      </c>
      <c r="B334" t="s">
        <v>1351</v>
      </c>
      <c r="C334" t="s">
        <v>76</v>
      </c>
      <c r="D334" t="s">
        <v>25</v>
      </c>
      <c r="E334" t="s">
        <v>26</v>
      </c>
      <c r="F334" t="s">
        <v>18</v>
      </c>
      <c r="G334">
        <v>44434</v>
      </c>
      <c r="H334">
        <v>44686</v>
      </c>
      <c r="I334" t="s">
        <v>1352</v>
      </c>
      <c r="J334" t="s">
        <v>1353</v>
      </c>
      <c r="K334" t="s">
        <v>21</v>
      </c>
      <c r="L334" t="s">
        <v>60</v>
      </c>
      <c r="M334" t="s">
        <v>22</v>
      </c>
    </row>
    <row r="335" spans="1:13" x14ac:dyDescent="0.3">
      <c r="A335" t="s">
        <v>1354</v>
      </c>
      <c r="B335" t="s">
        <v>1355</v>
      </c>
      <c r="C335" t="s">
        <v>87</v>
      </c>
      <c r="D335" t="s">
        <v>77</v>
      </c>
      <c r="E335" t="s">
        <v>52</v>
      </c>
      <c r="F335" t="s">
        <v>18</v>
      </c>
      <c r="G335">
        <v>45490</v>
      </c>
      <c r="H335">
        <v>45656</v>
      </c>
      <c r="I335" t="s">
        <v>1356</v>
      </c>
      <c r="J335" t="s">
        <v>1357</v>
      </c>
      <c r="K335" t="s">
        <v>37</v>
      </c>
      <c r="L335" t="s">
        <v>116</v>
      </c>
      <c r="M335" t="s">
        <v>22</v>
      </c>
    </row>
    <row r="336" spans="1:13" x14ac:dyDescent="0.3">
      <c r="A336" t="s">
        <v>1358</v>
      </c>
      <c r="B336" t="s">
        <v>1359</v>
      </c>
      <c r="C336" t="s">
        <v>33</v>
      </c>
      <c r="D336" t="s">
        <v>25</v>
      </c>
      <c r="E336" t="s">
        <v>26</v>
      </c>
      <c r="F336" t="s">
        <v>18</v>
      </c>
      <c r="G336">
        <v>44045</v>
      </c>
      <c r="H336">
        <v>44306</v>
      </c>
      <c r="I336" t="s">
        <v>1360</v>
      </c>
      <c r="J336" t="s">
        <v>1361</v>
      </c>
      <c r="K336" t="s">
        <v>37</v>
      </c>
      <c r="L336" t="s">
        <v>91</v>
      </c>
      <c r="M336" t="s">
        <v>22</v>
      </c>
    </row>
    <row r="337" spans="1:13" x14ac:dyDescent="0.3">
      <c r="A337" t="s">
        <v>1362</v>
      </c>
      <c r="B337" t="s">
        <v>1363</v>
      </c>
      <c r="C337" t="s">
        <v>87</v>
      </c>
      <c r="D337" t="s">
        <v>51</v>
      </c>
      <c r="E337" t="s">
        <v>52</v>
      </c>
      <c r="F337" t="s">
        <v>160</v>
      </c>
      <c r="G337">
        <v>43711</v>
      </c>
      <c r="H337">
        <v>44011</v>
      </c>
      <c r="I337" t="s">
        <v>1364</v>
      </c>
      <c r="J337" t="s">
        <v>1365</v>
      </c>
      <c r="K337" t="s">
        <v>90</v>
      </c>
      <c r="L337" t="s">
        <v>30</v>
      </c>
      <c r="M337" t="s">
        <v>22</v>
      </c>
    </row>
    <row r="338" spans="1:13" x14ac:dyDescent="0.3">
      <c r="A338" t="s">
        <v>1366</v>
      </c>
      <c r="B338" t="s">
        <v>1367</v>
      </c>
      <c r="C338" t="s">
        <v>181</v>
      </c>
      <c r="D338" t="s">
        <v>16</v>
      </c>
      <c r="E338" t="s">
        <v>17</v>
      </c>
      <c r="F338" t="s">
        <v>18</v>
      </c>
      <c r="G338">
        <v>43709</v>
      </c>
      <c r="H338">
        <v>44000</v>
      </c>
      <c r="I338" t="s">
        <v>1368</v>
      </c>
      <c r="J338" t="s">
        <v>1369</v>
      </c>
      <c r="K338" t="s">
        <v>29</v>
      </c>
      <c r="L338" t="s">
        <v>91</v>
      </c>
      <c r="M338" t="s">
        <v>22</v>
      </c>
    </row>
    <row r="339" spans="1:13" hidden="1" x14ac:dyDescent="0.3">
      <c r="A339" t="s">
        <v>1370</v>
      </c>
      <c r="B339" t="s">
        <v>1371</v>
      </c>
      <c r="C339" t="s">
        <v>15</v>
      </c>
      <c r="D339" t="s">
        <v>77</v>
      </c>
      <c r="E339" t="s">
        <v>52</v>
      </c>
      <c r="F339" t="s">
        <v>18</v>
      </c>
      <c r="G339">
        <v>44167</v>
      </c>
      <c r="H339">
        <v>44342</v>
      </c>
      <c r="I339" t="s">
        <v>1372</v>
      </c>
      <c r="J339" t="s">
        <v>1373</v>
      </c>
      <c r="K339" t="s">
        <v>37</v>
      </c>
      <c r="M339" t="s">
        <v>3735</v>
      </c>
    </row>
    <row r="340" spans="1:13" x14ac:dyDescent="0.3">
      <c r="A340" t="s">
        <v>1374</v>
      </c>
      <c r="B340" t="s">
        <v>1375</v>
      </c>
      <c r="C340" t="s">
        <v>40</v>
      </c>
      <c r="D340" t="s">
        <v>51</v>
      </c>
      <c r="E340" t="s">
        <v>52</v>
      </c>
      <c r="F340" t="s">
        <v>18</v>
      </c>
      <c r="G340">
        <v>44543</v>
      </c>
      <c r="H340">
        <v>44907</v>
      </c>
      <c r="I340" t="s">
        <v>1376</v>
      </c>
      <c r="J340" t="s">
        <v>1377</v>
      </c>
      <c r="K340" t="s">
        <v>21</v>
      </c>
      <c r="L340" t="s">
        <v>30</v>
      </c>
      <c r="M340" t="s">
        <v>22</v>
      </c>
    </row>
    <row r="341" spans="1:13" hidden="1" x14ac:dyDescent="0.3">
      <c r="A341" t="s">
        <v>1378</v>
      </c>
      <c r="B341" t="s">
        <v>1379</v>
      </c>
      <c r="C341" t="s">
        <v>76</v>
      </c>
      <c r="D341" t="s">
        <v>41</v>
      </c>
      <c r="E341" t="s">
        <v>17</v>
      </c>
      <c r="F341" t="s">
        <v>18</v>
      </c>
      <c r="G341">
        <v>45106</v>
      </c>
      <c r="H341">
        <v>45374</v>
      </c>
      <c r="I341" t="s">
        <v>1380</v>
      </c>
      <c r="J341" t="s">
        <v>1381</v>
      </c>
      <c r="K341" t="s">
        <v>29</v>
      </c>
      <c r="M341" t="s">
        <v>3735</v>
      </c>
    </row>
    <row r="342" spans="1:13" x14ac:dyDescent="0.3">
      <c r="A342" t="s">
        <v>1382</v>
      </c>
      <c r="B342" t="s">
        <v>1383</v>
      </c>
      <c r="C342" t="s">
        <v>15</v>
      </c>
      <c r="D342" t="s">
        <v>34</v>
      </c>
      <c r="E342" t="s">
        <v>26</v>
      </c>
      <c r="F342" t="s">
        <v>18</v>
      </c>
      <c r="G342">
        <v>44018</v>
      </c>
      <c r="H342">
        <v>44264</v>
      </c>
      <c r="I342" t="s">
        <v>1384</v>
      </c>
      <c r="J342" t="s">
        <v>1385</v>
      </c>
      <c r="K342" t="s">
        <v>21</v>
      </c>
      <c r="L342" t="s">
        <v>30</v>
      </c>
      <c r="M342" t="s">
        <v>22</v>
      </c>
    </row>
    <row r="343" spans="1:13" x14ac:dyDescent="0.3">
      <c r="A343" t="s">
        <v>1386</v>
      </c>
      <c r="B343" t="s">
        <v>1387</v>
      </c>
      <c r="C343" t="s">
        <v>33</v>
      </c>
      <c r="D343" t="s">
        <v>51</v>
      </c>
      <c r="E343" t="s">
        <v>52</v>
      </c>
      <c r="F343" t="s">
        <v>18</v>
      </c>
      <c r="G343">
        <v>44209</v>
      </c>
      <c r="H343">
        <v>44282</v>
      </c>
      <c r="I343" t="s">
        <v>1388</v>
      </c>
      <c r="J343" t="s">
        <v>1389</v>
      </c>
      <c r="K343" t="s">
        <v>90</v>
      </c>
      <c r="L343" t="s">
        <v>55</v>
      </c>
      <c r="M343" t="s">
        <v>22</v>
      </c>
    </row>
    <row r="344" spans="1:13" x14ac:dyDescent="0.3">
      <c r="A344" t="s">
        <v>1390</v>
      </c>
      <c r="B344" t="s">
        <v>1391</v>
      </c>
      <c r="C344" t="s">
        <v>15</v>
      </c>
      <c r="D344" t="s">
        <v>67</v>
      </c>
      <c r="E344" t="s">
        <v>26</v>
      </c>
      <c r="F344" t="s">
        <v>18</v>
      </c>
      <c r="G344">
        <v>45361</v>
      </c>
      <c r="H344">
        <v>45452</v>
      </c>
      <c r="I344" t="s">
        <v>1392</v>
      </c>
      <c r="J344" t="s">
        <v>1393</v>
      </c>
      <c r="K344" t="s">
        <v>90</v>
      </c>
      <c r="L344" t="s">
        <v>60</v>
      </c>
      <c r="M344" t="s">
        <v>22</v>
      </c>
    </row>
    <row r="345" spans="1:13" x14ac:dyDescent="0.3">
      <c r="A345" t="s">
        <v>1394</v>
      </c>
      <c r="B345" t="s">
        <v>1395</v>
      </c>
      <c r="C345" t="s">
        <v>15</v>
      </c>
      <c r="D345" t="s">
        <v>25</v>
      </c>
      <c r="E345" t="s">
        <v>26</v>
      </c>
      <c r="F345" t="s">
        <v>18</v>
      </c>
      <c r="G345">
        <v>44122</v>
      </c>
      <c r="H345">
        <v>44261</v>
      </c>
      <c r="I345" t="s">
        <v>1396</v>
      </c>
      <c r="J345" t="s">
        <v>1397</v>
      </c>
      <c r="K345" t="s">
        <v>37</v>
      </c>
      <c r="L345" t="s">
        <v>30</v>
      </c>
      <c r="M345" t="s">
        <v>22</v>
      </c>
    </row>
    <row r="346" spans="1:13" x14ac:dyDescent="0.3">
      <c r="A346" t="s">
        <v>1398</v>
      </c>
      <c r="B346" t="s">
        <v>1399</v>
      </c>
      <c r="C346" t="s">
        <v>46</v>
      </c>
      <c r="D346" t="s">
        <v>67</v>
      </c>
      <c r="E346" t="s">
        <v>26</v>
      </c>
      <c r="F346" t="s">
        <v>18</v>
      </c>
      <c r="G346">
        <v>44534</v>
      </c>
      <c r="H346">
        <v>44638</v>
      </c>
      <c r="I346" t="s">
        <v>1400</v>
      </c>
      <c r="J346" t="s">
        <v>1401</v>
      </c>
      <c r="K346" t="s">
        <v>29</v>
      </c>
      <c r="L346" t="s">
        <v>30</v>
      </c>
      <c r="M346" t="s">
        <v>22</v>
      </c>
    </row>
    <row r="347" spans="1:13" hidden="1" x14ac:dyDescent="0.3">
      <c r="A347" t="s">
        <v>1402</v>
      </c>
      <c r="B347" t="s">
        <v>1403</v>
      </c>
      <c r="C347" t="s">
        <v>181</v>
      </c>
      <c r="D347" t="s">
        <v>25</v>
      </c>
      <c r="E347" t="s">
        <v>26</v>
      </c>
      <c r="F347" t="s">
        <v>18</v>
      </c>
      <c r="G347">
        <v>43870</v>
      </c>
      <c r="H347">
        <v>43886</v>
      </c>
      <c r="I347" t="s">
        <v>704</v>
      </c>
      <c r="J347" t="s">
        <v>1404</v>
      </c>
      <c r="K347" t="s">
        <v>21</v>
      </c>
      <c r="L347" t="s">
        <v>91</v>
      </c>
      <c r="M347" t="s">
        <v>3735</v>
      </c>
    </row>
    <row r="348" spans="1:13" x14ac:dyDescent="0.3">
      <c r="A348" t="s">
        <v>1405</v>
      </c>
      <c r="B348" t="s">
        <v>1406</v>
      </c>
      <c r="C348" t="s">
        <v>181</v>
      </c>
      <c r="D348" t="s">
        <v>34</v>
      </c>
      <c r="E348" t="s">
        <v>26</v>
      </c>
      <c r="F348" t="s">
        <v>18</v>
      </c>
      <c r="G348">
        <v>45651</v>
      </c>
      <c r="H348">
        <v>45698</v>
      </c>
      <c r="I348" t="s">
        <v>1407</v>
      </c>
      <c r="J348" t="s">
        <v>1408</v>
      </c>
      <c r="K348" t="s">
        <v>37</v>
      </c>
      <c r="L348" t="s">
        <v>55</v>
      </c>
      <c r="M348" t="s">
        <v>22</v>
      </c>
    </row>
    <row r="349" spans="1:13" x14ac:dyDescent="0.3">
      <c r="A349" t="s">
        <v>1409</v>
      </c>
      <c r="B349" t="s">
        <v>1410</v>
      </c>
      <c r="C349" t="s">
        <v>46</v>
      </c>
      <c r="D349" t="s">
        <v>41</v>
      </c>
      <c r="E349" t="s">
        <v>17</v>
      </c>
      <c r="F349" t="s">
        <v>151</v>
      </c>
      <c r="G349">
        <v>44625</v>
      </c>
      <c r="H349">
        <v>44971</v>
      </c>
      <c r="I349" t="s">
        <v>1411</v>
      </c>
      <c r="J349" t="s">
        <v>1412</v>
      </c>
      <c r="K349" t="s">
        <v>37</v>
      </c>
      <c r="L349" t="s">
        <v>30</v>
      </c>
      <c r="M349" t="s">
        <v>22</v>
      </c>
    </row>
    <row r="350" spans="1:13" x14ac:dyDescent="0.3">
      <c r="A350" t="s">
        <v>1413</v>
      </c>
      <c r="B350" t="s">
        <v>1414</v>
      </c>
      <c r="C350" t="s">
        <v>46</v>
      </c>
      <c r="D350" t="s">
        <v>51</v>
      </c>
      <c r="E350" t="s">
        <v>52</v>
      </c>
      <c r="F350" t="s">
        <v>160</v>
      </c>
      <c r="G350">
        <v>43947</v>
      </c>
      <c r="H350">
        <v>44086</v>
      </c>
      <c r="I350" t="s">
        <v>1415</v>
      </c>
      <c r="J350" t="s">
        <v>1416</v>
      </c>
      <c r="K350" t="s">
        <v>29</v>
      </c>
      <c r="L350" t="s">
        <v>60</v>
      </c>
      <c r="M350" t="s">
        <v>22</v>
      </c>
    </row>
    <row r="351" spans="1:13" hidden="1" x14ac:dyDescent="0.3">
      <c r="A351" t="s">
        <v>1417</v>
      </c>
      <c r="B351" t="s">
        <v>1418</v>
      </c>
      <c r="C351" t="s">
        <v>181</v>
      </c>
      <c r="D351" t="s">
        <v>77</v>
      </c>
      <c r="E351" t="s">
        <v>52</v>
      </c>
      <c r="F351" t="s">
        <v>18</v>
      </c>
      <c r="G351">
        <v>45338</v>
      </c>
      <c r="H351">
        <v>45370</v>
      </c>
      <c r="I351" t="s">
        <v>1419</v>
      </c>
      <c r="J351" t="s">
        <v>1420</v>
      </c>
      <c r="K351" t="s">
        <v>90</v>
      </c>
      <c r="M351" t="s">
        <v>3735</v>
      </c>
    </row>
    <row r="352" spans="1:13" hidden="1" x14ac:dyDescent="0.3">
      <c r="A352" t="s">
        <v>1421</v>
      </c>
      <c r="B352" t="s">
        <v>1422</v>
      </c>
      <c r="C352" t="s">
        <v>15</v>
      </c>
      <c r="D352" t="s">
        <v>51</v>
      </c>
      <c r="E352" t="s">
        <v>52</v>
      </c>
      <c r="F352" t="s">
        <v>151</v>
      </c>
      <c r="G352">
        <v>44156</v>
      </c>
      <c r="H352">
        <v>44158</v>
      </c>
      <c r="I352" t="s">
        <v>1423</v>
      </c>
      <c r="J352" t="s">
        <v>1424</v>
      </c>
      <c r="K352" t="s">
        <v>37</v>
      </c>
      <c r="M352" t="s">
        <v>3735</v>
      </c>
    </row>
    <row r="353" spans="1:13" x14ac:dyDescent="0.3">
      <c r="A353" t="s">
        <v>1425</v>
      </c>
      <c r="B353" t="s">
        <v>1426</v>
      </c>
      <c r="C353" t="s">
        <v>76</v>
      </c>
      <c r="D353" t="s">
        <v>41</v>
      </c>
      <c r="E353" t="s">
        <v>17</v>
      </c>
      <c r="F353" t="s">
        <v>18</v>
      </c>
      <c r="G353">
        <v>44331</v>
      </c>
      <c r="H353">
        <v>44401</v>
      </c>
      <c r="I353" t="s">
        <v>1427</v>
      </c>
      <c r="J353" t="s">
        <v>1428</v>
      </c>
      <c r="K353" t="s">
        <v>29</v>
      </c>
      <c r="L353" t="s">
        <v>60</v>
      </c>
      <c r="M353" t="s">
        <v>22</v>
      </c>
    </row>
    <row r="354" spans="1:13" hidden="1" x14ac:dyDescent="0.3">
      <c r="A354" t="s">
        <v>1429</v>
      </c>
      <c r="B354" t="s">
        <v>1430</v>
      </c>
      <c r="C354" t="s">
        <v>87</v>
      </c>
      <c r="D354" t="s">
        <v>34</v>
      </c>
      <c r="E354" t="s">
        <v>26</v>
      </c>
      <c r="F354" t="s">
        <v>18</v>
      </c>
      <c r="G354">
        <v>44827</v>
      </c>
      <c r="H354">
        <v>44895</v>
      </c>
      <c r="I354" t="s">
        <v>1431</v>
      </c>
      <c r="J354" t="s">
        <v>881</v>
      </c>
      <c r="K354" t="s">
        <v>29</v>
      </c>
      <c r="M354" t="s">
        <v>3735</v>
      </c>
    </row>
    <row r="355" spans="1:13" x14ac:dyDescent="0.3">
      <c r="A355" t="s">
        <v>1432</v>
      </c>
      <c r="B355" t="s">
        <v>1433</v>
      </c>
      <c r="C355" t="s">
        <v>15</v>
      </c>
      <c r="D355" t="s">
        <v>51</v>
      </c>
      <c r="E355" t="s">
        <v>52</v>
      </c>
      <c r="F355" t="s">
        <v>18</v>
      </c>
      <c r="G355">
        <v>44921</v>
      </c>
      <c r="H355">
        <v>45028</v>
      </c>
      <c r="I355" t="s">
        <v>1434</v>
      </c>
      <c r="J355" t="s">
        <v>1435</v>
      </c>
      <c r="K355" t="s">
        <v>37</v>
      </c>
      <c r="L355" t="s">
        <v>91</v>
      </c>
      <c r="M355" t="s">
        <v>22</v>
      </c>
    </row>
    <row r="356" spans="1:13" x14ac:dyDescent="0.3">
      <c r="A356" t="s">
        <v>1436</v>
      </c>
      <c r="B356" t="s">
        <v>1437</v>
      </c>
      <c r="C356" t="s">
        <v>46</v>
      </c>
      <c r="D356" t="s">
        <v>34</v>
      </c>
      <c r="E356" t="s">
        <v>26</v>
      </c>
      <c r="F356" t="s">
        <v>160</v>
      </c>
      <c r="G356">
        <v>45292</v>
      </c>
      <c r="H356">
        <v>45607</v>
      </c>
      <c r="I356" t="s">
        <v>1438</v>
      </c>
      <c r="J356" t="s">
        <v>1439</v>
      </c>
      <c r="K356" t="s">
        <v>29</v>
      </c>
      <c r="L356" t="s">
        <v>55</v>
      </c>
      <c r="M356" t="s">
        <v>22</v>
      </c>
    </row>
    <row r="357" spans="1:13" x14ac:dyDescent="0.3">
      <c r="A357" t="s">
        <v>1440</v>
      </c>
      <c r="B357" t="s">
        <v>3723</v>
      </c>
      <c r="C357" t="s">
        <v>46</v>
      </c>
      <c r="D357" t="s">
        <v>51</v>
      </c>
      <c r="E357" t="s">
        <v>52</v>
      </c>
      <c r="F357" t="s">
        <v>18</v>
      </c>
      <c r="G357">
        <v>43538</v>
      </c>
      <c r="H357">
        <v>43554</v>
      </c>
      <c r="I357" t="s">
        <v>1442</v>
      </c>
      <c r="J357" t="s">
        <v>1443</v>
      </c>
      <c r="K357" t="s">
        <v>21</v>
      </c>
      <c r="L357" t="s">
        <v>30</v>
      </c>
      <c r="M357" t="s">
        <v>22</v>
      </c>
    </row>
    <row r="358" spans="1:13" x14ac:dyDescent="0.3">
      <c r="A358" t="s">
        <v>1444</v>
      </c>
      <c r="B358" t="s">
        <v>1445</v>
      </c>
      <c r="C358" t="s">
        <v>40</v>
      </c>
      <c r="D358" t="s">
        <v>34</v>
      </c>
      <c r="E358" t="s">
        <v>26</v>
      </c>
      <c r="F358" t="s">
        <v>18</v>
      </c>
      <c r="G358">
        <v>44907</v>
      </c>
      <c r="H358">
        <v>45266</v>
      </c>
      <c r="I358" t="s">
        <v>1446</v>
      </c>
      <c r="J358" t="s">
        <v>1447</v>
      </c>
      <c r="K358" t="s">
        <v>29</v>
      </c>
      <c r="L358" t="s">
        <v>116</v>
      </c>
      <c r="M358" t="s">
        <v>22</v>
      </c>
    </row>
    <row r="359" spans="1:13" hidden="1" x14ac:dyDescent="0.3">
      <c r="A359" t="s">
        <v>1448</v>
      </c>
      <c r="B359" t="s">
        <v>1449</v>
      </c>
      <c r="C359" t="s">
        <v>76</v>
      </c>
      <c r="D359" t="s">
        <v>41</v>
      </c>
      <c r="E359" t="s">
        <v>17</v>
      </c>
      <c r="F359" t="s">
        <v>18</v>
      </c>
      <c r="G359">
        <v>45232</v>
      </c>
      <c r="H359">
        <v>45343</v>
      </c>
      <c r="I359" t="s">
        <v>1450</v>
      </c>
      <c r="J359" t="s">
        <v>1451</v>
      </c>
      <c r="K359" t="s">
        <v>21</v>
      </c>
      <c r="M359" t="s">
        <v>3735</v>
      </c>
    </row>
    <row r="360" spans="1:13" x14ac:dyDescent="0.3">
      <c r="A360" t="s">
        <v>1452</v>
      </c>
      <c r="B360" t="s">
        <v>1453</v>
      </c>
      <c r="C360" t="s">
        <v>181</v>
      </c>
      <c r="D360" t="s">
        <v>77</v>
      </c>
      <c r="E360" t="s">
        <v>52</v>
      </c>
      <c r="F360" t="s">
        <v>18</v>
      </c>
      <c r="G360">
        <v>45142</v>
      </c>
      <c r="H360">
        <v>45196</v>
      </c>
      <c r="I360" t="s">
        <v>1454</v>
      </c>
      <c r="J360" t="s">
        <v>1455</v>
      </c>
      <c r="K360" t="s">
        <v>37</v>
      </c>
      <c r="L360" t="s">
        <v>60</v>
      </c>
      <c r="M360" t="s">
        <v>22</v>
      </c>
    </row>
    <row r="361" spans="1:13" x14ac:dyDescent="0.3">
      <c r="A361" t="s">
        <v>1456</v>
      </c>
      <c r="B361" t="s">
        <v>1457</v>
      </c>
      <c r="C361" t="s">
        <v>15</v>
      </c>
      <c r="D361" t="s">
        <v>25</v>
      </c>
      <c r="E361" t="s">
        <v>26</v>
      </c>
      <c r="F361" t="s">
        <v>18</v>
      </c>
      <c r="G361">
        <v>44270</v>
      </c>
      <c r="H361">
        <v>43792</v>
      </c>
      <c r="I361" t="s">
        <v>1458</v>
      </c>
      <c r="J361" t="s">
        <v>1459</v>
      </c>
      <c r="K361" t="s">
        <v>21</v>
      </c>
      <c r="L361" t="s">
        <v>91</v>
      </c>
      <c r="M361" t="s">
        <v>22</v>
      </c>
    </row>
    <row r="362" spans="1:13" x14ac:dyDescent="0.3">
      <c r="A362" t="s">
        <v>1460</v>
      </c>
      <c r="B362" t="s">
        <v>1461</v>
      </c>
      <c r="C362" t="s">
        <v>33</v>
      </c>
      <c r="D362" t="s">
        <v>16</v>
      </c>
      <c r="E362" t="s">
        <v>17</v>
      </c>
      <c r="F362" t="s">
        <v>18</v>
      </c>
      <c r="G362">
        <v>45556</v>
      </c>
      <c r="H362">
        <v>45880</v>
      </c>
      <c r="I362" t="s">
        <v>1462</v>
      </c>
      <c r="J362" t="s">
        <v>1463</v>
      </c>
      <c r="K362" t="s">
        <v>37</v>
      </c>
      <c r="L362" t="s">
        <v>116</v>
      </c>
      <c r="M362" t="s">
        <v>22</v>
      </c>
    </row>
    <row r="363" spans="1:13" x14ac:dyDescent="0.3">
      <c r="A363" t="s">
        <v>1464</v>
      </c>
      <c r="B363" t="s">
        <v>1465</v>
      </c>
      <c r="C363" t="s">
        <v>181</v>
      </c>
      <c r="D363" t="s">
        <v>77</v>
      </c>
      <c r="E363" t="s">
        <v>52</v>
      </c>
      <c r="F363" t="s">
        <v>18</v>
      </c>
      <c r="G363">
        <v>44562</v>
      </c>
      <c r="H363">
        <v>44178</v>
      </c>
      <c r="I363" t="s">
        <v>1466</v>
      </c>
      <c r="J363" t="s">
        <v>1467</v>
      </c>
      <c r="K363" t="s">
        <v>29</v>
      </c>
      <c r="L363" t="s">
        <v>30</v>
      </c>
      <c r="M363" t="s">
        <v>22</v>
      </c>
    </row>
    <row r="364" spans="1:13" x14ac:dyDescent="0.3">
      <c r="A364" t="s">
        <v>1468</v>
      </c>
      <c r="B364" t="s">
        <v>1469</v>
      </c>
      <c r="C364" t="s">
        <v>15</v>
      </c>
      <c r="D364" t="s">
        <v>34</v>
      </c>
      <c r="E364" t="s">
        <v>26</v>
      </c>
      <c r="F364" t="s">
        <v>151</v>
      </c>
      <c r="G364">
        <v>45187</v>
      </c>
      <c r="H364">
        <v>45378</v>
      </c>
      <c r="I364" t="s">
        <v>1470</v>
      </c>
      <c r="J364" t="s">
        <v>1471</v>
      </c>
      <c r="K364" t="s">
        <v>21</v>
      </c>
      <c r="L364" t="s">
        <v>30</v>
      </c>
      <c r="M364" t="s">
        <v>22</v>
      </c>
    </row>
    <row r="365" spans="1:13" x14ac:dyDescent="0.3">
      <c r="A365" t="s">
        <v>1472</v>
      </c>
      <c r="B365" t="s">
        <v>1473</v>
      </c>
      <c r="C365" t="s">
        <v>15</v>
      </c>
      <c r="D365" t="s">
        <v>41</v>
      </c>
      <c r="E365" t="s">
        <v>17</v>
      </c>
      <c r="F365" t="s">
        <v>151</v>
      </c>
      <c r="G365">
        <v>43614</v>
      </c>
      <c r="H365">
        <v>43817</v>
      </c>
      <c r="I365" t="s">
        <v>1474</v>
      </c>
      <c r="J365" t="s">
        <v>1475</v>
      </c>
      <c r="K365" t="s">
        <v>29</v>
      </c>
      <c r="L365" t="s">
        <v>60</v>
      </c>
      <c r="M365" t="s">
        <v>22</v>
      </c>
    </row>
    <row r="366" spans="1:13" x14ac:dyDescent="0.3">
      <c r="A366" t="s">
        <v>1476</v>
      </c>
      <c r="B366" t="s">
        <v>1477</v>
      </c>
      <c r="C366" t="s">
        <v>46</v>
      </c>
      <c r="D366" t="s">
        <v>67</v>
      </c>
      <c r="E366" t="s">
        <v>26</v>
      </c>
      <c r="F366" t="s">
        <v>151</v>
      </c>
      <c r="G366">
        <v>44521</v>
      </c>
      <c r="H366">
        <v>44697</v>
      </c>
      <c r="I366" t="s">
        <v>1478</v>
      </c>
      <c r="J366" t="s">
        <v>1479</v>
      </c>
      <c r="K366" t="s">
        <v>90</v>
      </c>
      <c r="L366" t="s">
        <v>116</v>
      </c>
      <c r="M366" t="s">
        <v>22</v>
      </c>
    </row>
    <row r="367" spans="1:13" x14ac:dyDescent="0.3">
      <c r="A367" t="s">
        <v>1480</v>
      </c>
      <c r="B367" t="s">
        <v>1481</v>
      </c>
      <c r="C367" t="s">
        <v>76</v>
      </c>
      <c r="D367" t="s">
        <v>67</v>
      </c>
      <c r="E367" t="s">
        <v>26</v>
      </c>
      <c r="F367" t="s">
        <v>18</v>
      </c>
      <c r="G367">
        <v>44332</v>
      </c>
      <c r="H367">
        <v>44408</v>
      </c>
      <c r="I367" t="s">
        <v>1482</v>
      </c>
      <c r="J367" t="s">
        <v>1483</v>
      </c>
      <c r="K367" t="s">
        <v>29</v>
      </c>
      <c r="L367" t="s">
        <v>91</v>
      </c>
      <c r="M367" t="s">
        <v>22</v>
      </c>
    </row>
    <row r="368" spans="1:13" x14ac:dyDescent="0.3">
      <c r="A368" t="s">
        <v>1484</v>
      </c>
      <c r="B368" t="s">
        <v>1485</v>
      </c>
      <c r="C368" t="s">
        <v>87</v>
      </c>
      <c r="D368" t="s">
        <v>16</v>
      </c>
      <c r="E368" t="s">
        <v>17</v>
      </c>
      <c r="F368" t="s">
        <v>18</v>
      </c>
      <c r="G368">
        <v>43676</v>
      </c>
      <c r="H368">
        <v>43823</v>
      </c>
      <c r="I368" t="s">
        <v>1486</v>
      </c>
      <c r="J368" t="s">
        <v>1439</v>
      </c>
      <c r="K368" t="s">
        <v>29</v>
      </c>
      <c r="L368" t="s">
        <v>60</v>
      </c>
      <c r="M368" t="s">
        <v>22</v>
      </c>
    </row>
    <row r="369" spans="1:13" x14ac:dyDescent="0.3">
      <c r="A369" t="s">
        <v>1487</v>
      </c>
      <c r="B369" t="s">
        <v>1488</v>
      </c>
      <c r="C369" t="s">
        <v>181</v>
      </c>
      <c r="D369" t="s">
        <v>41</v>
      </c>
      <c r="E369" t="s">
        <v>17</v>
      </c>
      <c r="F369" t="s">
        <v>18</v>
      </c>
      <c r="G369">
        <v>43723</v>
      </c>
      <c r="H369">
        <v>44043</v>
      </c>
      <c r="I369" t="s">
        <v>1489</v>
      </c>
      <c r="J369" t="s">
        <v>1490</v>
      </c>
      <c r="K369" t="s">
        <v>21</v>
      </c>
      <c r="L369" t="s">
        <v>30</v>
      </c>
      <c r="M369" t="s">
        <v>22</v>
      </c>
    </row>
    <row r="370" spans="1:13" x14ac:dyDescent="0.3">
      <c r="A370" t="s">
        <v>1491</v>
      </c>
      <c r="B370" t="s">
        <v>1492</v>
      </c>
      <c r="C370" t="s">
        <v>46</v>
      </c>
      <c r="D370" t="s">
        <v>51</v>
      </c>
      <c r="E370" t="s">
        <v>52</v>
      </c>
      <c r="F370" t="s">
        <v>18</v>
      </c>
      <c r="G370">
        <v>45477</v>
      </c>
      <c r="H370">
        <v>45579</v>
      </c>
      <c r="I370" t="s">
        <v>1493</v>
      </c>
      <c r="J370" t="s">
        <v>1494</v>
      </c>
      <c r="K370" t="s">
        <v>90</v>
      </c>
      <c r="L370" t="s">
        <v>30</v>
      </c>
      <c r="M370" t="s">
        <v>22</v>
      </c>
    </row>
    <row r="371" spans="1:13" x14ac:dyDescent="0.3">
      <c r="A371" t="s">
        <v>1495</v>
      </c>
      <c r="B371" t="s">
        <v>1496</v>
      </c>
      <c r="C371" t="s">
        <v>33</v>
      </c>
      <c r="D371" t="s">
        <v>25</v>
      </c>
      <c r="E371" t="s">
        <v>26</v>
      </c>
      <c r="F371" t="s">
        <v>18</v>
      </c>
      <c r="G371">
        <v>44535</v>
      </c>
      <c r="H371">
        <v>44626</v>
      </c>
      <c r="I371" t="s">
        <v>1497</v>
      </c>
      <c r="J371" t="s">
        <v>1498</v>
      </c>
      <c r="K371" t="s">
        <v>90</v>
      </c>
      <c r="L371" t="s">
        <v>60</v>
      </c>
      <c r="M371" t="s">
        <v>22</v>
      </c>
    </row>
    <row r="372" spans="1:13" x14ac:dyDescent="0.3">
      <c r="A372" t="s">
        <v>1499</v>
      </c>
      <c r="B372" t="s">
        <v>1500</v>
      </c>
      <c r="C372" t="s">
        <v>76</v>
      </c>
      <c r="D372" t="s">
        <v>25</v>
      </c>
      <c r="E372" t="s">
        <v>26</v>
      </c>
      <c r="F372" t="s">
        <v>160</v>
      </c>
      <c r="G372">
        <v>44952</v>
      </c>
      <c r="H372">
        <v>44995</v>
      </c>
      <c r="I372" t="s">
        <v>1501</v>
      </c>
      <c r="J372" t="s">
        <v>1502</v>
      </c>
      <c r="K372" t="s">
        <v>37</v>
      </c>
      <c r="L372" t="s">
        <v>30</v>
      </c>
      <c r="M372" t="s">
        <v>22</v>
      </c>
    </row>
    <row r="373" spans="1:13" hidden="1" x14ac:dyDescent="0.3">
      <c r="A373" t="s">
        <v>1503</v>
      </c>
      <c r="B373" t="s">
        <v>1504</v>
      </c>
      <c r="C373" t="s">
        <v>46</v>
      </c>
      <c r="D373" t="s">
        <v>51</v>
      </c>
      <c r="E373" t="s">
        <v>52</v>
      </c>
      <c r="F373" t="s">
        <v>151</v>
      </c>
      <c r="G373">
        <v>44675</v>
      </c>
      <c r="H373">
        <v>44686</v>
      </c>
      <c r="J373" t="s">
        <v>1505</v>
      </c>
      <c r="K373" t="s">
        <v>90</v>
      </c>
      <c r="L373" t="s">
        <v>91</v>
      </c>
      <c r="M373" t="s">
        <v>3735</v>
      </c>
    </row>
    <row r="374" spans="1:13" x14ac:dyDescent="0.3">
      <c r="A374" t="s">
        <v>1506</v>
      </c>
      <c r="B374" t="s">
        <v>1507</v>
      </c>
      <c r="C374" t="s">
        <v>33</v>
      </c>
      <c r="D374" t="s">
        <v>41</v>
      </c>
      <c r="E374" t="s">
        <v>17</v>
      </c>
      <c r="F374" t="s">
        <v>160</v>
      </c>
      <c r="G374">
        <v>44577</v>
      </c>
      <c r="H374">
        <v>44604</v>
      </c>
      <c r="I374" t="s">
        <v>1508</v>
      </c>
      <c r="J374" t="s">
        <v>1509</v>
      </c>
      <c r="K374" t="s">
        <v>90</v>
      </c>
      <c r="L374" t="s">
        <v>30</v>
      </c>
      <c r="M374" t="s">
        <v>22</v>
      </c>
    </row>
    <row r="375" spans="1:13" x14ac:dyDescent="0.3">
      <c r="A375" t="s">
        <v>1510</v>
      </c>
      <c r="B375" t="s">
        <v>1511</v>
      </c>
      <c r="C375" t="s">
        <v>40</v>
      </c>
      <c r="D375" t="s">
        <v>16</v>
      </c>
      <c r="E375" t="s">
        <v>17</v>
      </c>
      <c r="F375" t="s">
        <v>18</v>
      </c>
      <c r="G375">
        <v>43546</v>
      </c>
      <c r="H375">
        <v>43840</v>
      </c>
      <c r="I375" t="s">
        <v>1512</v>
      </c>
      <c r="J375" t="s">
        <v>1513</v>
      </c>
      <c r="K375" t="s">
        <v>90</v>
      </c>
      <c r="L375" t="s">
        <v>116</v>
      </c>
      <c r="M375" t="s">
        <v>22</v>
      </c>
    </row>
    <row r="376" spans="1:13" x14ac:dyDescent="0.3">
      <c r="A376" t="s">
        <v>1514</v>
      </c>
      <c r="B376" t="s">
        <v>1515</v>
      </c>
      <c r="C376" t="s">
        <v>33</v>
      </c>
      <c r="D376" t="s">
        <v>77</v>
      </c>
      <c r="E376" t="s">
        <v>52</v>
      </c>
      <c r="F376" t="s">
        <v>18</v>
      </c>
      <c r="G376">
        <v>43734</v>
      </c>
      <c r="H376">
        <v>43981</v>
      </c>
      <c r="I376" t="s">
        <v>1516</v>
      </c>
      <c r="J376" t="s">
        <v>1517</v>
      </c>
      <c r="K376" t="s">
        <v>37</v>
      </c>
      <c r="L376" t="s">
        <v>60</v>
      </c>
      <c r="M376" t="s">
        <v>22</v>
      </c>
    </row>
    <row r="377" spans="1:13" x14ac:dyDescent="0.3">
      <c r="A377" t="s">
        <v>1518</v>
      </c>
      <c r="B377" t="s">
        <v>1519</v>
      </c>
      <c r="C377" t="s">
        <v>33</v>
      </c>
      <c r="D377" t="s">
        <v>67</v>
      </c>
      <c r="E377" t="s">
        <v>26</v>
      </c>
      <c r="F377" t="s">
        <v>18</v>
      </c>
      <c r="G377">
        <v>44934</v>
      </c>
      <c r="H377">
        <v>45247</v>
      </c>
      <c r="I377" t="s">
        <v>1520</v>
      </c>
      <c r="J377" t="s">
        <v>1521</v>
      </c>
      <c r="K377" t="s">
        <v>21</v>
      </c>
      <c r="L377" t="s">
        <v>30</v>
      </c>
      <c r="M377" t="s">
        <v>22</v>
      </c>
    </row>
    <row r="378" spans="1:13" x14ac:dyDescent="0.3">
      <c r="A378" t="s">
        <v>1522</v>
      </c>
      <c r="B378" t="s">
        <v>1523</v>
      </c>
      <c r="C378" t="s">
        <v>40</v>
      </c>
      <c r="D378" t="s">
        <v>25</v>
      </c>
      <c r="E378" t="s">
        <v>26</v>
      </c>
      <c r="F378" t="s">
        <v>18</v>
      </c>
      <c r="G378">
        <v>45453</v>
      </c>
      <c r="H378">
        <v>45687</v>
      </c>
      <c r="I378" t="s">
        <v>1524</v>
      </c>
      <c r="J378" t="s">
        <v>1525</v>
      </c>
      <c r="K378" t="s">
        <v>37</v>
      </c>
      <c r="L378" t="s">
        <v>60</v>
      </c>
      <c r="M378" t="s">
        <v>22</v>
      </c>
    </row>
    <row r="379" spans="1:13" hidden="1" x14ac:dyDescent="0.3">
      <c r="A379" t="s">
        <v>1526</v>
      </c>
      <c r="B379" t="s">
        <v>1527</v>
      </c>
      <c r="C379" t="s">
        <v>15</v>
      </c>
      <c r="D379" t="s">
        <v>41</v>
      </c>
      <c r="E379" t="s">
        <v>17</v>
      </c>
      <c r="F379" t="s">
        <v>151</v>
      </c>
      <c r="G379">
        <v>44109</v>
      </c>
      <c r="H379">
        <v>44258</v>
      </c>
      <c r="I379" t="s">
        <v>1528</v>
      </c>
      <c r="J379" t="s">
        <v>1529</v>
      </c>
      <c r="K379" t="s">
        <v>21</v>
      </c>
      <c r="M379" t="s">
        <v>3735</v>
      </c>
    </row>
    <row r="380" spans="1:13" x14ac:dyDescent="0.3">
      <c r="A380" t="s">
        <v>1530</v>
      </c>
      <c r="B380" t="s">
        <v>1531</v>
      </c>
      <c r="C380" t="s">
        <v>40</v>
      </c>
      <c r="D380" t="s">
        <v>51</v>
      </c>
      <c r="E380" t="s">
        <v>52</v>
      </c>
      <c r="F380" t="s">
        <v>151</v>
      </c>
      <c r="G380">
        <v>45329</v>
      </c>
      <c r="H380">
        <v>45475</v>
      </c>
      <c r="I380" t="s">
        <v>1532</v>
      </c>
      <c r="J380" t="s">
        <v>1533</v>
      </c>
      <c r="K380" t="s">
        <v>37</v>
      </c>
      <c r="L380" t="s">
        <v>55</v>
      </c>
      <c r="M380" t="s">
        <v>22</v>
      </c>
    </row>
    <row r="381" spans="1:13" hidden="1" x14ac:dyDescent="0.3">
      <c r="A381" t="s">
        <v>1534</v>
      </c>
      <c r="B381" t="s">
        <v>1535</v>
      </c>
      <c r="C381" t="s">
        <v>76</v>
      </c>
      <c r="D381" t="s">
        <v>16</v>
      </c>
      <c r="E381" t="s">
        <v>17</v>
      </c>
      <c r="F381" t="s">
        <v>18</v>
      </c>
      <c r="G381">
        <v>44452</v>
      </c>
      <c r="H381">
        <v>44621</v>
      </c>
      <c r="I381" t="s">
        <v>736</v>
      </c>
      <c r="J381" t="s">
        <v>1536</v>
      </c>
      <c r="K381" t="s">
        <v>37</v>
      </c>
      <c r="L381" t="s">
        <v>91</v>
      </c>
      <c r="M381" t="s">
        <v>3735</v>
      </c>
    </row>
    <row r="382" spans="1:13" x14ac:dyDescent="0.3">
      <c r="A382" t="s">
        <v>1537</v>
      </c>
      <c r="B382" t="s">
        <v>1538</v>
      </c>
      <c r="C382" t="s">
        <v>46</v>
      </c>
      <c r="D382" t="s">
        <v>77</v>
      </c>
      <c r="E382" t="s">
        <v>52</v>
      </c>
      <c r="F382" t="s">
        <v>160</v>
      </c>
      <c r="G382">
        <v>43758</v>
      </c>
      <c r="H382">
        <v>43798</v>
      </c>
      <c r="I382" t="s">
        <v>1539</v>
      </c>
      <c r="J382" t="s">
        <v>1540</v>
      </c>
      <c r="K382" t="s">
        <v>37</v>
      </c>
      <c r="L382" t="s">
        <v>116</v>
      </c>
      <c r="M382" t="s">
        <v>22</v>
      </c>
    </row>
    <row r="383" spans="1:13" x14ac:dyDescent="0.3">
      <c r="A383" t="s">
        <v>1541</v>
      </c>
      <c r="B383" t="s">
        <v>1542</v>
      </c>
      <c r="C383" t="s">
        <v>40</v>
      </c>
      <c r="D383" t="s">
        <v>34</v>
      </c>
      <c r="E383" t="s">
        <v>26</v>
      </c>
      <c r="F383" t="s">
        <v>151</v>
      </c>
      <c r="G383">
        <v>44206</v>
      </c>
      <c r="H383">
        <v>44387</v>
      </c>
      <c r="I383" t="s">
        <v>1543</v>
      </c>
      <c r="J383" t="s">
        <v>1544</v>
      </c>
      <c r="K383" t="s">
        <v>37</v>
      </c>
      <c r="L383" t="s">
        <v>91</v>
      </c>
      <c r="M383" t="s">
        <v>22</v>
      </c>
    </row>
    <row r="384" spans="1:13" x14ac:dyDescent="0.3">
      <c r="A384" t="s">
        <v>1545</v>
      </c>
      <c r="B384" t="s">
        <v>113</v>
      </c>
      <c r="C384" t="s">
        <v>87</v>
      </c>
      <c r="D384" t="s">
        <v>77</v>
      </c>
      <c r="E384" t="s">
        <v>52</v>
      </c>
      <c r="F384" t="s">
        <v>18</v>
      </c>
      <c r="G384">
        <v>45380</v>
      </c>
      <c r="H384">
        <v>45687</v>
      </c>
      <c r="I384" t="s">
        <v>1546</v>
      </c>
      <c r="J384" t="s">
        <v>1547</v>
      </c>
      <c r="K384" t="s">
        <v>29</v>
      </c>
      <c r="L384" t="s">
        <v>30</v>
      </c>
      <c r="M384" t="s">
        <v>22</v>
      </c>
    </row>
    <row r="385" spans="1:13" x14ac:dyDescent="0.3">
      <c r="A385" t="s">
        <v>1548</v>
      </c>
      <c r="B385" t="s">
        <v>1549</v>
      </c>
      <c r="C385" t="s">
        <v>15</v>
      </c>
      <c r="D385" t="s">
        <v>77</v>
      </c>
      <c r="E385" t="s">
        <v>52</v>
      </c>
      <c r="F385" t="s">
        <v>160</v>
      </c>
      <c r="G385">
        <v>44802</v>
      </c>
      <c r="H385">
        <v>44964</v>
      </c>
      <c r="I385" t="s">
        <v>1550</v>
      </c>
      <c r="J385" t="s">
        <v>1551</v>
      </c>
      <c r="K385" t="s">
        <v>37</v>
      </c>
      <c r="L385" t="s">
        <v>60</v>
      </c>
      <c r="M385" t="s">
        <v>22</v>
      </c>
    </row>
    <row r="386" spans="1:13" x14ac:dyDescent="0.3">
      <c r="A386" t="s">
        <v>1552</v>
      </c>
      <c r="B386" t="s">
        <v>1553</v>
      </c>
      <c r="C386" t="s">
        <v>15</v>
      </c>
      <c r="D386" t="s">
        <v>25</v>
      </c>
      <c r="E386" t="s">
        <v>26</v>
      </c>
      <c r="F386" t="s">
        <v>18</v>
      </c>
      <c r="G386">
        <v>45369</v>
      </c>
      <c r="H386">
        <v>45710</v>
      </c>
      <c r="I386" t="s">
        <v>1554</v>
      </c>
      <c r="J386" t="s">
        <v>1555</v>
      </c>
      <c r="K386" t="s">
        <v>21</v>
      </c>
      <c r="L386" t="s">
        <v>91</v>
      </c>
      <c r="M386" t="s">
        <v>22</v>
      </c>
    </row>
    <row r="387" spans="1:13" x14ac:dyDescent="0.3">
      <c r="A387" t="s">
        <v>1556</v>
      </c>
      <c r="B387" t="s">
        <v>1557</v>
      </c>
      <c r="C387" t="s">
        <v>76</v>
      </c>
      <c r="D387" t="s">
        <v>51</v>
      </c>
      <c r="E387" t="s">
        <v>52</v>
      </c>
      <c r="F387" t="s">
        <v>151</v>
      </c>
      <c r="G387">
        <v>44430</v>
      </c>
      <c r="H387">
        <v>44746</v>
      </c>
      <c r="I387" t="s">
        <v>1558</v>
      </c>
      <c r="J387" t="s">
        <v>1559</v>
      </c>
      <c r="K387" t="s">
        <v>29</v>
      </c>
      <c r="L387" t="s">
        <v>91</v>
      </c>
      <c r="M387" t="s">
        <v>22</v>
      </c>
    </row>
    <row r="388" spans="1:13" x14ac:dyDescent="0.3">
      <c r="A388" t="s">
        <v>1560</v>
      </c>
      <c r="B388" t="s">
        <v>1561</v>
      </c>
      <c r="C388" t="s">
        <v>181</v>
      </c>
      <c r="D388" t="s">
        <v>77</v>
      </c>
      <c r="E388" t="s">
        <v>52</v>
      </c>
      <c r="F388" t="s">
        <v>151</v>
      </c>
      <c r="G388">
        <v>43485</v>
      </c>
      <c r="H388">
        <v>43618</v>
      </c>
      <c r="I388" t="s">
        <v>1562</v>
      </c>
      <c r="J388" t="s">
        <v>1563</v>
      </c>
      <c r="K388" t="s">
        <v>90</v>
      </c>
      <c r="L388" t="s">
        <v>91</v>
      </c>
      <c r="M388" t="s">
        <v>22</v>
      </c>
    </row>
    <row r="389" spans="1:13" x14ac:dyDescent="0.3">
      <c r="A389" t="s">
        <v>1564</v>
      </c>
      <c r="B389" t="s">
        <v>1565</v>
      </c>
      <c r="C389" t="s">
        <v>40</v>
      </c>
      <c r="D389" t="s">
        <v>67</v>
      </c>
      <c r="E389" t="s">
        <v>26</v>
      </c>
      <c r="F389" t="s">
        <v>18</v>
      </c>
      <c r="G389">
        <v>44857</v>
      </c>
      <c r="H389">
        <v>45190</v>
      </c>
      <c r="I389" t="s">
        <v>1566</v>
      </c>
      <c r="J389" t="s">
        <v>1567</v>
      </c>
      <c r="K389" t="s">
        <v>29</v>
      </c>
      <c r="L389" t="s">
        <v>91</v>
      </c>
      <c r="M389" t="s">
        <v>22</v>
      </c>
    </row>
    <row r="390" spans="1:13" x14ac:dyDescent="0.3">
      <c r="A390" t="s">
        <v>1568</v>
      </c>
      <c r="B390" t="s">
        <v>1569</v>
      </c>
      <c r="C390" t="s">
        <v>76</v>
      </c>
      <c r="D390" t="s">
        <v>16</v>
      </c>
      <c r="E390" t="s">
        <v>17</v>
      </c>
      <c r="F390" t="s">
        <v>18</v>
      </c>
      <c r="G390">
        <v>43845</v>
      </c>
      <c r="H390">
        <v>44072</v>
      </c>
      <c r="I390" t="s">
        <v>1570</v>
      </c>
      <c r="J390" t="s">
        <v>1571</v>
      </c>
      <c r="K390" t="s">
        <v>21</v>
      </c>
      <c r="L390" t="s">
        <v>91</v>
      </c>
      <c r="M390" t="s">
        <v>22</v>
      </c>
    </row>
    <row r="391" spans="1:13" x14ac:dyDescent="0.3">
      <c r="A391" t="s">
        <v>1572</v>
      </c>
      <c r="B391" t="s">
        <v>1573</v>
      </c>
      <c r="C391" t="s">
        <v>87</v>
      </c>
      <c r="D391" t="s">
        <v>34</v>
      </c>
      <c r="E391" t="s">
        <v>26</v>
      </c>
      <c r="F391" t="s">
        <v>18</v>
      </c>
      <c r="G391">
        <v>44882</v>
      </c>
      <c r="H391">
        <v>44909</v>
      </c>
      <c r="I391" t="s">
        <v>1574</v>
      </c>
      <c r="J391" t="s">
        <v>1575</v>
      </c>
      <c r="K391" t="s">
        <v>37</v>
      </c>
      <c r="L391" t="s">
        <v>60</v>
      </c>
      <c r="M391" t="s">
        <v>22</v>
      </c>
    </row>
    <row r="392" spans="1:13" x14ac:dyDescent="0.3">
      <c r="A392" t="s">
        <v>1576</v>
      </c>
      <c r="B392" t="s">
        <v>1577</v>
      </c>
      <c r="C392" t="s">
        <v>40</v>
      </c>
      <c r="D392" t="s">
        <v>16</v>
      </c>
      <c r="E392" t="s">
        <v>17</v>
      </c>
      <c r="F392" t="s">
        <v>18</v>
      </c>
      <c r="G392">
        <v>44581</v>
      </c>
      <c r="H392">
        <v>44861</v>
      </c>
      <c r="I392" t="s">
        <v>1578</v>
      </c>
      <c r="J392" t="s">
        <v>1579</v>
      </c>
      <c r="K392" t="s">
        <v>37</v>
      </c>
      <c r="L392" t="s">
        <v>91</v>
      </c>
      <c r="M392" t="s">
        <v>22</v>
      </c>
    </row>
    <row r="393" spans="1:13" hidden="1" x14ac:dyDescent="0.3">
      <c r="A393" t="s">
        <v>1580</v>
      </c>
      <c r="B393" t="s">
        <v>1581</v>
      </c>
      <c r="C393" t="s">
        <v>33</v>
      </c>
      <c r="D393" t="s">
        <v>16</v>
      </c>
      <c r="E393" t="s">
        <v>17</v>
      </c>
      <c r="F393" t="s">
        <v>18</v>
      </c>
      <c r="G393">
        <v>45270</v>
      </c>
      <c r="H393">
        <v>45305</v>
      </c>
      <c r="J393" t="s">
        <v>1582</v>
      </c>
      <c r="K393" t="s">
        <v>21</v>
      </c>
      <c r="L393" t="s">
        <v>55</v>
      </c>
      <c r="M393" t="s">
        <v>3735</v>
      </c>
    </row>
    <row r="394" spans="1:13" hidden="1" x14ac:dyDescent="0.3">
      <c r="A394" t="s">
        <v>1583</v>
      </c>
      <c r="B394" t="s">
        <v>1584</v>
      </c>
      <c r="C394" t="s">
        <v>87</v>
      </c>
      <c r="D394" t="s">
        <v>16</v>
      </c>
      <c r="E394" t="s">
        <v>17</v>
      </c>
      <c r="F394" t="s">
        <v>18</v>
      </c>
      <c r="G394">
        <v>44464</v>
      </c>
      <c r="H394">
        <v>44486</v>
      </c>
      <c r="I394" t="s">
        <v>1585</v>
      </c>
      <c r="J394" t="s">
        <v>1586</v>
      </c>
      <c r="K394" t="s">
        <v>37</v>
      </c>
      <c r="M394" t="s">
        <v>3735</v>
      </c>
    </row>
    <row r="395" spans="1:13" x14ac:dyDescent="0.3">
      <c r="A395" t="s">
        <v>1587</v>
      </c>
      <c r="B395" t="s">
        <v>1588</v>
      </c>
      <c r="C395" t="s">
        <v>33</v>
      </c>
      <c r="D395" t="s">
        <v>77</v>
      </c>
      <c r="E395" t="s">
        <v>52</v>
      </c>
      <c r="F395" t="s">
        <v>18</v>
      </c>
      <c r="G395">
        <v>45358</v>
      </c>
      <c r="H395">
        <v>45721</v>
      </c>
      <c r="I395" t="s">
        <v>1589</v>
      </c>
      <c r="J395" t="s">
        <v>1590</v>
      </c>
      <c r="K395" t="s">
        <v>37</v>
      </c>
      <c r="L395" t="s">
        <v>55</v>
      </c>
      <c r="M395" t="s">
        <v>22</v>
      </c>
    </row>
    <row r="396" spans="1:13" hidden="1" x14ac:dyDescent="0.3">
      <c r="A396" t="s">
        <v>1591</v>
      </c>
      <c r="B396" t="s">
        <v>3721</v>
      </c>
      <c r="C396" t="s">
        <v>40</v>
      </c>
      <c r="D396" t="s">
        <v>16</v>
      </c>
      <c r="E396" t="s">
        <v>17</v>
      </c>
      <c r="F396" t="s">
        <v>18</v>
      </c>
      <c r="G396">
        <v>45346</v>
      </c>
      <c r="H396">
        <v>45573</v>
      </c>
      <c r="I396" t="s">
        <v>1592</v>
      </c>
      <c r="J396" t="s">
        <v>1593</v>
      </c>
      <c r="K396" t="s">
        <v>90</v>
      </c>
      <c r="L396" t="s">
        <v>30</v>
      </c>
      <c r="M396" t="s">
        <v>3735</v>
      </c>
    </row>
    <row r="397" spans="1:13" x14ac:dyDescent="0.3">
      <c r="A397" t="s">
        <v>1594</v>
      </c>
      <c r="B397" t="s">
        <v>1595</v>
      </c>
      <c r="C397" t="s">
        <v>87</v>
      </c>
      <c r="D397" t="s">
        <v>25</v>
      </c>
      <c r="E397" t="s">
        <v>26</v>
      </c>
      <c r="F397" t="s">
        <v>18</v>
      </c>
      <c r="G397">
        <v>43594</v>
      </c>
      <c r="H397">
        <v>43763</v>
      </c>
      <c r="I397" t="s">
        <v>1596</v>
      </c>
      <c r="J397" t="s">
        <v>1597</v>
      </c>
      <c r="K397" t="s">
        <v>37</v>
      </c>
      <c r="L397" t="s">
        <v>116</v>
      </c>
      <c r="M397" t="s">
        <v>22</v>
      </c>
    </row>
    <row r="398" spans="1:13" x14ac:dyDescent="0.3">
      <c r="A398" t="s">
        <v>1598</v>
      </c>
      <c r="B398" t="s">
        <v>1599</v>
      </c>
      <c r="C398" t="s">
        <v>33</v>
      </c>
      <c r="D398" t="s">
        <v>25</v>
      </c>
      <c r="E398" t="s">
        <v>26</v>
      </c>
      <c r="F398" t="s">
        <v>18</v>
      </c>
      <c r="G398">
        <v>44322</v>
      </c>
      <c r="H398">
        <v>44325</v>
      </c>
      <c r="I398" t="s">
        <v>1600</v>
      </c>
      <c r="J398" t="s">
        <v>1601</v>
      </c>
      <c r="K398" t="s">
        <v>90</v>
      </c>
      <c r="L398" t="s">
        <v>116</v>
      </c>
      <c r="M398" t="s">
        <v>22</v>
      </c>
    </row>
    <row r="399" spans="1:13" x14ac:dyDescent="0.3">
      <c r="A399" t="s">
        <v>1602</v>
      </c>
      <c r="B399" t="s">
        <v>1603</v>
      </c>
      <c r="C399" t="s">
        <v>76</v>
      </c>
      <c r="D399" t="s">
        <v>41</v>
      </c>
      <c r="E399" t="s">
        <v>17</v>
      </c>
      <c r="F399" t="s">
        <v>18</v>
      </c>
      <c r="G399">
        <v>45392</v>
      </c>
      <c r="H399">
        <v>45525</v>
      </c>
      <c r="I399" t="s">
        <v>1604</v>
      </c>
      <c r="J399" t="s">
        <v>1605</v>
      </c>
      <c r="K399" t="s">
        <v>21</v>
      </c>
      <c r="L399" t="s">
        <v>60</v>
      </c>
      <c r="M399" t="s">
        <v>22</v>
      </c>
    </row>
    <row r="400" spans="1:13" x14ac:dyDescent="0.3">
      <c r="A400" t="s">
        <v>1606</v>
      </c>
      <c r="B400" t="s">
        <v>1607</v>
      </c>
      <c r="C400" t="s">
        <v>46</v>
      </c>
      <c r="D400" t="s">
        <v>51</v>
      </c>
      <c r="E400" t="s">
        <v>52</v>
      </c>
      <c r="F400" t="s">
        <v>18</v>
      </c>
      <c r="G400">
        <v>45652</v>
      </c>
      <c r="H400">
        <v>45959</v>
      </c>
      <c r="I400" t="s">
        <v>1608</v>
      </c>
      <c r="J400" t="s">
        <v>881</v>
      </c>
      <c r="K400" t="s">
        <v>29</v>
      </c>
      <c r="L400" t="s">
        <v>91</v>
      </c>
      <c r="M400" t="s">
        <v>22</v>
      </c>
    </row>
    <row r="401" spans="1:13" hidden="1" x14ac:dyDescent="0.3">
      <c r="A401" t="s">
        <v>1609</v>
      </c>
      <c r="B401" t="s">
        <v>1610</v>
      </c>
      <c r="C401" t="s">
        <v>76</v>
      </c>
      <c r="D401" t="s">
        <v>34</v>
      </c>
      <c r="E401" t="s">
        <v>26</v>
      </c>
      <c r="F401" t="s">
        <v>18</v>
      </c>
      <c r="G401">
        <v>44027</v>
      </c>
      <c r="H401">
        <v>44241</v>
      </c>
      <c r="J401" t="s">
        <v>1611</v>
      </c>
      <c r="K401" t="s">
        <v>90</v>
      </c>
      <c r="L401" t="s">
        <v>116</v>
      </c>
      <c r="M401" t="s">
        <v>3735</v>
      </c>
    </row>
    <row r="402" spans="1:13" x14ac:dyDescent="0.3">
      <c r="A402" t="s">
        <v>1612</v>
      </c>
      <c r="B402" t="s">
        <v>1613</v>
      </c>
      <c r="C402" t="s">
        <v>181</v>
      </c>
      <c r="D402" t="s">
        <v>77</v>
      </c>
      <c r="E402" t="s">
        <v>52</v>
      </c>
      <c r="F402" t="s">
        <v>18</v>
      </c>
      <c r="G402">
        <v>44552</v>
      </c>
      <c r="H402">
        <v>44890</v>
      </c>
      <c r="I402" t="s">
        <v>1614</v>
      </c>
      <c r="J402" t="s">
        <v>1615</v>
      </c>
      <c r="K402" t="s">
        <v>37</v>
      </c>
      <c r="L402" t="s">
        <v>60</v>
      </c>
      <c r="M402" t="s">
        <v>22</v>
      </c>
    </row>
    <row r="403" spans="1:13" hidden="1" x14ac:dyDescent="0.3">
      <c r="A403" t="s">
        <v>1616</v>
      </c>
      <c r="B403" t="s">
        <v>1617</v>
      </c>
      <c r="C403" t="s">
        <v>33</v>
      </c>
      <c r="D403" t="s">
        <v>16</v>
      </c>
      <c r="E403" t="s">
        <v>17</v>
      </c>
      <c r="F403" t="s">
        <v>160</v>
      </c>
      <c r="G403">
        <v>44276</v>
      </c>
      <c r="H403">
        <v>44493</v>
      </c>
      <c r="I403" t="s">
        <v>1618</v>
      </c>
      <c r="J403" t="s">
        <v>1619</v>
      </c>
      <c r="K403" t="s">
        <v>37</v>
      </c>
      <c r="M403" t="s">
        <v>3735</v>
      </c>
    </row>
    <row r="404" spans="1:13" x14ac:dyDescent="0.3">
      <c r="A404" t="s">
        <v>1620</v>
      </c>
      <c r="B404" t="s">
        <v>1621</v>
      </c>
      <c r="C404" t="s">
        <v>46</v>
      </c>
      <c r="D404" t="s">
        <v>25</v>
      </c>
      <c r="E404" t="s">
        <v>26</v>
      </c>
      <c r="F404" t="s">
        <v>151</v>
      </c>
      <c r="G404">
        <v>44899</v>
      </c>
      <c r="H404">
        <v>45013</v>
      </c>
      <c r="I404" t="s">
        <v>1622</v>
      </c>
      <c r="J404" t="s">
        <v>1623</v>
      </c>
      <c r="K404" t="s">
        <v>90</v>
      </c>
      <c r="L404" t="s">
        <v>55</v>
      </c>
      <c r="M404" t="s">
        <v>22</v>
      </c>
    </row>
    <row r="405" spans="1:13" x14ac:dyDescent="0.3">
      <c r="A405" t="s">
        <v>1624</v>
      </c>
      <c r="B405" t="s">
        <v>1625</v>
      </c>
      <c r="C405" t="s">
        <v>87</v>
      </c>
      <c r="D405" t="s">
        <v>34</v>
      </c>
      <c r="E405" t="s">
        <v>26</v>
      </c>
      <c r="F405" t="s">
        <v>160</v>
      </c>
      <c r="G405">
        <v>44126</v>
      </c>
      <c r="H405">
        <v>44247</v>
      </c>
      <c r="I405" t="s">
        <v>1626</v>
      </c>
      <c r="J405" t="s">
        <v>1627</v>
      </c>
      <c r="K405" t="s">
        <v>29</v>
      </c>
      <c r="L405" t="s">
        <v>91</v>
      </c>
      <c r="M405" t="s">
        <v>22</v>
      </c>
    </row>
    <row r="406" spans="1:13" x14ac:dyDescent="0.3">
      <c r="A406" t="s">
        <v>1628</v>
      </c>
      <c r="B406" t="s">
        <v>1629</v>
      </c>
      <c r="C406" t="s">
        <v>76</v>
      </c>
      <c r="D406" t="s">
        <v>51</v>
      </c>
      <c r="E406" t="s">
        <v>52</v>
      </c>
      <c r="F406" t="s">
        <v>18</v>
      </c>
      <c r="G406">
        <v>44476</v>
      </c>
      <c r="H406">
        <v>44796</v>
      </c>
      <c r="I406" t="s">
        <v>1630</v>
      </c>
      <c r="J406" t="s">
        <v>1631</v>
      </c>
      <c r="K406" t="s">
        <v>21</v>
      </c>
      <c r="L406" t="s">
        <v>60</v>
      </c>
      <c r="M406" t="s">
        <v>22</v>
      </c>
    </row>
    <row r="407" spans="1:13" x14ac:dyDescent="0.3">
      <c r="A407" t="s">
        <v>1632</v>
      </c>
      <c r="B407" t="s">
        <v>1633</v>
      </c>
      <c r="C407" t="s">
        <v>46</v>
      </c>
      <c r="D407" t="s">
        <v>51</v>
      </c>
      <c r="E407" t="s">
        <v>52</v>
      </c>
      <c r="F407" t="s">
        <v>18</v>
      </c>
      <c r="G407">
        <v>44139</v>
      </c>
      <c r="H407">
        <v>44263</v>
      </c>
      <c r="I407" t="s">
        <v>1634</v>
      </c>
      <c r="J407" t="s">
        <v>1635</v>
      </c>
      <c r="K407" t="s">
        <v>37</v>
      </c>
      <c r="L407" t="s">
        <v>116</v>
      </c>
      <c r="M407" t="s">
        <v>22</v>
      </c>
    </row>
    <row r="408" spans="1:13" x14ac:dyDescent="0.3">
      <c r="A408" t="s">
        <v>1636</v>
      </c>
      <c r="B408" t="s">
        <v>1637</v>
      </c>
      <c r="C408" t="s">
        <v>46</v>
      </c>
      <c r="D408" t="s">
        <v>51</v>
      </c>
      <c r="E408" t="s">
        <v>52</v>
      </c>
      <c r="F408" t="s">
        <v>151</v>
      </c>
      <c r="G408">
        <v>44370</v>
      </c>
      <c r="H408">
        <v>44697</v>
      </c>
      <c r="I408" t="s">
        <v>1638</v>
      </c>
      <c r="J408" t="s">
        <v>960</v>
      </c>
      <c r="K408" t="s">
        <v>21</v>
      </c>
      <c r="L408" t="s">
        <v>55</v>
      </c>
      <c r="M408" t="s">
        <v>22</v>
      </c>
    </row>
    <row r="409" spans="1:13" x14ac:dyDescent="0.3">
      <c r="A409" t="s">
        <v>1639</v>
      </c>
      <c r="B409" t="s">
        <v>1640</v>
      </c>
      <c r="C409" t="s">
        <v>15</v>
      </c>
      <c r="D409" t="s">
        <v>77</v>
      </c>
      <c r="E409" t="s">
        <v>52</v>
      </c>
      <c r="F409" t="s">
        <v>18</v>
      </c>
      <c r="G409">
        <v>44185</v>
      </c>
      <c r="H409">
        <v>44436</v>
      </c>
      <c r="I409" t="s">
        <v>1641</v>
      </c>
      <c r="J409" t="s">
        <v>1642</v>
      </c>
      <c r="K409" t="s">
        <v>90</v>
      </c>
      <c r="L409" t="s">
        <v>55</v>
      </c>
      <c r="M409" t="s">
        <v>22</v>
      </c>
    </row>
    <row r="410" spans="1:13" x14ac:dyDescent="0.3">
      <c r="A410" t="s">
        <v>1643</v>
      </c>
      <c r="B410" t="s">
        <v>1644</v>
      </c>
      <c r="C410" t="s">
        <v>76</v>
      </c>
      <c r="D410" t="s">
        <v>51</v>
      </c>
      <c r="E410" t="s">
        <v>52</v>
      </c>
      <c r="F410" t="s">
        <v>18</v>
      </c>
      <c r="G410">
        <v>43811</v>
      </c>
      <c r="H410">
        <v>44146</v>
      </c>
      <c r="I410" t="s">
        <v>1645</v>
      </c>
      <c r="J410" t="s">
        <v>1646</v>
      </c>
      <c r="K410" t="s">
        <v>37</v>
      </c>
      <c r="L410" t="s">
        <v>55</v>
      </c>
      <c r="M410" t="s">
        <v>22</v>
      </c>
    </row>
    <row r="411" spans="1:13" x14ac:dyDescent="0.3">
      <c r="A411" t="s">
        <v>1647</v>
      </c>
      <c r="B411" t="s">
        <v>1648</v>
      </c>
      <c r="C411" t="s">
        <v>181</v>
      </c>
      <c r="D411" t="s">
        <v>34</v>
      </c>
      <c r="E411" t="s">
        <v>26</v>
      </c>
      <c r="F411" t="s">
        <v>18</v>
      </c>
      <c r="G411">
        <v>45010</v>
      </c>
      <c r="H411">
        <v>45047</v>
      </c>
      <c r="I411" t="s">
        <v>1649</v>
      </c>
      <c r="J411" t="s">
        <v>1650</v>
      </c>
      <c r="K411" t="s">
        <v>21</v>
      </c>
      <c r="L411" t="s">
        <v>91</v>
      </c>
      <c r="M411" t="s">
        <v>22</v>
      </c>
    </row>
    <row r="412" spans="1:13" hidden="1" x14ac:dyDescent="0.3">
      <c r="A412" t="s">
        <v>1651</v>
      </c>
      <c r="B412" t="s">
        <v>1652</v>
      </c>
      <c r="C412" t="s">
        <v>33</v>
      </c>
      <c r="D412" t="s">
        <v>77</v>
      </c>
      <c r="E412" t="s">
        <v>52</v>
      </c>
      <c r="F412" t="s">
        <v>18</v>
      </c>
      <c r="G412">
        <v>43479</v>
      </c>
      <c r="H412">
        <v>43613</v>
      </c>
      <c r="J412" t="s">
        <v>1653</v>
      </c>
      <c r="K412" t="s">
        <v>90</v>
      </c>
      <c r="M412" t="s">
        <v>3735</v>
      </c>
    </row>
    <row r="413" spans="1:13" x14ac:dyDescent="0.3">
      <c r="A413" t="s">
        <v>1654</v>
      </c>
      <c r="B413" t="s">
        <v>1655</v>
      </c>
      <c r="C413" t="s">
        <v>15</v>
      </c>
      <c r="D413" t="s">
        <v>34</v>
      </c>
      <c r="E413" t="s">
        <v>26</v>
      </c>
      <c r="F413" t="s">
        <v>18</v>
      </c>
      <c r="G413">
        <v>45034</v>
      </c>
      <c r="H413">
        <v>45324</v>
      </c>
      <c r="I413" t="s">
        <v>1656</v>
      </c>
      <c r="J413" t="s">
        <v>1657</v>
      </c>
      <c r="K413" t="s">
        <v>21</v>
      </c>
      <c r="L413" t="s">
        <v>116</v>
      </c>
      <c r="M413" t="s">
        <v>22</v>
      </c>
    </row>
    <row r="414" spans="1:13" hidden="1" x14ac:dyDescent="0.3">
      <c r="A414" t="s">
        <v>1658</v>
      </c>
      <c r="B414" t="s">
        <v>1659</v>
      </c>
      <c r="C414" t="s">
        <v>46</v>
      </c>
      <c r="D414" t="s">
        <v>67</v>
      </c>
      <c r="E414" t="s">
        <v>26</v>
      </c>
      <c r="F414" t="s">
        <v>160</v>
      </c>
      <c r="G414">
        <v>44095</v>
      </c>
      <c r="H414">
        <v>44122</v>
      </c>
      <c r="I414" t="s">
        <v>1660</v>
      </c>
      <c r="K414" t="s">
        <v>21</v>
      </c>
      <c r="L414" t="s">
        <v>60</v>
      </c>
      <c r="M414" t="s">
        <v>3735</v>
      </c>
    </row>
    <row r="415" spans="1:13" x14ac:dyDescent="0.3">
      <c r="A415" t="s">
        <v>1661</v>
      </c>
      <c r="B415" t="s">
        <v>1662</v>
      </c>
      <c r="C415" t="s">
        <v>33</v>
      </c>
      <c r="D415" t="s">
        <v>77</v>
      </c>
      <c r="E415" t="s">
        <v>52</v>
      </c>
      <c r="F415" t="s">
        <v>18</v>
      </c>
      <c r="G415">
        <v>44165</v>
      </c>
      <c r="H415">
        <v>44309</v>
      </c>
      <c r="I415" t="s">
        <v>1663</v>
      </c>
      <c r="J415" t="s">
        <v>1664</v>
      </c>
      <c r="K415" t="s">
        <v>90</v>
      </c>
      <c r="L415" t="s">
        <v>30</v>
      </c>
      <c r="M415" t="s">
        <v>22</v>
      </c>
    </row>
    <row r="416" spans="1:13" hidden="1" x14ac:dyDescent="0.3">
      <c r="A416" t="s">
        <v>1665</v>
      </c>
      <c r="B416" t="s">
        <v>715</v>
      </c>
      <c r="C416" t="s">
        <v>87</v>
      </c>
      <c r="D416" t="s">
        <v>67</v>
      </c>
      <c r="E416" t="s">
        <v>26</v>
      </c>
      <c r="F416" t="s">
        <v>160</v>
      </c>
      <c r="G416">
        <v>44316</v>
      </c>
      <c r="H416">
        <v>44341</v>
      </c>
      <c r="I416" t="s">
        <v>1666</v>
      </c>
      <c r="J416" t="s">
        <v>1667</v>
      </c>
      <c r="K416" t="s">
        <v>90</v>
      </c>
      <c r="M416" t="s">
        <v>3735</v>
      </c>
    </row>
    <row r="417" spans="1:13" x14ac:dyDescent="0.3">
      <c r="A417" t="s">
        <v>1668</v>
      </c>
      <c r="B417" t="s">
        <v>1669</v>
      </c>
      <c r="C417" t="s">
        <v>33</v>
      </c>
      <c r="D417" t="s">
        <v>51</v>
      </c>
      <c r="E417" t="s">
        <v>52</v>
      </c>
      <c r="F417" t="s">
        <v>160</v>
      </c>
      <c r="G417">
        <v>44257</v>
      </c>
      <c r="H417">
        <v>44346</v>
      </c>
      <c r="I417" t="s">
        <v>1670</v>
      </c>
      <c r="J417" t="s">
        <v>1671</v>
      </c>
      <c r="K417" t="s">
        <v>21</v>
      </c>
      <c r="L417" t="s">
        <v>91</v>
      </c>
      <c r="M417" t="s">
        <v>22</v>
      </c>
    </row>
    <row r="418" spans="1:13" x14ac:dyDescent="0.3">
      <c r="A418" t="s">
        <v>1672</v>
      </c>
      <c r="B418" t="s">
        <v>1673</v>
      </c>
      <c r="C418" t="s">
        <v>33</v>
      </c>
      <c r="D418" t="s">
        <v>67</v>
      </c>
      <c r="E418" t="s">
        <v>26</v>
      </c>
      <c r="F418" t="s">
        <v>18</v>
      </c>
      <c r="G418">
        <v>43757</v>
      </c>
      <c r="H418">
        <v>43916</v>
      </c>
      <c r="I418" t="s">
        <v>1674</v>
      </c>
      <c r="J418" t="s">
        <v>1675</v>
      </c>
      <c r="K418" t="s">
        <v>21</v>
      </c>
      <c r="L418" t="s">
        <v>60</v>
      </c>
      <c r="M418" t="s">
        <v>22</v>
      </c>
    </row>
    <row r="419" spans="1:13" x14ac:dyDescent="0.3">
      <c r="A419" t="s">
        <v>1676</v>
      </c>
      <c r="B419" t="s">
        <v>1677</v>
      </c>
      <c r="C419" t="s">
        <v>40</v>
      </c>
      <c r="D419" t="s">
        <v>25</v>
      </c>
      <c r="E419" t="s">
        <v>26</v>
      </c>
      <c r="F419" t="s">
        <v>18</v>
      </c>
      <c r="G419">
        <v>45315</v>
      </c>
      <c r="H419">
        <v>45642</v>
      </c>
      <c r="I419" t="s">
        <v>1678</v>
      </c>
      <c r="J419" t="s">
        <v>1679</v>
      </c>
      <c r="K419" t="s">
        <v>37</v>
      </c>
      <c r="L419" t="s">
        <v>60</v>
      </c>
      <c r="M419" t="s">
        <v>22</v>
      </c>
    </row>
    <row r="420" spans="1:13" x14ac:dyDescent="0.3">
      <c r="A420" t="s">
        <v>1680</v>
      </c>
      <c r="B420" t="s">
        <v>1681</v>
      </c>
      <c r="C420" t="s">
        <v>181</v>
      </c>
      <c r="D420" t="s">
        <v>51</v>
      </c>
      <c r="E420" t="s">
        <v>52</v>
      </c>
      <c r="F420" t="s">
        <v>18</v>
      </c>
      <c r="G420">
        <v>44705</v>
      </c>
      <c r="H420">
        <v>44815</v>
      </c>
      <c r="I420" t="s">
        <v>1682</v>
      </c>
      <c r="J420" t="s">
        <v>1683</v>
      </c>
      <c r="K420" t="s">
        <v>37</v>
      </c>
      <c r="L420" t="s">
        <v>60</v>
      </c>
      <c r="M420" t="s">
        <v>22</v>
      </c>
    </row>
    <row r="421" spans="1:13" hidden="1" x14ac:dyDescent="0.3">
      <c r="A421" t="s">
        <v>1684</v>
      </c>
      <c r="B421" t="s">
        <v>1685</v>
      </c>
      <c r="C421" t="s">
        <v>76</v>
      </c>
      <c r="D421" t="s">
        <v>67</v>
      </c>
      <c r="E421" t="s">
        <v>26</v>
      </c>
      <c r="F421" t="s">
        <v>18</v>
      </c>
      <c r="G421">
        <v>45040</v>
      </c>
      <c r="H421">
        <v>45245</v>
      </c>
      <c r="I421" t="s">
        <v>1686</v>
      </c>
      <c r="J421" t="s">
        <v>1687</v>
      </c>
      <c r="K421" t="s">
        <v>29</v>
      </c>
      <c r="M421" t="s">
        <v>3735</v>
      </c>
    </row>
    <row r="422" spans="1:13" x14ac:dyDescent="0.3">
      <c r="A422" t="s">
        <v>1688</v>
      </c>
      <c r="B422" t="s">
        <v>1689</v>
      </c>
      <c r="C422" t="s">
        <v>46</v>
      </c>
      <c r="D422" t="s">
        <v>25</v>
      </c>
      <c r="E422" t="s">
        <v>26</v>
      </c>
      <c r="F422" t="s">
        <v>18</v>
      </c>
      <c r="G422">
        <v>45160</v>
      </c>
      <c r="H422">
        <v>45376</v>
      </c>
      <c r="I422" t="s">
        <v>1690</v>
      </c>
      <c r="J422" t="s">
        <v>1691</v>
      </c>
      <c r="K422" t="s">
        <v>37</v>
      </c>
      <c r="L422" t="s">
        <v>116</v>
      </c>
      <c r="M422" t="s">
        <v>22</v>
      </c>
    </row>
    <row r="423" spans="1:13" hidden="1" x14ac:dyDescent="0.3">
      <c r="A423" t="s">
        <v>1692</v>
      </c>
      <c r="B423" t="s">
        <v>1693</v>
      </c>
      <c r="C423" t="s">
        <v>46</v>
      </c>
      <c r="D423" t="s">
        <v>34</v>
      </c>
      <c r="E423" t="s">
        <v>26</v>
      </c>
      <c r="F423" t="s">
        <v>160</v>
      </c>
      <c r="G423">
        <v>45328</v>
      </c>
      <c r="H423">
        <v>45374</v>
      </c>
      <c r="I423" t="s">
        <v>1694</v>
      </c>
      <c r="J423" t="s">
        <v>1695</v>
      </c>
      <c r="K423" t="s">
        <v>37</v>
      </c>
      <c r="M423" t="s">
        <v>3735</v>
      </c>
    </row>
    <row r="424" spans="1:13" x14ac:dyDescent="0.3">
      <c r="A424" t="s">
        <v>1696</v>
      </c>
      <c r="B424" t="s">
        <v>1697</v>
      </c>
      <c r="C424" t="s">
        <v>46</v>
      </c>
      <c r="D424" t="s">
        <v>77</v>
      </c>
      <c r="E424" t="s">
        <v>52</v>
      </c>
      <c r="F424" t="s">
        <v>18</v>
      </c>
      <c r="G424">
        <v>44248</v>
      </c>
      <c r="H424">
        <v>44394</v>
      </c>
      <c r="I424" t="s">
        <v>1698</v>
      </c>
      <c r="J424" t="s">
        <v>1699</v>
      </c>
      <c r="K424" t="s">
        <v>29</v>
      </c>
      <c r="L424" t="s">
        <v>116</v>
      </c>
      <c r="M424" t="s">
        <v>22</v>
      </c>
    </row>
    <row r="425" spans="1:13" x14ac:dyDescent="0.3">
      <c r="A425" t="s">
        <v>1700</v>
      </c>
      <c r="B425" t="s">
        <v>1701</v>
      </c>
      <c r="C425" t="s">
        <v>76</v>
      </c>
      <c r="D425" t="s">
        <v>34</v>
      </c>
      <c r="E425" t="s">
        <v>26</v>
      </c>
      <c r="F425" t="s">
        <v>151</v>
      </c>
      <c r="G425">
        <v>44711</v>
      </c>
      <c r="H425">
        <v>44999</v>
      </c>
      <c r="I425" t="s">
        <v>1702</v>
      </c>
      <c r="J425" t="s">
        <v>1703</v>
      </c>
      <c r="K425" t="s">
        <v>21</v>
      </c>
      <c r="L425" t="s">
        <v>91</v>
      </c>
      <c r="M425" t="s">
        <v>22</v>
      </c>
    </row>
    <row r="426" spans="1:13" x14ac:dyDescent="0.3">
      <c r="A426" t="s">
        <v>1704</v>
      </c>
      <c r="B426" t="s">
        <v>1705</v>
      </c>
      <c r="C426" t="s">
        <v>15</v>
      </c>
      <c r="D426" t="s">
        <v>67</v>
      </c>
      <c r="E426" t="s">
        <v>26</v>
      </c>
      <c r="F426" t="s">
        <v>160</v>
      </c>
      <c r="G426">
        <v>45360</v>
      </c>
      <c r="H426">
        <v>45571</v>
      </c>
      <c r="I426" t="s">
        <v>1706</v>
      </c>
      <c r="J426" t="s">
        <v>1707</v>
      </c>
      <c r="K426" t="s">
        <v>29</v>
      </c>
      <c r="L426" t="s">
        <v>91</v>
      </c>
      <c r="M426" t="s">
        <v>22</v>
      </c>
    </row>
    <row r="427" spans="1:13" hidden="1" x14ac:dyDescent="0.3">
      <c r="A427" t="s">
        <v>1708</v>
      </c>
      <c r="B427" t="s">
        <v>3721</v>
      </c>
      <c r="C427" t="s">
        <v>181</v>
      </c>
      <c r="D427" t="s">
        <v>16</v>
      </c>
      <c r="E427" t="s">
        <v>17</v>
      </c>
      <c r="F427" t="s">
        <v>160</v>
      </c>
      <c r="G427">
        <v>44644</v>
      </c>
      <c r="H427">
        <v>44651</v>
      </c>
      <c r="I427" t="s">
        <v>1709</v>
      </c>
      <c r="J427" t="s">
        <v>1710</v>
      </c>
      <c r="K427" t="s">
        <v>29</v>
      </c>
      <c r="L427" t="s">
        <v>30</v>
      </c>
      <c r="M427" t="s">
        <v>3735</v>
      </c>
    </row>
    <row r="428" spans="1:13" x14ac:dyDescent="0.3">
      <c r="A428" t="s">
        <v>1711</v>
      </c>
      <c r="B428" t="s">
        <v>1712</v>
      </c>
      <c r="C428" t="s">
        <v>33</v>
      </c>
      <c r="D428" t="s">
        <v>34</v>
      </c>
      <c r="E428" t="s">
        <v>26</v>
      </c>
      <c r="F428" t="s">
        <v>18</v>
      </c>
      <c r="G428">
        <v>44086</v>
      </c>
      <c r="H428">
        <v>44357</v>
      </c>
      <c r="I428" t="s">
        <v>1713</v>
      </c>
      <c r="J428" t="s">
        <v>1714</v>
      </c>
      <c r="K428" t="s">
        <v>37</v>
      </c>
      <c r="L428" t="s">
        <v>30</v>
      </c>
      <c r="M428" t="s">
        <v>22</v>
      </c>
    </row>
    <row r="429" spans="1:13" x14ac:dyDescent="0.3">
      <c r="A429" t="s">
        <v>1715</v>
      </c>
      <c r="B429" t="s">
        <v>1716</v>
      </c>
      <c r="C429" t="s">
        <v>87</v>
      </c>
      <c r="D429" t="s">
        <v>25</v>
      </c>
      <c r="E429" t="s">
        <v>26</v>
      </c>
      <c r="F429" t="s">
        <v>151</v>
      </c>
      <c r="G429">
        <v>44631</v>
      </c>
      <c r="H429">
        <v>44917</v>
      </c>
      <c r="I429" t="s">
        <v>1717</v>
      </c>
      <c r="J429" t="s">
        <v>1718</v>
      </c>
      <c r="K429" t="s">
        <v>29</v>
      </c>
      <c r="L429" t="s">
        <v>116</v>
      </c>
      <c r="M429" t="s">
        <v>22</v>
      </c>
    </row>
    <row r="430" spans="1:13" hidden="1" x14ac:dyDescent="0.3">
      <c r="A430" t="s">
        <v>1719</v>
      </c>
      <c r="B430" t="s">
        <v>1720</v>
      </c>
      <c r="C430" t="s">
        <v>15</v>
      </c>
      <c r="D430" t="s">
        <v>67</v>
      </c>
      <c r="E430" t="s">
        <v>26</v>
      </c>
      <c r="F430" t="s">
        <v>18</v>
      </c>
      <c r="G430">
        <v>44490</v>
      </c>
      <c r="H430">
        <v>44516</v>
      </c>
      <c r="I430" t="s">
        <v>1721</v>
      </c>
      <c r="J430" t="s">
        <v>1722</v>
      </c>
      <c r="K430" t="s">
        <v>90</v>
      </c>
      <c r="M430" t="s">
        <v>3735</v>
      </c>
    </row>
    <row r="431" spans="1:13" hidden="1" x14ac:dyDescent="0.3">
      <c r="A431" t="s">
        <v>1723</v>
      </c>
      <c r="B431" t="s">
        <v>1724</v>
      </c>
      <c r="C431" t="s">
        <v>15</v>
      </c>
      <c r="D431" t="s">
        <v>51</v>
      </c>
      <c r="E431" t="s">
        <v>52</v>
      </c>
      <c r="F431" t="s">
        <v>18</v>
      </c>
      <c r="G431">
        <v>45651</v>
      </c>
      <c r="H431">
        <v>45983</v>
      </c>
      <c r="I431" t="s">
        <v>704</v>
      </c>
      <c r="J431" t="s">
        <v>1725</v>
      </c>
      <c r="K431" t="s">
        <v>29</v>
      </c>
      <c r="L431" t="s">
        <v>116</v>
      </c>
      <c r="M431" t="s">
        <v>3735</v>
      </c>
    </row>
    <row r="432" spans="1:13" x14ac:dyDescent="0.3">
      <c r="A432" t="s">
        <v>1726</v>
      </c>
      <c r="B432" t="s">
        <v>1727</v>
      </c>
      <c r="C432" t="s">
        <v>76</v>
      </c>
      <c r="D432" t="s">
        <v>77</v>
      </c>
      <c r="E432" t="s">
        <v>52</v>
      </c>
      <c r="F432" t="s">
        <v>18</v>
      </c>
      <c r="G432">
        <v>45608</v>
      </c>
      <c r="H432">
        <v>45842</v>
      </c>
      <c r="I432" t="s">
        <v>1728</v>
      </c>
      <c r="J432" t="s">
        <v>1729</v>
      </c>
      <c r="K432" t="s">
        <v>37</v>
      </c>
      <c r="L432" t="s">
        <v>60</v>
      </c>
      <c r="M432" t="s">
        <v>22</v>
      </c>
    </row>
    <row r="433" spans="1:13" hidden="1" x14ac:dyDescent="0.3">
      <c r="A433" t="s">
        <v>1730</v>
      </c>
      <c r="B433" t="s">
        <v>1731</v>
      </c>
      <c r="C433" t="s">
        <v>181</v>
      </c>
      <c r="D433" t="s">
        <v>16</v>
      </c>
      <c r="E433" t="s">
        <v>17</v>
      </c>
      <c r="F433" t="s">
        <v>160</v>
      </c>
      <c r="G433">
        <v>43831</v>
      </c>
      <c r="H433">
        <v>44150</v>
      </c>
      <c r="I433" t="s">
        <v>177</v>
      </c>
      <c r="J433" t="s">
        <v>1732</v>
      </c>
      <c r="K433" t="s">
        <v>21</v>
      </c>
      <c r="L433" t="s">
        <v>55</v>
      </c>
      <c r="M433" t="s">
        <v>3735</v>
      </c>
    </row>
    <row r="434" spans="1:13" x14ac:dyDescent="0.3">
      <c r="A434" t="s">
        <v>1733</v>
      </c>
      <c r="B434" t="s">
        <v>1734</v>
      </c>
      <c r="C434" t="s">
        <v>46</v>
      </c>
      <c r="D434" t="s">
        <v>16</v>
      </c>
      <c r="E434" t="s">
        <v>17</v>
      </c>
      <c r="F434" t="s">
        <v>18</v>
      </c>
      <c r="G434">
        <v>43811</v>
      </c>
      <c r="H434">
        <v>43885</v>
      </c>
      <c r="I434" t="s">
        <v>1735</v>
      </c>
      <c r="J434" t="s">
        <v>1736</v>
      </c>
      <c r="K434" t="s">
        <v>21</v>
      </c>
      <c r="L434" t="s">
        <v>30</v>
      </c>
      <c r="M434" t="s">
        <v>22</v>
      </c>
    </row>
    <row r="435" spans="1:13" hidden="1" x14ac:dyDescent="0.3">
      <c r="A435" t="s">
        <v>1737</v>
      </c>
      <c r="B435" t="s">
        <v>1738</v>
      </c>
      <c r="C435" t="s">
        <v>181</v>
      </c>
      <c r="D435" t="s">
        <v>41</v>
      </c>
      <c r="E435" t="s">
        <v>17</v>
      </c>
      <c r="F435" t="s">
        <v>151</v>
      </c>
      <c r="G435">
        <v>44255</v>
      </c>
      <c r="H435">
        <v>44319</v>
      </c>
      <c r="I435" t="s">
        <v>1739</v>
      </c>
      <c r="J435" t="s">
        <v>1740</v>
      </c>
      <c r="K435" t="s">
        <v>90</v>
      </c>
      <c r="M435" t="s">
        <v>3735</v>
      </c>
    </row>
    <row r="436" spans="1:13" hidden="1" x14ac:dyDescent="0.3">
      <c r="A436" t="s">
        <v>1741</v>
      </c>
      <c r="B436" t="s">
        <v>1742</v>
      </c>
      <c r="C436" t="s">
        <v>76</v>
      </c>
      <c r="D436" t="s">
        <v>77</v>
      </c>
      <c r="E436" t="s">
        <v>52</v>
      </c>
      <c r="F436" t="s">
        <v>18</v>
      </c>
      <c r="G436">
        <v>44284</v>
      </c>
      <c r="H436">
        <v>44418</v>
      </c>
      <c r="I436" t="s">
        <v>1743</v>
      </c>
      <c r="J436" t="s">
        <v>1744</v>
      </c>
      <c r="K436" t="s">
        <v>29</v>
      </c>
      <c r="M436" t="s">
        <v>3735</v>
      </c>
    </row>
    <row r="437" spans="1:13" hidden="1" x14ac:dyDescent="0.3">
      <c r="A437" t="s">
        <v>1745</v>
      </c>
      <c r="B437" t="s">
        <v>1746</v>
      </c>
      <c r="C437" t="s">
        <v>87</v>
      </c>
      <c r="D437" t="s">
        <v>41</v>
      </c>
      <c r="E437" t="s">
        <v>17</v>
      </c>
      <c r="F437" t="s">
        <v>18</v>
      </c>
      <c r="G437">
        <v>44224</v>
      </c>
      <c r="H437">
        <v>44322</v>
      </c>
      <c r="I437" t="s">
        <v>1747</v>
      </c>
      <c r="J437" t="s">
        <v>1748</v>
      </c>
      <c r="K437" t="s">
        <v>29</v>
      </c>
      <c r="M437" t="s">
        <v>3735</v>
      </c>
    </row>
    <row r="438" spans="1:13" x14ac:dyDescent="0.3">
      <c r="A438" t="s">
        <v>1749</v>
      </c>
      <c r="B438" t="s">
        <v>590</v>
      </c>
      <c r="C438" t="s">
        <v>15</v>
      </c>
      <c r="D438" t="s">
        <v>25</v>
      </c>
      <c r="E438" t="s">
        <v>26</v>
      </c>
      <c r="F438" t="s">
        <v>18</v>
      </c>
      <c r="G438">
        <v>43774</v>
      </c>
      <c r="H438">
        <v>43846</v>
      </c>
      <c r="I438" t="s">
        <v>591</v>
      </c>
      <c r="J438" t="s">
        <v>1750</v>
      </c>
      <c r="K438" t="s">
        <v>29</v>
      </c>
      <c r="L438" t="s">
        <v>60</v>
      </c>
      <c r="M438" t="s">
        <v>22</v>
      </c>
    </row>
    <row r="439" spans="1:13" hidden="1" x14ac:dyDescent="0.3">
      <c r="A439" t="s">
        <v>1751</v>
      </c>
      <c r="B439" t="s">
        <v>875</v>
      </c>
      <c r="C439" t="s">
        <v>33</v>
      </c>
      <c r="D439" t="s">
        <v>77</v>
      </c>
      <c r="E439" t="s">
        <v>52</v>
      </c>
      <c r="F439" t="s">
        <v>160</v>
      </c>
      <c r="G439">
        <v>45229</v>
      </c>
      <c r="I439" t="s">
        <v>876</v>
      </c>
      <c r="J439" t="s">
        <v>1752</v>
      </c>
      <c r="K439" t="s">
        <v>37</v>
      </c>
      <c r="L439" t="s">
        <v>30</v>
      </c>
      <c r="M439" t="s">
        <v>3735</v>
      </c>
    </row>
    <row r="440" spans="1:13" x14ac:dyDescent="0.3">
      <c r="A440" t="s">
        <v>1753</v>
      </c>
      <c r="B440" t="s">
        <v>1754</v>
      </c>
      <c r="C440" t="s">
        <v>33</v>
      </c>
      <c r="D440" t="s">
        <v>67</v>
      </c>
      <c r="E440" t="s">
        <v>26</v>
      </c>
      <c r="F440" t="s">
        <v>18</v>
      </c>
      <c r="G440">
        <v>44141</v>
      </c>
      <c r="H440">
        <v>44302</v>
      </c>
      <c r="I440" t="s">
        <v>1755</v>
      </c>
      <c r="J440" t="s">
        <v>1756</v>
      </c>
      <c r="K440" t="s">
        <v>21</v>
      </c>
      <c r="L440" t="s">
        <v>60</v>
      </c>
      <c r="M440" t="s">
        <v>22</v>
      </c>
    </row>
    <row r="441" spans="1:13" x14ac:dyDescent="0.3">
      <c r="A441" t="s">
        <v>1757</v>
      </c>
      <c r="B441" t="s">
        <v>1758</v>
      </c>
      <c r="C441" t="s">
        <v>15</v>
      </c>
      <c r="D441" t="s">
        <v>51</v>
      </c>
      <c r="E441" t="s">
        <v>52</v>
      </c>
      <c r="F441" t="s">
        <v>160</v>
      </c>
      <c r="G441">
        <v>44593</v>
      </c>
      <c r="H441">
        <v>44809</v>
      </c>
      <c r="I441" t="s">
        <v>1759</v>
      </c>
      <c r="J441" t="s">
        <v>1760</v>
      </c>
      <c r="K441" t="s">
        <v>21</v>
      </c>
      <c r="L441" t="s">
        <v>116</v>
      </c>
      <c r="M441" t="s">
        <v>22</v>
      </c>
    </row>
    <row r="442" spans="1:13" x14ac:dyDescent="0.3">
      <c r="A442" t="s">
        <v>1761</v>
      </c>
      <c r="B442" t="s">
        <v>1762</v>
      </c>
      <c r="C442" t="s">
        <v>87</v>
      </c>
      <c r="D442" t="s">
        <v>67</v>
      </c>
      <c r="E442" t="s">
        <v>26</v>
      </c>
      <c r="F442" t="s">
        <v>18</v>
      </c>
      <c r="G442">
        <v>44203</v>
      </c>
      <c r="H442">
        <v>44290</v>
      </c>
      <c r="I442" t="s">
        <v>1763</v>
      </c>
      <c r="J442" t="s">
        <v>1764</v>
      </c>
      <c r="K442" t="s">
        <v>21</v>
      </c>
      <c r="L442" t="s">
        <v>91</v>
      </c>
      <c r="M442" t="s">
        <v>22</v>
      </c>
    </row>
    <row r="443" spans="1:13" x14ac:dyDescent="0.3">
      <c r="A443" t="s">
        <v>1765</v>
      </c>
      <c r="B443" t="s">
        <v>1766</v>
      </c>
      <c r="C443" t="s">
        <v>76</v>
      </c>
      <c r="D443" t="s">
        <v>51</v>
      </c>
      <c r="E443" t="s">
        <v>52</v>
      </c>
      <c r="F443" t="s">
        <v>18</v>
      </c>
      <c r="G443">
        <v>45328</v>
      </c>
      <c r="H443">
        <v>45516</v>
      </c>
      <c r="I443" t="s">
        <v>1767</v>
      </c>
      <c r="J443" t="s">
        <v>1768</v>
      </c>
      <c r="K443" t="s">
        <v>29</v>
      </c>
      <c r="L443" t="s">
        <v>60</v>
      </c>
      <c r="M443" t="s">
        <v>22</v>
      </c>
    </row>
    <row r="444" spans="1:13" x14ac:dyDescent="0.3">
      <c r="A444" t="s">
        <v>1769</v>
      </c>
      <c r="B444" t="s">
        <v>1770</v>
      </c>
      <c r="C444" t="s">
        <v>87</v>
      </c>
      <c r="D444" t="s">
        <v>34</v>
      </c>
      <c r="E444" t="s">
        <v>26</v>
      </c>
      <c r="F444" t="s">
        <v>18</v>
      </c>
      <c r="G444">
        <v>44930</v>
      </c>
      <c r="H444">
        <v>45154</v>
      </c>
      <c r="I444" t="s">
        <v>1771</v>
      </c>
      <c r="J444" t="s">
        <v>1772</v>
      </c>
      <c r="K444" t="s">
        <v>90</v>
      </c>
      <c r="L444" t="s">
        <v>116</v>
      </c>
      <c r="M444" t="s">
        <v>22</v>
      </c>
    </row>
    <row r="445" spans="1:13" x14ac:dyDescent="0.3">
      <c r="A445" t="s">
        <v>1773</v>
      </c>
      <c r="B445" t="s">
        <v>1774</v>
      </c>
      <c r="C445" t="s">
        <v>46</v>
      </c>
      <c r="D445" t="s">
        <v>41</v>
      </c>
      <c r="E445" t="s">
        <v>17</v>
      </c>
      <c r="F445" t="s">
        <v>151</v>
      </c>
      <c r="G445">
        <v>44780</v>
      </c>
      <c r="H445">
        <v>44975</v>
      </c>
      <c r="I445" t="s">
        <v>1775</v>
      </c>
      <c r="J445" t="s">
        <v>1776</v>
      </c>
      <c r="K445" t="s">
        <v>29</v>
      </c>
      <c r="L445" t="s">
        <v>91</v>
      </c>
      <c r="M445" t="s">
        <v>22</v>
      </c>
    </row>
    <row r="446" spans="1:13" hidden="1" x14ac:dyDescent="0.3">
      <c r="A446" t="s">
        <v>1777</v>
      </c>
      <c r="B446" t="s">
        <v>1778</v>
      </c>
      <c r="C446" t="s">
        <v>46</v>
      </c>
      <c r="D446" t="s">
        <v>67</v>
      </c>
      <c r="E446" t="s">
        <v>26</v>
      </c>
      <c r="F446" t="s">
        <v>18</v>
      </c>
      <c r="G446">
        <v>43662</v>
      </c>
      <c r="H446">
        <v>44000</v>
      </c>
      <c r="I446" t="s">
        <v>1779</v>
      </c>
      <c r="J446" t="s">
        <v>1780</v>
      </c>
      <c r="K446" t="s">
        <v>90</v>
      </c>
      <c r="M446" t="s">
        <v>3735</v>
      </c>
    </row>
    <row r="447" spans="1:13" x14ac:dyDescent="0.3">
      <c r="A447" t="s">
        <v>1781</v>
      </c>
      <c r="B447" t="s">
        <v>1782</v>
      </c>
      <c r="C447" t="s">
        <v>33</v>
      </c>
      <c r="D447" t="s">
        <v>77</v>
      </c>
      <c r="E447" t="s">
        <v>52</v>
      </c>
      <c r="F447" t="s">
        <v>160</v>
      </c>
      <c r="G447">
        <v>45451</v>
      </c>
      <c r="H447">
        <v>45513</v>
      </c>
      <c r="I447" t="s">
        <v>1783</v>
      </c>
      <c r="J447" t="s">
        <v>1784</v>
      </c>
      <c r="K447" t="s">
        <v>37</v>
      </c>
      <c r="L447" t="s">
        <v>116</v>
      </c>
      <c r="M447" t="s">
        <v>22</v>
      </c>
    </row>
    <row r="448" spans="1:13" hidden="1" x14ac:dyDescent="0.3">
      <c r="A448" t="s">
        <v>1785</v>
      </c>
      <c r="B448" t="s">
        <v>3721</v>
      </c>
      <c r="C448" t="s">
        <v>15</v>
      </c>
      <c r="D448" t="s">
        <v>25</v>
      </c>
      <c r="E448" t="s">
        <v>26</v>
      </c>
      <c r="F448" t="s">
        <v>18</v>
      </c>
      <c r="G448">
        <v>43714</v>
      </c>
      <c r="H448">
        <v>43898</v>
      </c>
      <c r="I448" t="s">
        <v>1786</v>
      </c>
      <c r="J448" t="s">
        <v>1787</v>
      </c>
      <c r="K448" t="s">
        <v>29</v>
      </c>
      <c r="M448" t="s">
        <v>3735</v>
      </c>
    </row>
    <row r="449" spans="1:13" x14ac:dyDescent="0.3">
      <c r="A449" t="s">
        <v>1788</v>
      </c>
      <c r="B449" t="s">
        <v>1789</v>
      </c>
      <c r="C449" t="s">
        <v>15</v>
      </c>
      <c r="D449" t="s">
        <v>41</v>
      </c>
      <c r="E449" t="s">
        <v>17</v>
      </c>
      <c r="F449" t="s">
        <v>18</v>
      </c>
      <c r="G449">
        <v>45495</v>
      </c>
      <c r="H449">
        <v>45642</v>
      </c>
      <c r="I449" t="s">
        <v>1790</v>
      </c>
      <c r="J449" t="s">
        <v>1791</v>
      </c>
      <c r="K449" t="s">
        <v>21</v>
      </c>
      <c r="L449" t="s">
        <v>60</v>
      </c>
      <c r="M449" t="s">
        <v>22</v>
      </c>
    </row>
    <row r="450" spans="1:13" hidden="1" x14ac:dyDescent="0.3">
      <c r="A450" t="s">
        <v>1792</v>
      </c>
      <c r="B450" t="s">
        <v>1793</v>
      </c>
      <c r="C450" t="s">
        <v>46</v>
      </c>
      <c r="D450" t="s">
        <v>77</v>
      </c>
      <c r="E450" t="s">
        <v>52</v>
      </c>
      <c r="F450" t="s">
        <v>160</v>
      </c>
      <c r="G450">
        <v>44991</v>
      </c>
      <c r="H450">
        <v>45225</v>
      </c>
      <c r="I450" t="s">
        <v>1794</v>
      </c>
      <c r="J450" t="s">
        <v>1795</v>
      </c>
      <c r="K450" t="s">
        <v>37</v>
      </c>
      <c r="M450" t="s">
        <v>3735</v>
      </c>
    </row>
    <row r="451" spans="1:13" x14ac:dyDescent="0.3">
      <c r="A451" t="s">
        <v>1796</v>
      </c>
      <c r="B451" t="s">
        <v>1797</v>
      </c>
      <c r="C451" t="s">
        <v>76</v>
      </c>
      <c r="D451" t="s">
        <v>25</v>
      </c>
      <c r="E451" t="s">
        <v>26</v>
      </c>
      <c r="F451" t="s">
        <v>18</v>
      </c>
      <c r="G451">
        <v>43742</v>
      </c>
      <c r="H451">
        <v>44045</v>
      </c>
      <c r="I451" t="s">
        <v>1798</v>
      </c>
      <c r="J451" t="s">
        <v>1799</v>
      </c>
      <c r="K451" t="s">
        <v>29</v>
      </c>
      <c r="L451" t="s">
        <v>116</v>
      </c>
      <c r="M451" t="s">
        <v>22</v>
      </c>
    </row>
    <row r="452" spans="1:13" x14ac:dyDescent="0.3">
      <c r="A452" t="s">
        <v>1800</v>
      </c>
      <c r="B452" t="s">
        <v>1801</v>
      </c>
      <c r="C452" t="s">
        <v>33</v>
      </c>
      <c r="D452" t="s">
        <v>16</v>
      </c>
      <c r="E452" t="s">
        <v>17</v>
      </c>
      <c r="F452" t="s">
        <v>18</v>
      </c>
      <c r="G452">
        <v>44167</v>
      </c>
      <c r="H452">
        <v>44436</v>
      </c>
      <c r="I452" t="s">
        <v>1802</v>
      </c>
      <c r="J452" t="s">
        <v>1803</v>
      </c>
      <c r="K452" t="s">
        <v>90</v>
      </c>
      <c r="L452" t="s">
        <v>60</v>
      </c>
      <c r="M452" t="s">
        <v>22</v>
      </c>
    </row>
    <row r="453" spans="1:13" x14ac:dyDescent="0.3">
      <c r="A453" t="s">
        <v>1804</v>
      </c>
      <c r="B453" t="s">
        <v>1805</v>
      </c>
      <c r="C453" t="s">
        <v>15</v>
      </c>
      <c r="D453" t="s">
        <v>34</v>
      </c>
      <c r="E453" t="s">
        <v>26</v>
      </c>
      <c r="F453" t="s">
        <v>151</v>
      </c>
      <c r="G453">
        <v>44243</v>
      </c>
      <c r="H453">
        <v>44392</v>
      </c>
      <c r="I453" t="s">
        <v>1806</v>
      </c>
      <c r="J453" t="s">
        <v>1807</v>
      </c>
      <c r="K453" t="s">
        <v>29</v>
      </c>
      <c r="L453" t="s">
        <v>116</v>
      </c>
      <c r="M453" t="s">
        <v>22</v>
      </c>
    </row>
    <row r="454" spans="1:13" hidden="1" x14ac:dyDescent="0.3">
      <c r="A454" t="s">
        <v>1808</v>
      </c>
      <c r="B454" t="s">
        <v>1809</v>
      </c>
      <c r="C454" t="s">
        <v>40</v>
      </c>
      <c r="D454" t="s">
        <v>16</v>
      </c>
      <c r="E454" t="s">
        <v>17</v>
      </c>
      <c r="F454" t="s">
        <v>151</v>
      </c>
      <c r="G454">
        <v>44613</v>
      </c>
      <c r="H454">
        <v>44728</v>
      </c>
      <c r="I454" t="s">
        <v>1810</v>
      </c>
      <c r="J454" t="s">
        <v>1811</v>
      </c>
      <c r="K454" t="s">
        <v>21</v>
      </c>
      <c r="M454" t="s">
        <v>3735</v>
      </c>
    </row>
    <row r="455" spans="1:13" x14ac:dyDescent="0.3">
      <c r="A455" t="s">
        <v>1812</v>
      </c>
      <c r="B455" t="s">
        <v>1813</v>
      </c>
      <c r="C455" t="s">
        <v>15</v>
      </c>
      <c r="D455" t="s">
        <v>51</v>
      </c>
      <c r="E455" t="s">
        <v>52</v>
      </c>
      <c r="F455" t="s">
        <v>160</v>
      </c>
      <c r="G455">
        <v>45547</v>
      </c>
      <c r="H455">
        <v>45846</v>
      </c>
      <c r="I455" t="s">
        <v>1814</v>
      </c>
      <c r="J455" t="s">
        <v>1815</v>
      </c>
      <c r="K455" t="s">
        <v>90</v>
      </c>
      <c r="L455" t="s">
        <v>30</v>
      </c>
      <c r="M455" t="s">
        <v>22</v>
      </c>
    </row>
    <row r="456" spans="1:13" x14ac:dyDescent="0.3">
      <c r="A456" t="s">
        <v>1816</v>
      </c>
      <c r="B456" t="s">
        <v>1817</v>
      </c>
      <c r="C456" t="s">
        <v>87</v>
      </c>
      <c r="D456" t="s">
        <v>51</v>
      </c>
      <c r="E456" t="s">
        <v>52</v>
      </c>
      <c r="F456" t="s">
        <v>18</v>
      </c>
      <c r="G456">
        <v>45442</v>
      </c>
      <c r="H456">
        <v>45683</v>
      </c>
      <c r="I456" t="s">
        <v>1818</v>
      </c>
      <c r="J456" t="s">
        <v>1819</v>
      </c>
      <c r="K456" t="s">
        <v>37</v>
      </c>
      <c r="L456" t="s">
        <v>30</v>
      </c>
      <c r="M456" t="s">
        <v>22</v>
      </c>
    </row>
    <row r="457" spans="1:13" hidden="1" x14ac:dyDescent="0.3">
      <c r="A457" t="s">
        <v>1820</v>
      </c>
      <c r="B457" t="s">
        <v>1821</v>
      </c>
      <c r="C457" t="s">
        <v>40</v>
      </c>
      <c r="D457" t="s">
        <v>67</v>
      </c>
      <c r="E457" t="s">
        <v>26</v>
      </c>
      <c r="F457" t="s">
        <v>18</v>
      </c>
      <c r="G457">
        <v>43513</v>
      </c>
      <c r="H457">
        <v>43861</v>
      </c>
      <c r="I457" t="s">
        <v>1822</v>
      </c>
      <c r="J457" t="s">
        <v>1823</v>
      </c>
      <c r="K457" t="s">
        <v>29</v>
      </c>
      <c r="M457" t="s">
        <v>3735</v>
      </c>
    </row>
    <row r="458" spans="1:13" x14ac:dyDescent="0.3">
      <c r="A458" t="s">
        <v>1824</v>
      </c>
      <c r="B458" t="s">
        <v>1825</v>
      </c>
      <c r="C458" t="s">
        <v>87</v>
      </c>
      <c r="D458" t="s">
        <v>67</v>
      </c>
      <c r="E458" t="s">
        <v>26</v>
      </c>
      <c r="F458" t="s">
        <v>18</v>
      </c>
      <c r="G458">
        <v>45414</v>
      </c>
      <c r="H458">
        <v>45757</v>
      </c>
      <c r="I458" t="s">
        <v>1826</v>
      </c>
      <c r="J458" t="s">
        <v>210</v>
      </c>
      <c r="K458" t="s">
        <v>29</v>
      </c>
      <c r="L458" t="s">
        <v>55</v>
      </c>
      <c r="M458" t="s">
        <v>22</v>
      </c>
    </row>
    <row r="459" spans="1:13" x14ac:dyDescent="0.3">
      <c r="A459" t="s">
        <v>1827</v>
      </c>
      <c r="B459" t="s">
        <v>1828</v>
      </c>
      <c r="C459" t="s">
        <v>15</v>
      </c>
      <c r="D459" t="s">
        <v>25</v>
      </c>
      <c r="E459" t="s">
        <v>26</v>
      </c>
      <c r="F459" t="s">
        <v>18</v>
      </c>
      <c r="G459">
        <v>44562</v>
      </c>
      <c r="H459">
        <v>44765</v>
      </c>
      <c r="I459" t="s">
        <v>1829</v>
      </c>
      <c r="J459" t="s">
        <v>1830</v>
      </c>
      <c r="K459" t="s">
        <v>37</v>
      </c>
      <c r="L459" t="s">
        <v>55</v>
      </c>
      <c r="M459" t="s">
        <v>22</v>
      </c>
    </row>
    <row r="460" spans="1:13" x14ac:dyDescent="0.3">
      <c r="A460" t="s">
        <v>1831</v>
      </c>
      <c r="B460" t="s">
        <v>1832</v>
      </c>
      <c r="C460" t="s">
        <v>76</v>
      </c>
      <c r="D460" t="s">
        <v>34</v>
      </c>
      <c r="E460" t="s">
        <v>26</v>
      </c>
      <c r="F460" t="s">
        <v>18</v>
      </c>
      <c r="G460">
        <v>45595</v>
      </c>
      <c r="H460">
        <v>45870</v>
      </c>
      <c r="I460" t="s">
        <v>1833</v>
      </c>
      <c r="J460" t="s">
        <v>1834</v>
      </c>
      <c r="K460" t="s">
        <v>21</v>
      </c>
      <c r="L460" t="s">
        <v>60</v>
      </c>
      <c r="M460" t="s">
        <v>22</v>
      </c>
    </row>
    <row r="461" spans="1:13" x14ac:dyDescent="0.3">
      <c r="A461" t="s">
        <v>1835</v>
      </c>
      <c r="B461" t="s">
        <v>1836</v>
      </c>
      <c r="C461" t="s">
        <v>33</v>
      </c>
      <c r="D461" t="s">
        <v>34</v>
      </c>
      <c r="E461" t="s">
        <v>26</v>
      </c>
      <c r="F461" t="s">
        <v>160</v>
      </c>
      <c r="G461">
        <v>45253</v>
      </c>
      <c r="H461">
        <v>45563</v>
      </c>
      <c r="I461" t="s">
        <v>1837</v>
      </c>
      <c r="J461" t="s">
        <v>1838</v>
      </c>
      <c r="K461" t="s">
        <v>21</v>
      </c>
      <c r="L461" t="s">
        <v>91</v>
      </c>
      <c r="M461" t="s">
        <v>22</v>
      </c>
    </row>
    <row r="462" spans="1:13" x14ac:dyDescent="0.3">
      <c r="A462" t="s">
        <v>1839</v>
      </c>
      <c r="B462" t="s">
        <v>1840</v>
      </c>
      <c r="C462" t="s">
        <v>181</v>
      </c>
      <c r="D462" t="s">
        <v>41</v>
      </c>
      <c r="E462" t="s">
        <v>17</v>
      </c>
      <c r="F462" t="s">
        <v>151</v>
      </c>
      <c r="G462">
        <v>43610</v>
      </c>
      <c r="H462">
        <v>43893</v>
      </c>
      <c r="I462" t="s">
        <v>1841</v>
      </c>
      <c r="J462" t="s">
        <v>1842</v>
      </c>
      <c r="K462" t="s">
        <v>29</v>
      </c>
      <c r="L462" t="s">
        <v>55</v>
      </c>
      <c r="M462" t="s">
        <v>22</v>
      </c>
    </row>
    <row r="463" spans="1:13" x14ac:dyDescent="0.3">
      <c r="A463" t="s">
        <v>1843</v>
      </c>
      <c r="B463" t="s">
        <v>1844</v>
      </c>
      <c r="C463" t="s">
        <v>15</v>
      </c>
      <c r="D463" t="s">
        <v>77</v>
      </c>
      <c r="E463" t="s">
        <v>52</v>
      </c>
      <c r="F463" t="s">
        <v>18</v>
      </c>
      <c r="G463">
        <v>44034</v>
      </c>
      <c r="H463">
        <v>44395</v>
      </c>
      <c r="I463" t="s">
        <v>1845</v>
      </c>
      <c r="J463" t="s">
        <v>1846</v>
      </c>
      <c r="K463" t="s">
        <v>90</v>
      </c>
      <c r="L463" t="s">
        <v>60</v>
      </c>
      <c r="M463" t="s">
        <v>22</v>
      </c>
    </row>
    <row r="464" spans="1:13" hidden="1" x14ac:dyDescent="0.3">
      <c r="A464" t="s">
        <v>1847</v>
      </c>
      <c r="B464" t="s">
        <v>1848</v>
      </c>
      <c r="C464" t="s">
        <v>40</v>
      </c>
      <c r="D464" t="s">
        <v>67</v>
      </c>
      <c r="E464" t="s">
        <v>26</v>
      </c>
      <c r="F464" t="s">
        <v>18</v>
      </c>
      <c r="G464">
        <v>44210</v>
      </c>
      <c r="H464">
        <v>44529</v>
      </c>
      <c r="I464" t="s">
        <v>1849</v>
      </c>
      <c r="K464" t="s">
        <v>37</v>
      </c>
      <c r="M464" t="s">
        <v>3735</v>
      </c>
    </row>
    <row r="465" spans="1:13" hidden="1" x14ac:dyDescent="0.3">
      <c r="A465" t="s">
        <v>1850</v>
      </c>
      <c r="B465" t="s">
        <v>1851</v>
      </c>
      <c r="C465" t="s">
        <v>76</v>
      </c>
      <c r="D465" t="s">
        <v>77</v>
      </c>
      <c r="E465" t="s">
        <v>52</v>
      </c>
      <c r="F465" t="s">
        <v>160</v>
      </c>
      <c r="G465">
        <v>45416</v>
      </c>
      <c r="H465">
        <v>45525</v>
      </c>
      <c r="I465" t="s">
        <v>1852</v>
      </c>
      <c r="J465" t="s">
        <v>1853</v>
      </c>
      <c r="K465" t="s">
        <v>29</v>
      </c>
      <c r="M465" t="s">
        <v>3735</v>
      </c>
    </row>
    <row r="466" spans="1:13" x14ac:dyDescent="0.3">
      <c r="A466" t="s">
        <v>1854</v>
      </c>
      <c r="B466" t="s">
        <v>1855</v>
      </c>
      <c r="C466" t="s">
        <v>87</v>
      </c>
      <c r="D466" t="s">
        <v>25</v>
      </c>
      <c r="E466" t="s">
        <v>26</v>
      </c>
      <c r="F466" t="s">
        <v>18</v>
      </c>
      <c r="G466">
        <v>44062</v>
      </c>
      <c r="H466">
        <v>44077</v>
      </c>
      <c r="I466" t="s">
        <v>1856</v>
      </c>
      <c r="J466" t="s">
        <v>1857</v>
      </c>
      <c r="K466" t="s">
        <v>21</v>
      </c>
      <c r="L466" t="s">
        <v>116</v>
      </c>
      <c r="M466" t="s">
        <v>22</v>
      </c>
    </row>
    <row r="467" spans="1:13" hidden="1" x14ac:dyDescent="0.3">
      <c r="A467" t="s">
        <v>1858</v>
      </c>
      <c r="B467" t="s">
        <v>3721</v>
      </c>
      <c r="C467" t="s">
        <v>46</v>
      </c>
      <c r="D467" t="s">
        <v>67</v>
      </c>
      <c r="E467" t="s">
        <v>26</v>
      </c>
      <c r="F467" t="s">
        <v>160</v>
      </c>
      <c r="G467">
        <v>44867</v>
      </c>
      <c r="H467">
        <v>44955</v>
      </c>
      <c r="I467" t="s">
        <v>1859</v>
      </c>
      <c r="J467" t="s">
        <v>1860</v>
      </c>
      <c r="K467" t="s">
        <v>90</v>
      </c>
      <c r="L467" t="s">
        <v>55</v>
      </c>
      <c r="M467" t="s">
        <v>3735</v>
      </c>
    </row>
    <row r="468" spans="1:13" hidden="1" x14ac:dyDescent="0.3">
      <c r="A468" t="s">
        <v>1861</v>
      </c>
      <c r="B468" t="s">
        <v>1862</v>
      </c>
      <c r="C468" t="s">
        <v>15</v>
      </c>
      <c r="D468" t="s">
        <v>34</v>
      </c>
      <c r="E468" t="s">
        <v>26</v>
      </c>
      <c r="F468" t="s">
        <v>151</v>
      </c>
      <c r="G468">
        <v>43772</v>
      </c>
      <c r="H468">
        <v>44012</v>
      </c>
      <c r="I468" t="s">
        <v>1863</v>
      </c>
      <c r="J468" t="s">
        <v>1864</v>
      </c>
      <c r="K468" t="s">
        <v>21</v>
      </c>
      <c r="M468" t="s">
        <v>3735</v>
      </c>
    </row>
    <row r="469" spans="1:13" x14ac:dyDescent="0.3">
      <c r="A469" t="s">
        <v>1865</v>
      </c>
      <c r="B469" t="s">
        <v>1866</v>
      </c>
      <c r="C469" t="s">
        <v>76</v>
      </c>
      <c r="D469" t="s">
        <v>77</v>
      </c>
      <c r="E469" t="s">
        <v>52</v>
      </c>
      <c r="F469" t="s">
        <v>160</v>
      </c>
      <c r="G469">
        <v>43538</v>
      </c>
      <c r="H469">
        <v>43590</v>
      </c>
      <c r="I469" t="s">
        <v>1867</v>
      </c>
      <c r="J469" t="s">
        <v>1868</v>
      </c>
      <c r="K469" t="s">
        <v>90</v>
      </c>
      <c r="L469" t="s">
        <v>91</v>
      </c>
      <c r="M469" t="s">
        <v>22</v>
      </c>
    </row>
    <row r="470" spans="1:13" x14ac:dyDescent="0.3">
      <c r="A470" t="s">
        <v>1869</v>
      </c>
      <c r="B470" t="s">
        <v>1870</v>
      </c>
      <c r="C470" t="s">
        <v>15</v>
      </c>
      <c r="D470" t="s">
        <v>67</v>
      </c>
      <c r="E470" t="s">
        <v>26</v>
      </c>
      <c r="F470" t="s">
        <v>18</v>
      </c>
      <c r="G470">
        <v>43804</v>
      </c>
      <c r="H470">
        <v>44021</v>
      </c>
      <c r="I470" t="s">
        <v>1871</v>
      </c>
      <c r="J470" t="s">
        <v>1872</v>
      </c>
      <c r="K470" t="s">
        <v>37</v>
      </c>
      <c r="L470" t="s">
        <v>91</v>
      </c>
      <c r="M470" t="s">
        <v>22</v>
      </c>
    </row>
    <row r="471" spans="1:13" x14ac:dyDescent="0.3">
      <c r="A471" t="s">
        <v>1873</v>
      </c>
      <c r="B471" t="s">
        <v>1874</v>
      </c>
      <c r="C471" t="s">
        <v>40</v>
      </c>
      <c r="D471" t="s">
        <v>41</v>
      </c>
      <c r="E471" t="s">
        <v>17</v>
      </c>
      <c r="F471" t="s">
        <v>151</v>
      </c>
      <c r="G471">
        <v>43771</v>
      </c>
      <c r="H471">
        <v>43866</v>
      </c>
      <c r="I471" t="s">
        <v>1875</v>
      </c>
      <c r="J471" t="s">
        <v>1876</v>
      </c>
      <c r="K471" t="s">
        <v>90</v>
      </c>
      <c r="L471" t="s">
        <v>30</v>
      </c>
      <c r="M471" t="s">
        <v>22</v>
      </c>
    </row>
    <row r="472" spans="1:13" x14ac:dyDescent="0.3">
      <c r="A472" t="s">
        <v>1877</v>
      </c>
      <c r="B472" t="s">
        <v>1878</v>
      </c>
      <c r="C472" t="s">
        <v>15</v>
      </c>
      <c r="D472" t="s">
        <v>51</v>
      </c>
      <c r="E472" t="s">
        <v>52</v>
      </c>
      <c r="F472" t="s">
        <v>18</v>
      </c>
      <c r="G472">
        <v>44746</v>
      </c>
      <c r="H472">
        <v>44964</v>
      </c>
      <c r="I472" t="s">
        <v>1879</v>
      </c>
      <c r="J472" t="s">
        <v>1880</v>
      </c>
      <c r="K472" t="s">
        <v>90</v>
      </c>
      <c r="L472" t="s">
        <v>60</v>
      </c>
      <c r="M472" t="s">
        <v>22</v>
      </c>
    </row>
    <row r="473" spans="1:13" hidden="1" x14ac:dyDescent="0.3">
      <c r="A473" t="s">
        <v>1881</v>
      </c>
      <c r="B473" t="s">
        <v>1882</v>
      </c>
      <c r="C473" t="s">
        <v>46</v>
      </c>
      <c r="D473" t="s">
        <v>41</v>
      </c>
      <c r="E473" t="s">
        <v>17</v>
      </c>
      <c r="F473" t="s">
        <v>18</v>
      </c>
      <c r="G473">
        <v>45441</v>
      </c>
      <c r="H473">
        <v>45637</v>
      </c>
      <c r="I473" t="s">
        <v>1883</v>
      </c>
      <c r="J473" t="s">
        <v>1884</v>
      </c>
      <c r="K473" t="s">
        <v>37</v>
      </c>
      <c r="M473" t="s">
        <v>3735</v>
      </c>
    </row>
    <row r="474" spans="1:13" x14ac:dyDescent="0.3">
      <c r="A474" t="s">
        <v>1885</v>
      </c>
      <c r="B474" t="s">
        <v>849</v>
      </c>
      <c r="C474" t="s">
        <v>181</v>
      </c>
      <c r="D474" t="s">
        <v>41</v>
      </c>
      <c r="E474" t="s">
        <v>17</v>
      </c>
      <c r="F474" t="s">
        <v>160</v>
      </c>
      <c r="G474">
        <v>45193</v>
      </c>
      <c r="H474">
        <v>45217</v>
      </c>
      <c r="I474" t="s">
        <v>850</v>
      </c>
      <c r="J474" t="s">
        <v>1886</v>
      </c>
      <c r="K474" t="s">
        <v>37</v>
      </c>
      <c r="L474" t="s">
        <v>55</v>
      </c>
      <c r="M474" t="s">
        <v>22</v>
      </c>
    </row>
    <row r="475" spans="1:13" x14ac:dyDescent="0.3">
      <c r="A475" t="s">
        <v>1887</v>
      </c>
      <c r="B475" t="s">
        <v>1888</v>
      </c>
      <c r="C475" t="s">
        <v>40</v>
      </c>
      <c r="D475" t="s">
        <v>51</v>
      </c>
      <c r="E475" t="s">
        <v>52</v>
      </c>
      <c r="F475" t="s">
        <v>160</v>
      </c>
      <c r="G475">
        <v>44764</v>
      </c>
      <c r="H475">
        <v>44903</v>
      </c>
      <c r="I475" t="s">
        <v>1889</v>
      </c>
      <c r="J475" t="s">
        <v>1890</v>
      </c>
      <c r="K475" t="s">
        <v>37</v>
      </c>
      <c r="L475" t="s">
        <v>30</v>
      </c>
      <c r="M475" t="s">
        <v>22</v>
      </c>
    </row>
    <row r="476" spans="1:13" hidden="1" x14ac:dyDescent="0.3">
      <c r="A476" t="s">
        <v>1891</v>
      </c>
      <c r="B476" t="s">
        <v>1892</v>
      </c>
      <c r="C476" t="s">
        <v>33</v>
      </c>
      <c r="D476" t="s">
        <v>77</v>
      </c>
      <c r="E476" t="s">
        <v>52</v>
      </c>
      <c r="F476" t="s">
        <v>160</v>
      </c>
      <c r="G476">
        <v>45267</v>
      </c>
      <c r="H476">
        <v>45464</v>
      </c>
      <c r="J476" t="s">
        <v>1893</v>
      </c>
      <c r="K476" t="s">
        <v>21</v>
      </c>
      <c r="M476" t="s">
        <v>3735</v>
      </c>
    </row>
    <row r="477" spans="1:13" hidden="1" x14ac:dyDescent="0.3">
      <c r="A477" t="s">
        <v>1894</v>
      </c>
      <c r="B477" t="s">
        <v>1895</v>
      </c>
      <c r="C477" t="s">
        <v>40</v>
      </c>
      <c r="D477" t="s">
        <v>77</v>
      </c>
      <c r="E477" t="s">
        <v>52</v>
      </c>
      <c r="F477" t="s">
        <v>18</v>
      </c>
      <c r="G477">
        <v>43610</v>
      </c>
      <c r="H477">
        <v>43908</v>
      </c>
      <c r="I477" t="s">
        <v>1896</v>
      </c>
      <c r="J477" t="s">
        <v>1897</v>
      </c>
      <c r="K477" t="s">
        <v>29</v>
      </c>
      <c r="M477" t="s">
        <v>3735</v>
      </c>
    </row>
    <row r="478" spans="1:13" hidden="1" x14ac:dyDescent="0.3">
      <c r="A478" t="s">
        <v>1898</v>
      </c>
      <c r="B478" t="s">
        <v>1899</v>
      </c>
      <c r="C478" t="s">
        <v>46</v>
      </c>
      <c r="D478" t="s">
        <v>34</v>
      </c>
      <c r="E478" t="s">
        <v>26</v>
      </c>
      <c r="F478" t="s">
        <v>18</v>
      </c>
      <c r="G478">
        <v>45284</v>
      </c>
      <c r="H478">
        <v>45399</v>
      </c>
      <c r="I478" t="s">
        <v>1900</v>
      </c>
      <c r="K478" t="s">
        <v>29</v>
      </c>
      <c r="L478" t="s">
        <v>30</v>
      </c>
      <c r="M478" t="s">
        <v>3735</v>
      </c>
    </row>
    <row r="479" spans="1:13" hidden="1" x14ac:dyDescent="0.3">
      <c r="A479" t="s">
        <v>1901</v>
      </c>
      <c r="B479" t="s">
        <v>1902</v>
      </c>
      <c r="C479" t="s">
        <v>40</v>
      </c>
      <c r="D479" t="s">
        <v>77</v>
      </c>
      <c r="E479" t="s">
        <v>52</v>
      </c>
      <c r="F479" t="s">
        <v>18</v>
      </c>
      <c r="G479">
        <v>43617</v>
      </c>
      <c r="H479">
        <v>43720</v>
      </c>
      <c r="I479" t="s">
        <v>1903</v>
      </c>
      <c r="K479" t="s">
        <v>37</v>
      </c>
      <c r="L479" t="s">
        <v>60</v>
      </c>
      <c r="M479" t="s">
        <v>3735</v>
      </c>
    </row>
    <row r="480" spans="1:13" hidden="1" x14ac:dyDescent="0.3">
      <c r="A480" t="s">
        <v>1904</v>
      </c>
      <c r="B480" t="s">
        <v>1905</v>
      </c>
      <c r="C480" t="s">
        <v>46</v>
      </c>
      <c r="D480" t="s">
        <v>34</v>
      </c>
      <c r="E480" t="s">
        <v>26</v>
      </c>
      <c r="F480" t="s">
        <v>18</v>
      </c>
      <c r="G480">
        <v>45041</v>
      </c>
      <c r="H480">
        <v>45378</v>
      </c>
      <c r="I480" t="s">
        <v>1906</v>
      </c>
      <c r="J480" t="s">
        <v>1795</v>
      </c>
      <c r="K480" t="s">
        <v>21</v>
      </c>
      <c r="M480" t="s">
        <v>3735</v>
      </c>
    </row>
    <row r="481" spans="1:13" x14ac:dyDescent="0.3">
      <c r="A481" t="s">
        <v>1907</v>
      </c>
      <c r="B481" t="s">
        <v>1908</v>
      </c>
      <c r="C481" t="s">
        <v>181</v>
      </c>
      <c r="D481" t="s">
        <v>67</v>
      </c>
      <c r="E481" t="s">
        <v>26</v>
      </c>
      <c r="F481" t="s">
        <v>18</v>
      </c>
      <c r="G481">
        <v>43568</v>
      </c>
      <c r="H481">
        <v>43775</v>
      </c>
      <c r="I481" t="s">
        <v>1909</v>
      </c>
      <c r="J481" t="s">
        <v>1910</v>
      </c>
      <c r="K481" t="s">
        <v>21</v>
      </c>
      <c r="L481" t="s">
        <v>116</v>
      </c>
      <c r="M481" t="s">
        <v>22</v>
      </c>
    </row>
    <row r="482" spans="1:13" x14ac:dyDescent="0.3">
      <c r="A482" t="s">
        <v>1911</v>
      </c>
      <c r="B482" t="s">
        <v>2807</v>
      </c>
      <c r="C482" t="s">
        <v>15</v>
      </c>
      <c r="D482" t="s">
        <v>77</v>
      </c>
      <c r="E482" t="s">
        <v>52</v>
      </c>
      <c r="F482" t="s">
        <v>160</v>
      </c>
      <c r="G482">
        <v>45581</v>
      </c>
      <c r="H482">
        <v>45772</v>
      </c>
      <c r="I482" t="s">
        <v>1913</v>
      </c>
      <c r="J482" t="s">
        <v>1914</v>
      </c>
      <c r="K482" t="s">
        <v>37</v>
      </c>
      <c r="L482" t="s">
        <v>60</v>
      </c>
      <c r="M482" t="s">
        <v>22</v>
      </c>
    </row>
    <row r="483" spans="1:13" x14ac:dyDescent="0.3">
      <c r="A483" t="s">
        <v>1915</v>
      </c>
      <c r="B483" t="s">
        <v>1916</v>
      </c>
      <c r="C483" t="s">
        <v>15</v>
      </c>
      <c r="D483" t="s">
        <v>41</v>
      </c>
      <c r="E483" t="s">
        <v>17</v>
      </c>
      <c r="F483" t="s">
        <v>18</v>
      </c>
      <c r="G483">
        <v>44308</v>
      </c>
      <c r="H483">
        <v>44466</v>
      </c>
      <c r="I483" t="s">
        <v>1917</v>
      </c>
      <c r="J483" t="s">
        <v>1918</v>
      </c>
      <c r="K483" t="s">
        <v>37</v>
      </c>
      <c r="L483" t="s">
        <v>91</v>
      </c>
      <c r="M483" t="s">
        <v>22</v>
      </c>
    </row>
    <row r="484" spans="1:13" x14ac:dyDescent="0.3">
      <c r="A484" t="s">
        <v>1919</v>
      </c>
      <c r="B484" t="s">
        <v>1920</v>
      </c>
      <c r="C484" t="s">
        <v>181</v>
      </c>
      <c r="D484" t="s">
        <v>67</v>
      </c>
      <c r="E484" t="s">
        <v>26</v>
      </c>
      <c r="F484" t="s">
        <v>18</v>
      </c>
      <c r="G484">
        <v>44252</v>
      </c>
      <c r="H484">
        <v>44569</v>
      </c>
      <c r="I484" t="s">
        <v>1921</v>
      </c>
      <c r="J484" t="s">
        <v>1922</v>
      </c>
      <c r="K484" t="s">
        <v>29</v>
      </c>
      <c r="L484" t="s">
        <v>116</v>
      </c>
      <c r="M484" t="s">
        <v>22</v>
      </c>
    </row>
    <row r="485" spans="1:13" x14ac:dyDescent="0.3">
      <c r="A485" t="s">
        <v>1923</v>
      </c>
      <c r="B485" t="s">
        <v>1924</v>
      </c>
      <c r="C485" t="s">
        <v>87</v>
      </c>
      <c r="D485" t="s">
        <v>34</v>
      </c>
      <c r="E485" t="s">
        <v>26</v>
      </c>
      <c r="F485" t="s">
        <v>18</v>
      </c>
      <c r="G485">
        <v>45247</v>
      </c>
      <c r="H485">
        <v>45515</v>
      </c>
      <c r="I485" t="s">
        <v>1925</v>
      </c>
      <c r="J485" t="s">
        <v>1926</v>
      </c>
      <c r="K485" t="s">
        <v>29</v>
      </c>
      <c r="L485" t="s">
        <v>30</v>
      </c>
      <c r="M485" t="s">
        <v>22</v>
      </c>
    </row>
    <row r="486" spans="1:13" x14ac:dyDescent="0.3">
      <c r="A486" t="s">
        <v>1927</v>
      </c>
      <c r="B486" t="s">
        <v>1928</v>
      </c>
      <c r="C486" t="s">
        <v>181</v>
      </c>
      <c r="D486" t="s">
        <v>77</v>
      </c>
      <c r="E486" t="s">
        <v>52</v>
      </c>
      <c r="F486" t="s">
        <v>18</v>
      </c>
      <c r="G486">
        <v>43711</v>
      </c>
      <c r="H486">
        <v>43783</v>
      </c>
      <c r="I486" t="s">
        <v>1929</v>
      </c>
      <c r="J486" t="s">
        <v>1930</v>
      </c>
      <c r="K486" t="s">
        <v>90</v>
      </c>
      <c r="L486" t="s">
        <v>55</v>
      </c>
      <c r="M486" t="s">
        <v>22</v>
      </c>
    </row>
    <row r="487" spans="1:13" x14ac:dyDescent="0.3">
      <c r="A487" t="s">
        <v>1931</v>
      </c>
      <c r="B487" t="s">
        <v>1932</v>
      </c>
      <c r="C487" t="s">
        <v>87</v>
      </c>
      <c r="D487" t="s">
        <v>77</v>
      </c>
      <c r="E487" t="s">
        <v>52</v>
      </c>
      <c r="F487" t="s">
        <v>18</v>
      </c>
      <c r="G487">
        <v>45275</v>
      </c>
      <c r="H487">
        <v>45315</v>
      </c>
      <c r="I487" t="s">
        <v>1933</v>
      </c>
      <c r="J487" t="s">
        <v>1934</v>
      </c>
      <c r="K487" t="s">
        <v>37</v>
      </c>
      <c r="L487" t="s">
        <v>91</v>
      </c>
      <c r="M487" t="s">
        <v>22</v>
      </c>
    </row>
    <row r="488" spans="1:13" hidden="1" x14ac:dyDescent="0.3">
      <c r="A488" t="s">
        <v>1935</v>
      </c>
      <c r="B488" t="s">
        <v>1936</v>
      </c>
      <c r="C488" t="s">
        <v>15</v>
      </c>
      <c r="D488" t="s">
        <v>25</v>
      </c>
      <c r="E488" t="s">
        <v>26</v>
      </c>
      <c r="F488" t="s">
        <v>151</v>
      </c>
      <c r="G488">
        <v>45647</v>
      </c>
      <c r="H488">
        <v>45711</v>
      </c>
      <c r="J488" t="s">
        <v>1937</v>
      </c>
      <c r="K488" t="s">
        <v>37</v>
      </c>
      <c r="L488" t="s">
        <v>116</v>
      </c>
      <c r="M488" t="s">
        <v>3735</v>
      </c>
    </row>
    <row r="489" spans="1:13" x14ac:dyDescent="0.3">
      <c r="A489" t="s">
        <v>1938</v>
      </c>
      <c r="B489" t="s">
        <v>1939</v>
      </c>
      <c r="C489" t="s">
        <v>15</v>
      </c>
      <c r="D489" t="s">
        <v>51</v>
      </c>
      <c r="E489" t="s">
        <v>52</v>
      </c>
      <c r="F489" t="s">
        <v>18</v>
      </c>
      <c r="G489">
        <v>45022</v>
      </c>
      <c r="H489">
        <v>45071</v>
      </c>
      <c r="I489" t="s">
        <v>1940</v>
      </c>
      <c r="J489" t="s">
        <v>1941</v>
      </c>
      <c r="K489" t="s">
        <v>29</v>
      </c>
      <c r="L489" t="s">
        <v>60</v>
      </c>
      <c r="M489" t="s">
        <v>22</v>
      </c>
    </row>
    <row r="490" spans="1:13" x14ac:dyDescent="0.3">
      <c r="A490" t="s">
        <v>1942</v>
      </c>
      <c r="B490" t="s">
        <v>1943</v>
      </c>
      <c r="C490" t="s">
        <v>76</v>
      </c>
      <c r="D490" t="s">
        <v>67</v>
      </c>
      <c r="E490" t="s">
        <v>26</v>
      </c>
      <c r="F490" t="s">
        <v>18</v>
      </c>
      <c r="G490">
        <v>44987</v>
      </c>
      <c r="H490">
        <v>45143</v>
      </c>
      <c r="I490" t="s">
        <v>1944</v>
      </c>
      <c r="J490" t="s">
        <v>1945</v>
      </c>
      <c r="K490" t="s">
        <v>29</v>
      </c>
      <c r="L490" t="s">
        <v>30</v>
      </c>
      <c r="M490" t="s">
        <v>22</v>
      </c>
    </row>
    <row r="491" spans="1:13" hidden="1" x14ac:dyDescent="0.3">
      <c r="A491" t="s">
        <v>1946</v>
      </c>
      <c r="B491" t="s">
        <v>1947</v>
      </c>
      <c r="C491" t="s">
        <v>33</v>
      </c>
      <c r="D491" t="s">
        <v>16</v>
      </c>
      <c r="E491" t="s">
        <v>17</v>
      </c>
      <c r="F491" t="s">
        <v>18</v>
      </c>
      <c r="G491">
        <v>45120</v>
      </c>
      <c r="H491">
        <v>45327</v>
      </c>
      <c r="I491" t="s">
        <v>1948</v>
      </c>
      <c r="J491" t="s">
        <v>1949</v>
      </c>
      <c r="K491" t="s">
        <v>21</v>
      </c>
      <c r="M491" t="s">
        <v>3735</v>
      </c>
    </row>
    <row r="492" spans="1:13" x14ac:dyDescent="0.3">
      <c r="A492" t="s">
        <v>1950</v>
      </c>
      <c r="B492" t="s">
        <v>1951</v>
      </c>
      <c r="C492" t="s">
        <v>76</v>
      </c>
      <c r="D492" t="s">
        <v>25</v>
      </c>
      <c r="E492" t="s">
        <v>26</v>
      </c>
      <c r="F492" t="s">
        <v>18</v>
      </c>
      <c r="G492">
        <v>44591</v>
      </c>
      <c r="H492">
        <v>44865</v>
      </c>
      <c r="I492" t="s">
        <v>1952</v>
      </c>
      <c r="J492" t="s">
        <v>1953</v>
      </c>
      <c r="K492" t="s">
        <v>21</v>
      </c>
      <c r="L492" t="s">
        <v>55</v>
      </c>
      <c r="M492" t="s">
        <v>22</v>
      </c>
    </row>
    <row r="493" spans="1:13" x14ac:dyDescent="0.3">
      <c r="A493" t="s">
        <v>1954</v>
      </c>
      <c r="B493" t="s">
        <v>1955</v>
      </c>
      <c r="C493" t="s">
        <v>181</v>
      </c>
      <c r="D493" t="s">
        <v>25</v>
      </c>
      <c r="E493" t="s">
        <v>26</v>
      </c>
      <c r="F493" t="s">
        <v>151</v>
      </c>
      <c r="G493">
        <v>43556</v>
      </c>
      <c r="H493">
        <v>43651</v>
      </c>
      <c r="I493" t="s">
        <v>1956</v>
      </c>
      <c r="J493" t="s">
        <v>1957</v>
      </c>
      <c r="K493" t="s">
        <v>29</v>
      </c>
      <c r="L493" t="s">
        <v>55</v>
      </c>
      <c r="M493" t="s">
        <v>22</v>
      </c>
    </row>
    <row r="494" spans="1:13" x14ac:dyDescent="0.3">
      <c r="A494" t="s">
        <v>1958</v>
      </c>
      <c r="B494" t="s">
        <v>1959</v>
      </c>
      <c r="C494" t="s">
        <v>15</v>
      </c>
      <c r="D494" t="s">
        <v>25</v>
      </c>
      <c r="E494" t="s">
        <v>26</v>
      </c>
      <c r="F494" t="s">
        <v>18</v>
      </c>
      <c r="G494">
        <v>45449</v>
      </c>
      <c r="H494">
        <v>45669</v>
      </c>
      <c r="I494" t="s">
        <v>1960</v>
      </c>
      <c r="J494" t="s">
        <v>1961</v>
      </c>
      <c r="K494" t="s">
        <v>90</v>
      </c>
      <c r="L494" t="s">
        <v>60</v>
      </c>
      <c r="M494" t="s">
        <v>22</v>
      </c>
    </row>
    <row r="495" spans="1:13" x14ac:dyDescent="0.3">
      <c r="A495" t="s">
        <v>1962</v>
      </c>
      <c r="B495" t="s">
        <v>1963</v>
      </c>
      <c r="C495" t="s">
        <v>181</v>
      </c>
      <c r="D495" t="s">
        <v>34</v>
      </c>
      <c r="E495" t="s">
        <v>26</v>
      </c>
      <c r="F495" t="s">
        <v>18</v>
      </c>
      <c r="G495">
        <v>44285</v>
      </c>
      <c r="H495">
        <v>44477</v>
      </c>
      <c r="I495" t="s">
        <v>1964</v>
      </c>
      <c r="J495" t="s">
        <v>1965</v>
      </c>
      <c r="K495" t="s">
        <v>21</v>
      </c>
      <c r="L495" t="s">
        <v>91</v>
      </c>
      <c r="M495" t="s">
        <v>22</v>
      </c>
    </row>
    <row r="496" spans="1:13" x14ac:dyDescent="0.3">
      <c r="A496" t="s">
        <v>1966</v>
      </c>
      <c r="B496" t="s">
        <v>1967</v>
      </c>
      <c r="C496" t="s">
        <v>15</v>
      </c>
      <c r="D496" t="s">
        <v>25</v>
      </c>
      <c r="E496" t="s">
        <v>26</v>
      </c>
      <c r="F496" t="s">
        <v>18</v>
      </c>
      <c r="G496">
        <v>43787</v>
      </c>
      <c r="H496">
        <v>44133</v>
      </c>
      <c r="I496" t="s">
        <v>1968</v>
      </c>
      <c r="J496" t="s">
        <v>1969</v>
      </c>
      <c r="K496" t="s">
        <v>90</v>
      </c>
      <c r="L496" t="s">
        <v>30</v>
      </c>
      <c r="M496" t="s">
        <v>22</v>
      </c>
    </row>
    <row r="497" spans="1:13" x14ac:dyDescent="0.3">
      <c r="A497" t="s">
        <v>1970</v>
      </c>
      <c r="B497" t="s">
        <v>3724</v>
      </c>
      <c r="C497" t="s">
        <v>33</v>
      </c>
      <c r="D497" t="s">
        <v>51</v>
      </c>
      <c r="E497" t="s">
        <v>52</v>
      </c>
      <c r="F497" t="s">
        <v>18</v>
      </c>
      <c r="G497">
        <v>44689</v>
      </c>
      <c r="H497">
        <v>44785</v>
      </c>
      <c r="I497" t="s">
        <v>1972</v>
      </c>
      <c r="J497" t="s">
        <v>1973</v>
      </c>
      <c r="K497" t="s">
        <v>37</v>
      </c>
      <c r="L497" t="s">
        <v>60</v>
      </c>
      <c r="M497" t="s">
        <v>22</v>
      </c>
    </row>
    <row r="498" spans="1:13" hidden="1" x14ac:dyDescent="0.3">
      <c r="A498" t="s">
        <v>1974</v>
      </c>
      <c r="B498" t="s">
        <v>1975</v>
      </c>
      <c r="C498" t="s">
        <v>40</v>
      </c>
      <c r="D498" t="s">
        <v>51</v>
      </c>
      <c r="E498" t="s">
        <v>52</v>
      </c>
      <c r="F498" t="s">
        <v>18</v>
      </c>
      <c r="G498">
        <v>43927</v>
      </c>
      <c r="H498">
        <v>44096</v>
      </c>
      <c r="I498" t="s">
        <v>1976</v>
      </c>
      <c r="J498" t="s">
        <v>1977</v>
      </c>
      <c r="K498" t="s">
        <v>29</v>
      </c>
      <c r="M498" t="s">
        <v>3735</v>
      </c>
    </row>
    <row r="499" spans="1:13" hidden="1" x14ac:dyDescent="0.3">
      <c r="A499" t="s">
        <v>1978</v>
      </c>
      <c r="B499" t="s">
        <v>1979</v>
      </c>
      <c r="C499" t="s">
        <v>76</v>
      </c>
      <c r="D499" t="s">
        <v>25</v>
      </c>
      <c r="E499" t="s">
        <v>26</v>
      </c>
      <c r="F499" t="s">
        <v>18</v>
      </c>
      <c r="G499">
        <v>44676</v>
      </c>
      <c r="H499">
        <v>44832</v>
      </c>
      <c r="I499" t="s">
        <v>1980</v>
      </c>
      <c r="J499" t="s">
        <v>1981</v>
      </c>
      <c r="K499" t="s">
        <v>37</v>
      </c>
      <c r="M499" t="s">
        <v>3735</v>
      </c>
    </row>
    <row r="500" spans="1:13" x14ac:dyDescent="0.3">
      <c r="A500" t="s">
        <v>1982</v>
      </c>
      <c r="B500" t="s">
        <v>1983</v>
      </c>
      <c r="C500" t="s">
        <v>15</v>
      </c>
      <c r="D500" t="s">
        <v>77</v>
      </c>
      <c r="E500" t="s">
        <v>52</v>
      </c>
      <c r="F500" t="s">
        <v>18</v>
      </c>
      <c r="G500">
        <v>44749</v>
      </c>
      <c r="H500">
        <v>45054</v>
      </c>
      <c r="I500" t="s">
        <v>1984</v>
      </c>
      <c r="J500" t="s">
        <v>1985</v>
      </c>
      <c r="K500" t="s">
        <v>90</v>
      </c>
      <c r="L500" t="s">
        <v>116</v>
      </c>
      <c r="M500" t="s">
        <v>22</v>
      </c>
    </row>
    <row r="501" spans="1:13" hidden="1" x14ac:dyDescent="0.3">
      <c r="A501" t="s">
        <v>1986</v>
      </c>
      <c r="B501" t="s">
        <v>1987</v>
      </c>
      <c r="C501" t="s">
        <v>40</v>
      </c>
      <c r="D501" t="s">
        <v>41</v>
      </c>
      <c r="E501" t="s">
        <v>17</v>
      </c>
      <c r="F501" t="s">
        <v>18</v>
      </c>
      <c r="G501">
        <v>44246</v>
      </c>
      <c r="H501">
        <v>44419</v>
      </c>
      <c r="I501" t="s">
        <v>1988</v>
      </c>
      <c r="J501" t="s">
        <v>1989</v>
      </c>
      <c r="K501" t="s">
        <v>90</v>
      </c>
      <c r="M501" t="s">
        <v>3735</v>
      </c>
    </row>
    <row r="502" spans="1:13" x14ac:dyDescent="0.3">
      <c r="A502" t="s">
        <v>1990</v>
      </c>
      <c r="B502" t="s">
        <v>1991</v>
      </c>
      <c r="C502" t="s">
        <v>87</v>
      </c>
      <c r="D502" t="s">
        <v>41</v>
      </c>
      <c r="E502" t="s">
        <v>17</v>
      </c>
      <c r="F502" t="s">
        <v>18</v>
      </c>
      <c r="G502">
        <v>44028</v>
      </c>
      <c r="H502">
        <v>44387</v>
      </c>
      <c r="I502" t="s">
        <v>1992</v>
      </c>
      <c r="J502" t="s">
        <v>1993</v>
      </c>
      <c r="K502" t="s">
        <v>21</v>
      </c>
      <c r="L502" t="s">
        <v>116</v>
      </c>
      <c r="M502" t="s">
        <v>22</v>
      </c>
    </row>
    <row r="503" spans="1:13" x14ac:dyDescent="0.3">
      <c r="A503" t="s">
        <v>1994</v>
      </c>
      <c r="B503" t="s">
        <v>1995</v>
      </c>
      <c r="C503" t="s">
        <v>87</v>
      </c>
      <c r="D503" t="s">
        <v>25</v>
      </c>
      <c r="E503" t="s">
        <v>26</v>
      </c>
      <c r="F503" t="s">
        <v>151</v>
      </c>
      <c r="G503">
        <v>45451</v>
      </c>
      <c r="H503">
        <v>45756</v>
      </c>
      <c r="I503" t="s">
        <v>1996</v>
      </c>
      <c r="J503" t="s">
        <v>1997</v>
      </c>
      <c r="K503" t="s">
        <v>37</v>
      </c>
      <c r="L503" t="s">
        <v>55</v>
      </c>
      <c r="M503" t="s">
        <v>22</v>
      </c>
    </row>
    <row r="504" spans="1:13" x14ac:dyDescent="0.3">
      <c r="A504" t="s">
        <v>1998</v>
      </c>
      <c r="B504" t="s">
        <v>1999</v>
      </c>
      <c r="C504" t="s">
        <v>181</v>
      </c>
      <c r="D504" t="s">
        <v>34</v>
      </c>
      <c r="E504" t="s">
        <v>26</v>
      </c>
      <c r="F504" t="s">
        <v>18</v>
      </c>
      <c r="G504">
        <v>44542</v>
      </c>
      <c r="H504">
        <v>44841</v>
      </c>
      <c r="I504" t="s">
        <v>2000</v>
      </c>
      <c r="J504" t="s">
        <v>2001</v>
      </c>
      <c r="K504" t="s">
        <v>29</v>
      </c>
      <c r="L504" t="s">
        <v>55</v>
      </c>
      <c r="M504" t="s">
        <v>22</v>
      </c>
    </row>
    <row r="505" spans="1:13" x14ac:dyDescent="0.3">
      <c r="A505" t="s">
        <v>2002</v>
      </c>
      <c r="B505" t="s">
        <v>2003</v>
      </c>
      <c r="C505" t="s">
        <v>40</v>
      </c>
      <c r="D505" t="s">
        <v>77</v>
      </c>
      <c r="E505" t="s">
        <v>52</v>
      </c>
      <c r="F505" t="s">
        <v>18</v>
      </c>
      <c r="G505">
        <v>44562</v>
      </c>
      <c r="H505">
        <v>45552</v>
      </c>
      <c r="I505" t="s">
        <v>2004</v>
      </c>
      <c r="J505" t="s">
        <v>2005</v>
      </c>
      <c r="K505" t="s">
        <v>29</v>
      </c>
      <c r="L505" t="s">
        <v>30</v>
      </c>
      <c r="M505" t="s">
        <v>22</v>
      </c>
    </row>
    <row r="506" spans="1:13" x14ac:dyDescent="0.3">
      <c r="A506" t="s">
        <v>2006</v>
      </c>
      <c r="B506" t="s">
        <v>2007</v>
      </c>
      <c r="C506" t="s">
        <v>181</v>
      </c>
      <c r="D506" t="s">
        <v>16</v>
      </c>
      <c r="E506" t="s">
        <v>17</v>
      </c>
      <c r="F506" t="s">
        <v>151</v>
      </c>
      <c r="G506">
        <v>45281</v>
      </c>
      <c r="H506">
        <v>45562</v>
      </c>
      <c r="I506" t="s">
        <v>2008</v>
      </c>
      <c r="J506" t="s">
        <v>2009</v>
      </c>
      <c r="K506" t="s">
        <v>90</v>
      </c>
      <c r="L506" t="s">
        <v>60</v>
      </c>
      <c r="M506" t="s">
        <v>22</v>
      </c>
    </row>
    <row r="507" spans="1:13" x14ac:dyDescent="0.3">
      <c r="A507" t="s">
        <v>2010</v>
      </c>
      <c r="B507" t="s">
        <v>2011</v>
      </c>
      <c r="C507" t="s">
        <v>15</v>
      </c>
      <c r="D507" t="s">
        <v>16</v>
      </c>
      <c r="E507" t="s">
        <v>17</v>
      </c>
      <c r="F507" t="s">
        <v>160</v>
      </c>
      <c r="G507">
        <v>43709</v>
      </c>
      <c r="H507">
        <v>43720</v>
      </c>
      <c r="I507" t="s">
        <v>2012</v>
      </c>
      <c r="J507" t="s">
        <v>2013</v>
      </c>
      <c r="K507" t="s">
        <v>90</v>
      </c>
      <c r="L507" t="s">
        <v>91</v>
      </c>
      <c r="M507" t="s">
        <v>22</v>
      </c>
    </row>
    <row r="508" spans="1:13" x14ac:dyDescent="0.3">
      <c r="A508" t="s">
        <v>2014</v>
      </c>
      <c r="B508" t="s">
        <v>2015</v>
      </c>
      <c r="C508" t="s">
        <v>46</v>
      </c>
      <c r="D508" t="s">
        <v>67</v>
      </c>
      <c r="E508" t="s">
        <v>26</v>
      </c>
      <c r="F508" t="s">
        <v>18</v>
      </c>
      <c r="G508">
        <v>44838</v>
      </c>
      <c r="H508">
        <v>44983</v>
      </c>
      <c r="I508" t="s">
        <v>2016</v>
      </c>
      <c r="J508" t="s">
        <v>2017</v>
      </c>
      <c r="K508" t="s">
        <v>21</v>
      </c>
      <c r="L508" t="s">
        <v>55</v>
      </c>
      <c r="M508" t="s">
        <v>22</v>
      </c>
    </row>
    <row r="509" spans="1:13" x14ac:dyDescent="0.3">
      <c r="A509" t="s">
        <v>2018</v>
      </c>
      <c r="B509" t="s">
        <v>2019</v>
      </c>
      <c r="C509" t="s">
        <v>87</v>
      </c>
      <c r="D509" t="s">
        <v>16</v>
      </c>
      <c r="E509" t="s">
        <v>17</v>
      </c>
      <c r="F509" t="s">
        <v>18</v>
      </c>
      <c r="G509">
        <v>45108</v>
      </c>
      <c r="H509">
        <v>45424</v>
      </c>
      <c r="I509" t="s">
        <v>2020</v>
      </c>
      <c r="J509" t="s">
        <v>2021</v>
      </c>
      <c r="K509" t="s">
        <v>37</v>
      </c>
      <c r="L509" t="s">
        <v>60</v>
      </c>
      <c r="M509" t="s">
        <v>22</v>
      </c>
    </row>
    <row r="510" spans="1:13" x14ac:dyDescent="0.3">
      <c r="A510" t="s">
        <v>2022</v>
      </c>
      <c r="B510" t="s">
        <v>2023</v>
      </c>
      <c r="C510" t="s">
        <v>181</v>
      </c>
      <c r="D510" t="s">
        <v>34</v>
      </c>
      <c r="E510" t="s">
        <v>26</v>
      </c>
      <c r="F510" t="s">
        <v>18</v>
      </c>
      <c r="G510">
        <v>44030</v>
      </c>
      <c r="H510">
        <v>44092</v>
      </c>
      <c r="I510" t="s">
        <v>2024</v>
      </c>
      <c r="J510" t="s">
        <v>2025</v>
      </c>
      <c r="K510" t="s">
        <v>21</v>
      </c>
      <c r="L510" t="s">
        <v>60</v>
      </c>
      <c r="M510" t="s">
        <v>22</v>
      </c>
    </row>
    <row r="511" spans="1:13" x14ac:dyDescent="0.3">
      <c r="A511" t="s">
        <v>2026</v>
      </c>
      <c r="B511" t="s">
        <v>2027</v>
      </c>
      <c r="C511" t="s">
        <v>46</v>
      </c>
      <c r="D511" t="s">
        <v>51</v>
      </c>
      <c r="E511" t="s">
        <v>52</v>
      </c>
      <c r="F511" t="s">
        <v>151</v>
      </c>
      <c r="G511">
        <v>44316</v>
      </c>
      <c r="H511">
        <v>44547</v>
      </c>
      <c r="I511" t="s">
        <v>2028</v>
      </c>
      <c r="J511" t="s">
        <v>2029</v>
      </c>
      <c r="K511" t="s">
        <v>29</v>
      </c>
      <c r="L511" t="s">
        <v>60</v>
      </c>
      <c r="M511" t="s">
        <v>22</v>
      </c>
    </row>
    <row r="512" spans="1:13" x14ac:dyDescent="0.3">
      <c r="A512" t="s">
        <v>2030</v>
      </c>
      <c r="B512" t="s">
        <v>2031</v>
      </c>
      <c r="C512" t="s">
        <v>87</v>
      </c>
      <c r="D512" t="s">
        <v>67</v>
      </c>
      <c r="E512" t="s">
        <v>26</v>
      </c>
      <c r="F512" t="s">
        <v>18</v>
      </c>
      <c r="G512">
        <v>44503</v>
      </c>
      <c r="H512">
        <v>44749</v>
      </c>
      <c r="I512" t="s">
        <v>2032</v>
      </c>
      <c r="J512" t="s">
        <v>2033</v>
      </c>
      <c r="K512" t="s">
        <v>29</v>
      </c>
      <c r="L512" t="s">
        <v>60</v>
      </c>
      <c r="M512" t="s">
        <v>22</v>
      </c>
    </row>
    <row r="513" spans="1:13" x14ac:dyDescent="0.3">
      <c r="A513" t="s">
        <v>2034</v>
      </c>
      <c r="B513" t="s">
        <v>2035</v>
      </c>
      <c r="C513" t="s">
        <v>33</v>
      </c>
      <c r="D513" t="s">
        <v>67</v>
      </c>
      <c r="E513" t="s">
        <v>26</v>
      </c>
      <c r="F513" t="s">
        <v>18</v>
      </c>
      <c r="G513">
        <v>45048</v>
      </c>
      <c r="H513">
        <v>45306</v>
      </c>
      <c r="I513" t="s">
        <v>2036</v>
      </c>
      <c r="J513" t="s">
        <v>2037</v>
      </c>
      <c r="K513" t="s">
        <v>90</v>
      </c>
      <c r="L513" t="s">
        <v>55</v>
      </c>
      <c r="M513" t="s">
        <v>22</v>
      </c>
    </row>
    <row r="514" spans="1:13" hidden="1" x14ac:dyDescent="0.3">
      <c r="A514" t="s">
        <v>2038</v>
      </c>
      <c r="B514" t="s">
        <v>2039</v>
      </c>
      <c r="C514" t="s">
        <v>76</v>
      </c>
      <c r="D514" t="s">
        <v>51</v>
      </c>
      <c r="E514" t="s">
        <v>52</v>
      </c>
      <c r="F514" t="s">
        <v>18</v>
      </c>
      <c r="G514">
        <v>43726</v>
      </c>
      <c r="H514">
        <v>43934</v>
      </c>
      <c r="I514" t="s">
        <v>2040</v>
      </c>
      <c r="J514" t="s">
        <v>2041</v>
      </c>
      <c r="K514" t="s">
        <v>21</v>
      </c>
      <c r="M514" t="s">
        <v>3735</v>
      </c>
    </row>
    <row r="515" spans="1:13" hidden="1" x14ac:dyDescent="0.3">
      <c r="A515" t="s">
        <v>2042</v>
      </c>
      <c r="B515" t="s">
        <v>2043</v>
      </c>
      <c r="C515" t="s">
        <v>46</v>
      </c>
      <c r="D515" t="s">
        <v>77</v>
      </c>
      <c r="E515" t="s">
        <v>52</v>
      </c>
      <c r="F515" t="s">
        <v>160</v>
      </c>
      <c r="G515">
        <v>43930</v>
      </c>
      <c r="H515">
        <v>44166</v>
      </c>
      <c r="I515" t="s">
        <v>2044</v>
      </c>
      <c r="J515" t="s">
        <v>2045</v>
      </c>
      <c r="K515" t="s">
        <v>21</v>
      </c>
      <c r="M515" t="s">
        <v>3735</v>
      </c>
    </row>
    <row r="516" spans="1:13" x14ac:dyDescent="0.3">
      <c r="A516" t="s">
        <v>2046</v>
      </c>
      <c r="B516" t="s">
        <v>2047</v>
      </c>
      <c r="C516" t="s">
        <v>46</v>
      </c>
      <c r="D516" t="s">
        <v>16</v>
      </c>
      <c r="E516" t="s">
        <v>17</v>
      </c>
      <c r="F516" t="s">
        <v>18</v>
      </c>
      <c r="G516">
        <v>43748</v>
      </c>
      <c r="H516">
        <v>44019</v>
      </c>
      <c r="I516" t="s">
        <v>2048</v>
      </c>
      <c r="J516" t="s">
        <v>2049</v>
      </c>
      <c r="K516" t="s">
        <v>29</v>
      </c>
      <c r="L516" t="s">
        <v>116</v>
      </c>
      <c r="M516" t="s">
        <v>22</v>
      </c>
    </row>
    <row r="517" spans="1:13" x14ac:dyDescent="0.3">
      <c r="A517" t="s">
        <v>2050</v>
      </c>
      <c r="B517" t="s">
        <v>2051</v>
      </c>
      <c r="C517" t="s">
        <v>46</v>
      </c>
      <c r="D517" t="s">
        <v>67</v>
      </c>
      <c r="E517" t="s">
        <v>26</v>
      </c>
      <c r="F517" t="s">
        <v>18</v>
      </c>
      <c r="G517">
        <v>44471</v>
      </c>
      <c r="H517">
        <v>44515</v>
      </c>
      <c r="I517" t="s">
        <v>2052</v>
      </c>
      <c r="J517" t="s">
        <v>2053</v>
      </c>
      <c r="K517" t="s">
        <v>37</v>
      </c>
      <c r="L517" t="s">
        <v>30</v>
      </c>
      <c r="M517" t="s">
        <v>22</v>
      </c>
    </row>
    <row r="518" spans="1:13" hidden="1" x14ac:dyDescent="0.3">
      <c r="A518" t="s">
        <v>2054</v>
      </c>
      <c r="B518" t="s">
        <v>2055</v>
      </c>
      <c r="C518" t="s">
        <v>46</v>
      </c>
      <c r="D518" t="s">
        <v>41</v>
      </c>
      <c r="E518" t="s">
        <v>17</v>
      </c>
      <c r="F518" t="s">
        <v>160</v>
      </c>
      <c r="G518">
        <v>44258</v>
      </c>
      <c r="H518">
        <v>44258</v>
      </c>
      <c r="I518" t="s">
        <v>2056</v>
      </c>
      <c r="J518" t="s">
        <v>2057</v>
      </c>
      <c r="K518" t="s">
        <v>21</v>
      </c>
      <c r="M518" t="s">
        <v>3735</v>
      </c>
    </row>
    <row r="519" spans="1:13" hidden="1" x14ac:dyDescent="0.3">
      <c r="A519" t="s">
        <v>2058</v>
      </c>
      <c r="B519" t="s">
        <v>2059</v>
      </c>
      <c r="C519" t="s">
        <v>33</v>
      </c>
      <c r="D519" t="s">
        <v>77</v>
      </c>
      <c r="E519" t="s">
        <v>52</v>
      </c>
      <c r="F519" t="s">
        <v>18</v>
      </c>
      <c r="G519">
        <v>45319</v>
      </c>
      <c r="H519">
        <v>45482</v>
      </c>
      <c r="I519" t="s">
        <v>2060</v>
      </c>
      <c r="J519" t="s">
        <v>2061</v>
      </c>
      <c r="K519" t="s">
        <v>90</v>
      </c>
      <c r="M519" t="s">
        <v>3735</v>
      </c>
    </row>
    <row r="520" spans="1:13" hidden="1" x14ac:dyDescent="0.3">
      <c r="A520" t="s">
        <v>2062</v>
      </c>
      <c r="B520" t="s">
        <v>2063</v>
      </c>
      <c r="C520" t="s">
        <v>40</v>
      </c>
      <c r="D520" t="s">
        <v>51</v>
      </c>
      <c r="E520" t="s">
        <v>52</v>
      </c>
      <c r="F520" t="s">
        <v>18</v>
      </c>
      <c r="G520">
        <v>44430</v>
      </c>
      <c r="H520">
        <v>44582</v>
      </c>
      <c r="I520" t="s">
        <v>2064</v>
      </c>
      <c r="J520" t="s">
        <v>2065</v>
      </c>
      <c r="K520" t="s">
        <v>21</v>
      </c>
      <c r="M520" t="s">
        <v>3735</v>
      </c>
    </row>
    <row r="521" spans="1:13" x14ac:dyDescent="0.3">
      <c r="A521" t="s">
        <v>2066</v>
      </c>
      <c r="B521" t="s">
        <v>2067</v>
      </c>
      <c r="C521" t="s">
        <v>87</v>
      </c>
      <c r="D521" t="s">
        <v>16</v>
      </c>
      <c r="E521" t="s">
        <v>17</v>
      </c>
      <c r="F521" t="s">
        <v>18</v>
      </c>
      <c r="G521">
        <v>45052</v>
      </c>
      <c r="H521">
        <v>45388</v>
      </c>
      <c r="I521" t="s">
        <v>2068</v>
      </c>
      <c r="J521" t="s">
        <v>2069</v>
      </c>
      <c r="K521" t="s">
        <v>21</v>
      </c>
      <c r="L521" t="s">
        <v>30</v>
      </c>
      <c r="M521" t="s">
        <v>22</v>
      </c>
    </row>
    <row r="522" spans="1:13" x14ac:dyDescent="0.3">
      <c r="A522" t="s">
        <v>2070</v>
      </c>
      <c r="B522" t="s">
        <v>2071</v>
      </c>
      <c r="C522" t="s">
        <v>40</v>
      </c>
      <c r="D522" t="s">
        <v>77</v>
      </c>
      <c r="E522" t="s">
        <v>52</v>
      </c>
      <c r="F522" t="s">
        <v>18</v>
      </c>
      <c r="G522">
        <v>44116</v>
      </c>
      <c r="H522">
        <v>44302</v>
      </c>
      <c r="I522" t="s">
        <v>2072</v>
      </c>
      <c r="J522" t="s">
        <v>2073</v>
      </c>
      <c r="K522" t="s">
        <v>21</v>
      </c>
      <c r="L522" t="s">
        <v>30</v>
      </c>
      <c r="M522" t="s">
        <v>22</v>
      </c>
    </row>
    <row r="523" spans="1:13" x14ac:dyDescent="0.3">
      <c r="A523" t="s">
        <v>2074</v>
      </c>
      <c r="B523" t="s">
        <v>2075</v>
      </c>
      <c r="C523" t="s">
        <v>46</v>
      </c>
      <c r="D523" t="s">
        <v>67</v>
      </c>
      <c r="E523" t="s">
        <v>26</v>
      </c>
      <c r="F523" t="s">
        <v>18</v>
      </c>
      <c r="G523">
        <v>43877</v>
      </c>
      <c r="H523">
        <v>43976</v>
      </c>
      <c r="I523" t="s">
        <v>2076</v>
      </c>
      <c r="J523" t="s">
        <v>2077</v>
      </c>
      <c r="K523" t="s">
        <v>29</v>
      </c>
      <c r="L523" t="s">
        <v>55</v>
      </c>
      <c r="M523" t="s">
        <v>22</v>
      </c>
    </row>
    <row r="524" spans="1:13" x14ac:dyDescent="0.3">
      <c r="A524" t="s">
        <v>2078</v>
      </c>
      <c r="B524" t="s">
        <v>2079</v>
      </c>
      <c r="C524" t="s">
        <v>33</v>
      </c>
      <c r="D524" t="s">
        <v>77</v>
      </c>
      <c r="E524" t="s">
        <v>52</v>
      </c>
      <c r="F524" t="s">
        <v>151</v>
      </c>
      <c r="G524">
        <v>44124</v>
      </c>
      <c r="H524">
        <v>44488</v>
      </c>
      <c r="I524" t="s">
        <v>2080</v>
      </c>
      <c r="J524" t="s">
        <v>2081</v>
      </c>
      <c r="K524" t="s">
        <v>37</v>
      </c>
      <c r="L524" t="s">
        <v>55</v>
      </c>
      <c r="M524" t="s">
        <v>22</v>
      </c>
    </row>
    <row r="525" spans="1:13" x14ac:dyDescent="0.3">
      <c r="A525" t="s">
        <v>2082</v>
      </c>
      <c r="B525" t="s">
        <v>2083</v>
      </c>
      <c r="C525" t="s">
        <v>181</v>
      </c>
      <c r="D525" t="s">
        <v>25</v>
      </c>
      <c r="E525" t="s">
        <v>26</v>
      </c>
      <c r="F525" t="s">
        <v>18</v>
      </c>
      <c r="G525">
        <v>44787</v>
      </c>
      <c r="H525">
        <v>45092</v>
      </c>
      <c r="I525" t="s">
        <v>2084</v>
      </c>
      <c r="J525" t="s">
        <v>2085</v>
      </c>
      <c r="K525" t="s">
        <v>21</v>
      </c>
      <c r="L525" t="s">
        <v>91</v>
      </c>
      <c r="M525" t="s">
        <v>22</v>
      </c>
    </row>
    <row r="526" spans="1:13" x14ac:dyDescent="0.3">
      <c r="A526" t="s">
        <v>2086</v>
      </c>
      <c r="B526" t="s">
        <v>2087</v>
      </c>
      <c r="C526" t="s">
        <v>181</v>
      </c>
      <c r="D526" t="s">
        <v>16</v>
      </c>
      <c r="E526" t="s">
        <v>17</v>
      </c>
      <c r="F526" t="s">
        <v>18</v>
      </c>
      <c r="G526">
        <v>44944</v>
      </c>
      <c r="H526">
        <v>45227</v>
      </c>
      <c r="I526" t="s">
        <v>2088</v>
      </c>
      <c r="J526" t="s">
        <v>2089</v>
      </c>
      <c r="K526" t="s">
        <v>21</v>
      </c>
      <c r="L526" t="s">
        <v>91</v>
      </c>
      <c r="M526" t="s">
        <v>22</v>
      </c>
    </row>
    <row r="527" spans="1:13" x14ac:dyDescent="0.3">
      <c r="A527" t="s">
        <v>2090</v>
      </c>
      <c r="B527" t="s">
        <v>2091</v>
      </c>
      <c r="C527" t="s">
        <v>33</v>
      </c>
      <c r="D527" t="s">
        <v>51</v>
      </c>
      <c r="E527" t="s">
        <v>52</v>
      </c>
      <c r="F527" t="s">
        <v>18</v>
      </c>
      <c r="G527">
        <v>43725</v>
      </c>
      <c r="H527">
        <v>43810</v>
      </c>
      <c r="I527" t="s">
        <v>2092</v>
      </c>
      <c r="J527" t="s">
        <v>2093</v>
      </c>
      <c r="K527" t="s">
        <v>21</v>
      </c>
      <c r="L527" t="s">
        <v>116</v>
      </c>
      <c r="M527" t="s">
        <v>22</v>
      </c>
    </row>
    <row r="528" spans="1:13" x14ac:dyDescent="0.3">
      <c r="A528" t="s">
        <v>2094</v>
      </c>
      <c r="B528" t="s">
        <v>2095</v>
      </c>
      <c r="C528" t="s">
        <v>181</v>
      </c>
      <c r="D528" t="s">
        <v>16</v>
      </c>
      <c r="E528" t="s">
        <v>17</v>
      </c>
      <c r="F528" t="s">
        <v>18</v>
      </c>
      <c r="G528">
        <v>43559</v>
      </c>
      <c r="H528">
        <v>43711</v>
      </c>
      <c r="I528" t="s">
        <v>2096</v>
      </c>
      <c r="J528" t="s">
        <v>2097</v>
      </c>
      <c r="K528" t="s">
        <v>21</v>
      </c>
      <c r="L528" t="s">
        <v>91</v>
      </c>
      <c r="M528" t="s">
        <v>22</v>
      </c>
    </row>
    <row r="529" spans="1:13" x14ac:dyDescent="0.3">
      <c r="A529" t="s">
        <v>2098</v>
      </c>
      <c r="B529" t="s">
        <v>2099</v>
      </c>
      <c r="C529" t="s">
        <v>40</v>
      </c>
      <c r="D529" t="s">
        <v>51</v>
      </c>
      <c r="E529" t="s">
        <v>52</v>
      </c>
      <c r="F529" t="s">
        <v>18</v>
      </c>
      <c r="G529">
        <v>43866</v>
      </c>
      <c r="H529">
        <v>44083</v>
      </c>
      <c r="I529" t="s">
        <v>2100</v>
      </c>
      <c r="J529" t="s">
        <v>2101</v>
      </c>
      <c r="K529" t="s">
        <v>21</v>
      </c>
      <c r="L529" t="s">
        <v>55</v>
      </c>
      <c r="M529" t="s">
        <v>22</v>
      </c>
    </row>
    <row r="530" spans="1:13" x14ac:dyDescent="0.3">
      <c r="A530" t="s">
        <v>2102</v>
      </c>
      <c r="B530" t="s">
        <v>2103</v>
      </c>
      <c r="C530" t="s">
        <v>181</v>
      </c>
      <c r="D530" t="s">
        <v>77</v>
      </c>
      <c r="E530" t="s">
        <v>52</v>
      </c>
      <c r="F530" t="s">
        <v>18</v>
      </c>
      <c r="G530">
        <v>45182</v>
      </c>
      <c r="H530">
        <v>45482</v>
      </c>
      <c r="I530" t="s">
        <v>2104</v>
      </c>
      <c r="J530" t="s">
        <v>2105</v>
      </c>
      <c r="K530" t="s">
        <v>90</v>
      </c>
      <c r="L530" t="s">
        <v>30</v>
      </c>
      <c r="M530" t="s">
        <v>22</v>
      </c>
    </row>
    <row r="531" spans="1:13" x14ac:dyDescent="0.3">
      <c r="A531" t="s">
        <v>2106</v>
      </c>
      <c r="B531" t="s">
        <v>2107</v>
      </c>
      <c r="C531" t="s">
        <v>46</v>
      </c>
      <c r="D531" t="s">
        <v>51</v>
      </c>
      <c r="E531" t="s">
        <v>52</v>
      </c>
      <c r="F531" t="s">
        <v>18</v>
      </c>
      <c r="G531">
        <v>43706</v>
      </c>
      <c r="H531">
        <v>43732</v>
      </c>
      <c r="I531" t="s">
        <v>2108</v>
      </c>
      <c r="J531" t="s">
        <v>2109</v>
      </c>
      <c r="K531" t="s">
        <v>21</v>
      </c>
      <c r="L531" t="s">
        <v>116</v>
      </c>
      <c r="M531" t="s">
        <v>22</v>
      </c>
    </row>
    <row r="532" spans="1:13" x14ac:dyDescent="0.3">
      <c r="A532" t="s">
        <v>2110</v>
      </c>
      <c r="B532" t="s">
        <v>3725</v>
      </c>
      <c r="C532" t="s">
        <v>33</v>
      </c>
      <c r="D532" t="s">
        <v>77</v>
      </c>
      <c r="E532" t="s">
        <v>52</v>
      </c>
      <c r="F532" t="s">
        <v>151</v>
      </c>
      <c r="G532">
        <v>44871</v>
      </c>
      <c r="H532">
        <v>45058</v>
      </c>
      <c r="I532" t="s">
        <v>2112</v>
      </c>
      <c r="J532" t="s">
        <v>2113</v>
      </c>
      <c r="K532" t="s">
        <v>21</v>
      </c>
      <c r="L532" t="s">
        <v>55</v>
      </c>
      <c r="M532" t="s">
        <v>22</v>
      </c>
    </row>
    <row r="533" spans="1:13" x14ac:dyDescent="0.3">
      <c r="A533" t="s">
        <v>2114</v>
      </c>
      <c r="B533" t="s">
        <v>2115</v>
      </c>
      <c r="C533" t="s">
        <v>15</v>
      </c>
      <c r="D533" t="s">
        <v>41</v>
      </c>
      <c r="E533" t="s">
        <v>17</v>
      </c>
      <c r="F533" t="s">
        <v>18</v>
      </c>
      <c r="G533">
        <v>43638</v>
      </c>
      <c r="H533">
        <v>43935</v>
      </c>
      <c r="I533" t="s">
        <v>2116</v>
      </c>
      <c r="J533" t="s">
        <v>2117</v>
      </c>
      <c r="K533" t="s">
        <v>29</v>
      </c>
      <c r="L533" t="s">
        <v>60</v>
      </c>
      <c r="M533" t="s">
        <v>22</v>
      </c>
    </row>
    <row r="534" spans="1:13" x14ac:dyDescent="0.3">
      <c r="A534" t="s">
        <v>2118</v>
      </c>
      <c r="B534" t="s">
        <v>2119</v>
      </c>
      <c r="C534" t="s">
        <v>40</v>
      </c>
      <c r="D534" t="s">
        <v>67</v>
      </c>
      <c r="E534" t="s">
        <v>26</v>
      </c>
      <c r="F534" t="s">
        <v>151</v>
      </c>
      <c r="G534">
        <v>43554</v>
      </c>
      <c r="H534">
        <v>43574</v>
      </c>
      <c r="I534" t="s">
        <v>2120</v>
      </c>
      <c r="J534" t="s">
        <v>2121</v>
      </c>
      <c r="K534" t="s">
        <v>29</v>
      </c>
      <c r="L534" t="s">
        <v>116</v>
      </c>
      <c r="M534" t="s">
        <v>22</v>
      </c>
    </row>
    <row r="535" spans="1:13" x14ac:dyDescent="0.3">
      <c r="A535" t="s">
        <v>2122</v>
      </c>
      <c r="B535" t="s">
        <v>2123</v>
      </c>
      <c r="C535" t="s">
        <v>40</v>
      </c>
      <c r="D535" t="s">
        <v>34</v>
      </c>
      <c r="E535" t="s">
        <v>26</v>
      </c>
      <c r="F535" t="s">
        <v>18</v>
      </c>
      <c r="G535">
        <v>45282</v>
      </c>
      <c r="H535">
        <v>45319</v>
      </c>
      <c r="I535" t="s">
        <v>2124</v>
      </c>
      <c r="J535" t="s">
        <v>1248</v>
      </c>
      <c r="K535" t="s">
        <v>37</v>
      </c>
      <c r="L535" t="s">
        <v>60</v>
      </c>
      <c r="M535" t="s">
        <v>22</v>
      </c>
    </row>
    <row r="536" spans="1:13" x14ac:dyDescent="0.3">
      <c r="A536" t="s">
        <v>2125</v>
      </c>
      <c r="B536" t="s">
        <v>2126</v>
      </c>
      <c r="C536" t="s">
        <v>40</v>
      </c>
      <c r="D536" t="s">
        <v>25</v>
      </c>
      <c r="E536" t="s">
        <v>26</v>
      </c>
      <c r="F536" t="s">
        <v>18</v>
      </c>
      <c r="G536">
        <v>43618</v>
      </c>
      <c r="H536">
        <v>43773</v>
      </c>
      <c r="I536" t="s">
        <v>2127</v>
      </c>
      <c r="J536" t="s">
        <v>2128</v>
      </c>
      <c r="K536" t="s">
        <v>90</v>
      </c>
      <c r="L536" t="s">
        <v>55</v>
      </c>
      <c r="M536" t="s">
        <v>22</v>
      </c>
    </row>
    <row r="537" spans="1:13" x14ac:dyDescent="0.3">
      <c r="A537" t="s">
        <v>2129</v>
      </c>
      <c r="B537" t="s">
        <v>2130</v>
      </c>
      <c r="C537" t="s">
        <v>33</v>
      </c>
      <c r="D537" t="s">
        <v>51</v>
      </c>
      <c r="E537" t="s">
        <v>52</v>
      </c>
      <c r="F537" t="s">
        <v>18</v>
      </c>
      <c r="G537">
        <v>44312</v>
      </c>
      <c r="H537">
        <v>44577</v>
      </c>
      <c r="I537" t="s">
        <v>2131</v>
      </c>
      <c r="J537" t="s">
        <v>2132</v>
      </c>
      <c r="K537" t="s">
        <v>21</v>
      </c>
      <c r="L537" t="s">
        <v>30</v>
      </c>
      <c r="M537" t="s">
        <v>22</v>
      </c>
    </row>
    <row r="538" spans="1:13" x14ac:dyDescent="0.3">
      <c r="A538" t="s">
        <v>2133</v>
      </c>
      <c r="B538" t="s">
        <v>2134</v>
      </c>
      <c r="C538" t="s">
        <v>40</v>
      </c>
      <c r="D538" t="s">
        <v>16</v>
      </c>
      <c r="E538" t="s">
        <v>17</v>
      </c>
      <c r="F538" t="s">
        <v>160</v>
      </c>
      <c r="G538">
        <v>45182</v>
      </c>
      <c r="H538">
        <v>45457</v>
      </c>
      <c r="I538" t="s">
        <v>2135</v>
      </c>
      <c r="J538" t="s">
        <v>2136</v>
      </c>
      <c r="K538" t="s">
        <v>21</v>
      </c>
      <c r="L538" t="s">
        <v>55</v>
      </c>
      <c r="M538" t="s">
        <v>22</v>
      </c>
    </row>
    <row r="539" spans="1:13" x14ac:dyDescent="0.3">
      <c r="A539" t="s">
        <v>2137</v>
      </c>
      <c r="B539" t="s">
        <v>2138</v>
      </c>
      <c r="C539" t="s">
        <v>40</v>
      </c>
      <c r="D539" t="s">
        <v>77</v>
      </c>
      <c r="E539" t="s">
        <v>52</v>
      </c>
      <c r="F539" t="s">
        <v>18</v>
      </c>
      <c r="G539">
        <v>43644</v>
      </c>
      <c r="H539">
        <v>43758</v>
      </c>
      <c r="I539" t="s">
        <v>2139</v>
      </c>
      <c r="J539" t="s">
        <v>2140</v>
      </c>
      <c r="K539" t="s">
        <v>21</v>
      </c>
      <c r="L539" t="s">
        <v>91</v>
      </c>
      <c r="M539" t="s">
        <v>22</v>
      </c>
    </row>
    <row r="540" spans="1:13" hidden="1" x14ac:dyDescent="0.3">
      <c r="A540" t="s">
        <v>2141</v>
      </c>
      <c r="B540" t="s">
        <v>2142</v>
      </c>
      <c r="C540" t="s">
        <v>87</v>
      </c>
      <c r="D540" t="s">
        <v>34</v>
      </c>
      <c r="E540" t="s">
        <v>26</v>
      </c>
      <c r="F540" t="s">
        <v>18</v>
      </c>
      <c r="G540">
        <v>44283</v>
      </c>
      <c r="H540">
        <v>44332</v>
      </c>
      <c r="I540" t="s">
        <v>2143</v>
      </c>
      <c r="J540" t="s">
        <v>2144</v>
      </c>
      <c r="K540" t="s">
        <v>37</v>
      </c>
      <c r="M540" t="s">
        <v>3735</v>
      </c>
    </row>
    <row r="541" spans="1:13" x14ac:dyDescent="0.3">
      <c r="A541" t="s">
        <v>2145</v>
      </c>
      <c r="B541" t="s">
        <v>2146</v>
      </c>
      <c r="C541" t="s">
        <v>33</v>
      </c>
      <c r="D541" t="s">
        <v>77</v>
      </c>
      <c r="E541" t="s">
        <v>52</v>
      </c>
      <c r="F541" t="s">
        <v>18</v>
      </c>
      <c r="G541">
        <v>44570</v>
      </c>
      <c r="H541">
        <v>44622</v>
      </c>
      <c r="I541" t="s">
        <v>2147</v>
      </c>
      <c r="J541" t="s">
        <v>2148</v>
      </c>
      <c r="K541" t="s">
        <v>37</v>
      </c>
      <c r="L541" t="s">
        <v>30</v>
      </c>
      <c r="M541" t="s">
        <v>22</v>
      </c>
    </row>
    <row r="542" spans="1:13" x14ac:dyDescent="0.3">
      <c r="A542" t="s">
        <v>2149</v>
      </c>
      <c r="B542" t="s">
        <v>2150</v>
      </c>
      <c r="C542" t="s">
        <v>76</v>
      </c>
      <c r="D542" t="s">
        <v>51</v>
      </c>
      <c r="E542" t="s">
        <v>52</v>
      </c>
      <c r="F542" t="s">
        <v>18</v>
      </c>
      <c r="G542">
        <v>45226</v>
      </c>
      <c r="H542">
        <v>45522</v>
      </c>
      <c r="I542" t="s">
        <v>2151</v>
      </c>
      <c r="J542" t="s">
        <v>2152</v>
      </c>
      <c r="K542" t="s">
        <v>21</v>
      </c>
      <c r="L542" t="s">
        <v>30</v>
      </c>
      <c r="M542" t="s">
        <v>22</v>
      </c>
    </row>
    <row r="543" spans="1:13" x14ac:dyDescent="0.3">
      <c r="A543" t="s">
        <v>2153</v>
      </c>
      <c r="B543" t="s">
        <v>2154</v>
      </c>
      <c r="C543" t="s">
        <v>46</v>
      </c>
      <c r="D543" t="s">
        <v>41</v>
      </c>
      <c r="E543" t="s">
        <v>17</v>
      </c>
      <c r="F543" t="s">
        <v>18</v>
      </c>
      <c r="G543">
        <v>43545</v>
      </c>
      <c r="H543">
        <v>43740</v>
      </c>
      <c r="I543" t="s">
        <v>2155</v>
      </c>
      <c r="J543" t="s">
        <v>2156</v>
      </c>
      <c r="K543" t="s">
        <v>21</v>
      </c>
      <c r="L543" t="s">
        <v>116</v>
      </c>
      <c r="M543" t="s">
        <v>22</v>
      </c>
    </row>
    <row r="544" spans="1:13" x14ac:dyDescent="0.3">
      <c r="A544" t="s">
        <v>2157</v>
      </c>
      <c r="B544" t="s">
        <v>2158</v>
      </c>
      <c r="C544" t="s">
        <v>46</v>
      </c>
      <c r="D544" t="s">
        <v>77</v>
      </c>
      <c r="E544" t="s">
        <v>52</v>
      </c>
      <c r="F544" t="s">
        <v>18</v>
      </c>
      <c r="G544">
        <v>43590</v>
      </c>
      <c r="H544">
        <v>43844</v>
      </c>
      <c r="I544" t="s">
        <v>2159</v>
      </c>
      <c r="J544" t="s">
        <v>2160</v>
      </c>
      <c r="K544" t="s">
        <v>29</v>
      </c>
      <c r="L544" t="s">
        <v>30</v>
      </c>
      <c r="M544" t="s">
        <v>22</v>
      </c>
    </row>
    <row r="545" spans="1:13" x14ac:dyDescent="0.3">
      <c r="A545" t="s">
        <v>2161</v>
      </c>
      <c r="B545" t="s">
        <v>2162</v>
      </c>
      <c r="C545" t="s">
        <v>87</v>
      </c>
      <c r="D545" t="s">
        <v>34</v>
      </c>
      <c r="E545" t="s">
        <v>26</v>
      </c>
      <c r="F545" t="s">
        <v>18</v>
      </c>
      <c r="G545">
        <v>44943</v>
      </c>
      <c r="H545">
        <v>44977</v>
      </c>
      <c r="I545" t="s">
        <v>2163</v>
      </c>
      <c r="J545" t="s">
        <v>2164</v>
      </c>
      <c r="K545" t="s">
        <v>90</v>
      </c>
      <c r="L545" t="s">
        <v>30</v>
      </c>
      <c r="M545" t="s">
        <v>22</v>
      </c>
    </row>
    <row r="546" spans="1:13" x14ac:dyDescent="0.3">
      <c r="A546" t="s">
        <v>2165</v>
      </c>
      <c r="B546" t="s">
        <v>2166</v>
      </c>
      <c r="C546" t="s">
        <v>40</v>
      </c>
      <c r="D546" t="s">
        <v>77</v>
      </c>
      <c r="E546" t="s">
        <v>52</v>
      </c>
      <c r="F546" t="s">
        <v>18</v>
      </c>
      <c r="G546">
        <v>45198</v>
      </c>
      <c r="H546">
        <v>45244</v>
      </c>
      <c r="I546" t="s">
        <v>2167</v>
      </c>
      <c r="J546" t="s">
        <v>2168</v>
      </c>
      <c r="K546" t="s">
        <v>37</v>
      </c>
      <c r="L546" t="s">
        <v>30</v>
      </c>
      <c r="M546" t="s">
        <v>22</v>
      </c>
    </row>
    <row r="547" spans="1:13" x14ac:dyDescent="0.3">
      <c r="A547" t="s">
        <v>2169</v>
      </c>
      <c r="B547" t="s">
        <v>2170</v>
      </c>
      <c r="C547" t="s">
        <v>15</v>
      </c>
      <c r="D547" t="s">
        <v>67</v>
      </c>
      <c r="E547" t="s">
        <v>26</v>
      </c>
      <c r="F547" t="s">
        <v>160</v>
      </c>
      <c r="G547">
        <v>45276</v>
      </c>
      <c r="H547">
        <v>45449</v>
      </c>
      <c r="I547" t="s">
        <v>2171</v>
      </c>
      <c r="J547" t="s">
        <v>2172</v>
      </c>
      <c r="K547" t="s">
        <v>90</v>
      </c>
      <c r="L547" t="s">
        <v>55</v>
      </c>
      <c r="M547" t="s">
        <v>22</v>
      </c>
    </row>
    <row r="548" spans="1:13" hidden="1" x14ac:dyDescent="0.3">
      <c r="A548" t="s">
        <v>2173</v>
      </c>
      <c r="B548" t="s">
        <v>2174</v>
      </c>
      <c r="C548" t="s">
        <v>46</v>
      </c>
      <c r="D548" t="s">
        <v>41</v>
      </c>
      <c r="E548" t="s">
        <v>17</v>
      </c>
      <c r="F548" t="s">
        <v>18</v>
      </c>
      <c r="G548">
        <v>45059</v>
      </c>
      <c r="H548">
        <v>45405</v>
      </c>
      <c r="I548" t="s">
        <v>2175</v>
      </c>
      <c r="J548" t="s">
        <v>2176</v>
      </c>
      <c r="K548" t="s">
        <v>21</v>
      </c>
      <c r="M548" t="s">
        <v>3735</v>
      </c>
    </row>
    <row r="549" spans="1:13" hidden="1" x14ac:dyDescent="0.3">
      <c r="A549" t="s">
        <v>2177</v>
      </c>
      <c r="B549" t="s">
        <v>2178</v>
      </c>
      <c r="C549" t="s">
        <v>87</v>
      </c>
      <c r="D549" t="s">
        <v>51</v>
      </c>
      <c r="E549" t="s">
        <v>52</v>
      </c>
      <c r="F549" t="s">
        <v>18</v>
      </c>
      <c r="G549">
        <v>45280</v>
      </c>
      <c r="H549">
        <v>45395</v>
      </c>
      <c r="I549" t="s">
        <v>2179</v>
      </c>
      <c r="K549" t="s">
        <v>37</v>
      </c>
      <c r="M549" t="s">
        <v>3735</v>
      </c>
    </row>
    <row r="550" spans="1:13" x14ac:dyDescent="0.3">
      <c r="A550" t="s">
        <v>2180</v>
      </c>
      <c r="B550" t="s">
        <v>1774</v>
      </c>
      <c r="C550" t="s">
        <v>87</v>
      </c>
      <c r="D550" t="s">
        <v>16</v>
      </c>
      <c r="E550" t="s">
        <v>17</v>
      </c>
      <c r="F550" t="s">
        <v>18</v>
      </c>
      <c r="G550">
        <v>44573</v>
      </c>
      <c r="H550">
        <v>44709</v>
      </c>
      <c r="I550" t="s">
        <v>1775</v>
      </c>
      <c r="J550" t="s">
        <v>2181</v>
      </c>
      <c r="K550" t="s">
        <v>21</v>
      </c>
      <c r="L550" t="s">
        <v>30</v>
      </c>
      <c r="M550" t="s">
        <v>22</v>
      </c>
    </row>
    <row r="551" spans="1:13" hidden="1" x14ac:dyDescent="0.3">
      <c r="A551" t="s">
        <v>2182</v>
      </c>
      <c r="B551" t="s">
        <v>2183</v>
      </c>
      <c r="C551" t="s">
        <v>33</v>
      </c>
      <c r="D551" t="s">
        <v>34</v>
      </c>
      <c r="E551" t="s">
        <v>26</v>
      </c>
      <c r="F551" t="s">
        <v>151</v>
      </c>
      <c r="G551">
        <v>44977</v>
      </c>
      <c r="H551">
        <v>45209</v>
      </c>
      <c r="I551" t="s">
        <v>2184</v>
      </c>
      <c r="J551" t="s">
        <v>2185</v>
      </c>
      <c r="K551" t="s">
        <v>90</v>
      </c>
      <c r="M551" t="s">
        <v>3735</v>
      </c>
    </row>
    <row r="552" spans="1:13" hidden="1" x14ac:dyDescent="0.3">
      <c r="A552" t="s">
        <v>2186</v>
      </c>
      <c r="B552" t="s">
        <v>2187</v>
      </c>
      <c r="C552" t="s">
        <v>15</v>
      </c>
      <c r="D552" t="s">
        <v>34</v>
      </c>
      <c r="E552" t="s">
        <v>26</v>
      </c>
      <c r="F552" t="s">
        <v>18</v>
      </c>
      <c r="G552">
        <v>43631</v>
      </c>
      <c r="H552">
        <v>43741</v>
      </c>
      <c r="I552" t="s">
        <v>2188</v>
      </c>
      <c r="J552" t="s">
        <v>2189</v>
      </c>
      <c r="K552" t="s">
        <v>90</v>
      </c>
      <c r="M552" t="s">
        <v>3735</v>
      </c>
    </row>
    <row r="553" spans="1:13" hidden="1" x14ac:dyDescent="0.3">
      <c r="A553" t="s">
        <v>2190</v>
      </c>
      <c r="B553" t="s">
        <v>3726</v>
      </c>
      <c r="C553" t="s">
        <v>46</v>
      </c>
      <c r="D553" t="s">
        <v>25</v>
      </c>
      <c r="E553" t="s">
        <v>26</v>
      </c>
      <c r="F553" t="s">
        <v>18</v>
      </c>
      <c r="G553">
        <v>43974</v>
      </c>
      <c r="H553">
        <v>44247</v>
      </c>
      <c r="I553" t="s">
        <v>2192</v>
      </c>
      <c r="J553" t="s">
        <v>2193</v>
      </c>
      <c r="K553" t="s">
        <v>90</v>
      </c>
      <c r="M553" t="s">
        <v>3735</v>
      </c>
    </row>
    <row r="554" spans="1:13" x14ac:dyDescent="0.3">
      <c r="A554" t="s">
        <v>2194</v>
      </c>
      <c r="B554" t="s">
        <v>2195</v>
      </c>
      <c r="C554" t="s">
        <v>87</v>
      </c>
      <c r="D554" t="s">
        <v>51</v>
      </c>
      <c r="E554" t="s">
        <v>52</v>
      </c>
      <c r="F554" t="s">
        <v>160</v>
      </c>
      <c r="G554">
        <v>43696</v>
      </c>
      <c r="H554">
        <v>43876</v>
      </c>
      <c r="I554" t="s">
        <v>2196</v>
      </c>
      <c r="J554" t="s">
        <v>2197</v>
      </c>
      <c r="K554" t="s">
        <v>29</v>
      </c>
      <c r="L554" t="s">
        <v>30</v>
      </c>
      <c r="M554" t="s">
        <v>22</v>
      </c>
    </row>
    <row r="555" spans="1:13" x14ac:dyDescent="0.3">
      <c r="A555" t="s">
        <v>2198</v>
      </c>
      <c r="B555" t="s">
        <v>2199</v>
      </c>
      <c r="C555" t="s">
        <v>76</v>
      </c>
      <c r="D555" t="s">
        <v>77</v>
      </c>
      <c r="E555" t="s">
        <v>52</v>
      </c>
      <c r="F555" t="s">
        <v>18</v>
      </c>
      <c r="G555">
        <v>44948</v>
      </c>
      <c r="H555">
        <v>45210</v>
      </c>
      <c r="I555" t="s">
        <v>2200</v>
      </c>
      <c r="J555" t="s">
        <v>2201</v>
      </c>
      <c r="K555" t="s">
        <v>21</v>
      </c>
      <c r="L555" t="s">
        <v>91</v>
      </c>
      <c r="M555" t="s">
        <v>22</v>
      </c>
    </row>
    <row r="556" spans="1:13" x14ac:dyDescent="0.3">
      <c r="A556" t="s">
        <v>2202</v>
      </c>
      <c r="B556" t="s">
        <v>2203</v>
      </c>
      <c r="C556" t="s">
        <v>40</v>
      </c>
      <c r="D556" t="s">
        <v>25</v>
      </c>
      <c r="E556" t="s">
        <v>26</v>
      </c>
      <c r="F556" t="s">
        <v>151</v>
      </c>
      <c r="G556">
        <v>43678</v>
      </c>
      <c r="H556">
        <v>43843</v>
      </c>
      <c r="I556" t="s">
        <v>2204</v>
      </c>
      <c r="J556" t="s">
        <v>2205</v>
      </c>
      <c r="K556" t="s">
        <v>29</v>
      </c>
      <c r="L556" t="s">
        <v>60</v>
      </c>
      <c r="M556" t="s">
        <v>22</v>
      </c>
    </row>
    <row r="557" spans="1:13" x14ac:dyDescent="0.3">
      <c r="A557" t="s">
        <v>2206</v>
      </c>
      <c r="B557" t="s">
        <v>2207</v>
      </c>
      <c r="C557" t="s">
        <v>181</v>
      </c>
      <c r="D557" t="s">
        <v>34</v>
      </c>
      <c r="E557" t="s">
        <v>26</v>
      </c>
      <c r="F557" t="s">
        <v>18</v>
      </c>
      <c r="G557">
        <v>43902</v>
      </c>
      <c r="H557">
        <v>44119</v>
      </c>
      <c r="I557" t="s">
        <v>2208</v>
      </c>
      <c r="J557" t="s">
        <v>2209</v>
      </c>
      <c r="K557" t="s">
        <v>21</v>
      </c>
      <c r="L557" t="s">
        <v>60</v>
      </c>
      <c r="M557" t="s">
        <v>22</v>
      </c>
    </row>
    <row r="558" spans="1:13" x14ac:dyDescent="0.3">
      <c r="A558" t="s">
        <v>2210</v>
      </c>
      <c r="B558" t="s">
        <v>2211</v>
      </c>
      <c r="C558" t="s">
        <v>33</v>
      </c>
      <c r="D558" t="s">
        <v>16</v>
      </c>
      <c r="E558" t="s">
        <v>17</v>
      </c>
      <c r="F558" t="s">
        <v>160</v>
      </c>
      <c r="G558">
        <v>44935</v>
      </c>
      <c r="H558">
        <v>45237</v>
      </c>
      <c r="I558" t="s">
        <v>2212</v>
      </c>
      <c r="J558" t="s">
        <v>2213</v>
      </c>
      <c r="K558" t="s">
        <v>37</v>
      </c>
      <c r="L558" t="s">
        <v>91</v>
      </c>
      <c r="M558" t="s">
        <v>22</v>
      </c>
    </row>
    <row r="559" spans="1:13" hidden="1" x14ac:dyDescent="0.3">
      <c r="A559" t="s">
        <v>2214</v>
      </c>
      <c r="B559" t="s">
        <v>2215</v>
      </c>
      <c r="C559" t="s">
        <v>76</v>
      </c>
      <c r="D559" t="s">
        <v>77</v>
      </c>
      <c r="E559" t="s">
        <v>52</v>
      </c>
      <c r="F559" t="s">
        <v>160</v>
      </c>
      <c r="G559">
        <v>43638</v>
      </c>
      <c r="H559">
        <v>43891</v>
      </c>
      <c r="I559" t="s">
        <v>2216</v>
      </c>
      <c r="J559" t="s">
        <v>2217</v>
      </c>
      <c r="K559" t="s">
        <v>37</v>
      </c>
      <c r="M559" t="s">
        <v>3735</v>
      </c>
    </row>
    <row r="560" spans="1:13" hidden="1" x14ac:dyDescent="0.3">
      <c r="A560" t="s">
        <v>2218</v>
      </c>
      <c r="B560" t="s">
        <v>2219</v>
      </c>
      <c r="C560" t="s">
        <v>87</v>
      </c>
      <c r="D560" t="s">
        <v>25</v>
      </c>
      <c r="E560" t="s">
        <v>26</v>
      </c>
      <c r="F560" t="s">
        <v>18</v>
      </c>
      <c r="G560">
        <v>45349</v>
      </c>
      <c r="H560">
        <v>45388</v>
      </c>
      <c r="I560" t="s">
        <v>2220</v>
      </c>
      <c r="J560" t="s">
        <v>2221</v>
      </c>
      <c r="K560" t="s">
        <v>21</v>
      </c>
      <c r="M560" t="s">
        <v>3735</v>
      </c>
    </row>
    <row r="561" spans="1:13" x14ac:dyDescent="0.3">
      <c r="A561" t="s">
        <v>2222</v>
      </c>
      <c r="B561" t="s">
        <v>2223</v>
      </c>
      <c r="C561" t="s">
        <v>33</v>
      </c>
      <c r="D561" t="s">
        <v>77</v>
      </c>
      <c r="E561" t="s">
        <v>52</v>
      </c>
      <c r="F561" t="s">
        <v>18</v>
      </c>
      <c r="G561">
        <v>44657</v>
      </c>
      <c r="H561">
        <v>44725</v>
      </c>
      <c r="I561" t="s">
        <v>2224</v>
      </c>
      <c r="J561" t="s">
        <v>2225</v>
      </c>
      <c r="K561" t="s">
        <v>90</v>
      </c>
      <c r="L561" t="s">
        <v>30</v>
      </c>
      <c r="M561" t="s">
        <v>22</v>
      </c>
    </row>
    <row r="562" spans="1:13" hidden="1" x14ac:dyDescent="0.3">
      <c r="A562" t="s">
        <v>2226</v>
      </c>
      <c r="B562" t="s">
        <v>2227</v>
      </c>
      <c r="C562" t="s">
        <v>15</v>
      </c>
      <c r="D562" t="s">
        <v>25</v>
      </c>
      <c r="E562" t="s">
        <v>26</v>
      </c>
      <c r="F562" t="s">
        <v>18</v>
      </c>
      <c r="G562">
        <v>43757</v>
      </c>
      <c r="H562">
        <v>43998</v>
      </c>
      <c r="I562" t="s">
        <v>2228</v>
      </c>
      <c r="J562" t="s">
        <v>2229</v>
      </c>
      <c r="K562" t="s">
        <v>90</v>
      </c>
      <c r="M562" t="s">
        <v>3735</v>
      </c>
    </row>
    <row r="563" spans="1:13" hidden="1" x14ac:dyDescent="0.3">
      <c r="A563" t="s">
        <v>2230</v>
      </c>
      <c r="B563" t="s">
        <v>2231</v>
      </c>
      <c r="C563" t="s">
        <v>40</v>
      </c>
      <c r="D563" t="s">
        <v>77</v>
      </c>
      <c r="E563" t="s">
        <v>52</v>
      </c>
      <c r="F563" t="s">
        <v>151</v>
      </c>
      <c r="G563">
        <v>44278</v>
      </c>
      <c r="H563">
        <v>44316</v>
      </c>
      <c r="I563" t="s">
        <v>2232</v>
      </c>
      <c r="J563" t="s">
        <v>2233</v>
      </c>
      <c r="K563" t="s">
        <v>90</v>
      </c>
      <c r="M563" t="s">
        <v>3735</v>
      </c>
    </row>
    <row r="564" spans="1:13" hidden="1" x14ac:dyDescent="0.3">
      <c r="A564" t="s">
        <v>2234</v>
      </c>
      <c r="B564" t="s">
        <v>2235</v>
      </c>
      <c r="C564" t="s">
        <v>76</v>
      </c>
      <c r="D564" t="s">
        <v>16</v>
      </c>
      <c r="E564" t="s">
        <v>17</v>
      </c>
      <c r="F564" t="s">
        <v>18</v>
      </c>
      <c r="G564">
        <v>44639</v>
      </c>
      <c r="H564">
        <v>44960</v>
      </c>
      <c r="I564" t="s">
        <v>2236</v>
      </c>
      <c r="J564" t="s">
        <v>2237</v>
      </c>
      <c r="K564" t="s">
        <v>21</v>
      </c>
      <c r="M564" t="s">
        <v>3735</v>
      </c>
    </row>
    <row r="565" spans="1:13" x14ac:dyDescent="0.3">
      <c r="A565" t="s">
        <v>2238</v>
      </c>
      <c r="B565" t="s">
        <v>2239</v>
      </c>
      <c r="C565" t="s">
        <v>181</v>
      </c>
      <c r="D565" t="s">
        <v>67</v>
      </c>
      <c r="E565" t="s">
        <v>26</v>
      </c>
      <c r="F565" t="s">
        <v>18</v>
      </c>
      <c r="G565">
        <v>45402</v>
      </c>
      <c r="H565">
        <v>45526</v>
      </c>
      <c r="I565" t="s">
        <v>2240</v>
      </c>
      <c r="J565" t="s">
        <v>2241</v>
      </c>
      <c r="K565" t="s">
        <v>37</v>
      </c>
      <c r="L565" t="s">
        <v>60</v>
      </c>
      <c r="M565" t="s">
        <v>22</v>
      </c>
    </row>
    <row r="566" spans="1:13" x14ac:dyDescent="0.3">
      <c r="A566" t="s">
        <v>2242</v>
      </c>
      <c r="B566" t="s">
        <v>2243</v>
      </c>
      <c r="C566" t="s">
        <v>46</v>
      </c>
      <c r="D566" t="s">
        <v>34</v>
      </c>
      <c r="E566" t="s">
        <v>26</v>
      </c>
      <c r="F566" t="s">
        <v>151</v>
      </c>
      <c r="G566">
        <v>43998</v>
      </c>
      <c r="H566">
        <v>44302</v>
      </c>
      <c r="I566" t="s">
        <v>2244</v>
      </c>
      <c r="J566" t="s">
        <v>2245</v>
      </c>
      <c r="K566" t="s">
        <v>21</v>
      </c>
      <c r="L566" t="s">
        <v>30</v>
      </c>
      <c r="M566" t="s">
        <v>22</v>
      </c>
    </row>
    <row r="567" spans="1:13" x14ac:dyDescent="0.3">
      <c r="A567" t="s">
        <v>2247</v>
      </c>
      <c r="B567" t="s">
        <v>2248</v>
      </c>
      <c r="C567" t="s">
        <v>33</v>
      </c>
      <c r="D567" t="s">
        <v>67</v>
      </c>
      <c r="E567" t="s">
        <v>26</v>
      </c>
      <c r="F567" t="s">
        <v>18</v>
      </c>
      <c r="G567">
        <v>45280</v>
      </c>
      <c r="H567">
        <v>45422</v>
      </c>
      <c r="I567" t="s">
        <v>2249</v>
      </c>
      <c r="J567" t="s">
        <v>2250</v>
      </c>
      <c r="K567" t="s">
        <v>90</v>
      </c>
      <c r="L567" t="s">
        <v>91</v>
      </c>
      <c r="M567" t="s">
        <v>22</v>
      </c>
    </row>
    <row r="568" spans="1:13" hidden="1" x14ac:dyDescent="0.3">
      <c r="A568" t="s">
        <v>2251</v>
      </c>
      <c r="B568" t="s">
        <v>2252</v>
      </c>
      <c r="C568" t="s">
        <v>40</v>
      </c>
      <c r="D568" t="s">
        <v>51</v>
      </c>
      <c r="E568" t="s">
        <v>52</v>
      </c>
      <c r="F568" t="s">
        <v>160</v>
      </c>
      <c r="G568">
        <v>44141</v>
      </c>
      <c r="H568">
        <v>44347</v>
      </c>
      <c r="I568" t="s">
        <v>2253</v>
      </c>
      <c r="K568" t="s">
        <v>37</v>
      </c>
      <c r="M568" t="s">
        <v>3735</v>
      </c>
    </row>
    <row r="569" spans="1:13" x14ac:dyDescent="0.3">
      <c r="A569" t="s">
        <v>2254</v>
      </c>
      <c r="B569" t="s">
        <v>2255</v>
      </c>
      <c r="C569" t="s">
        <v>15</v>
      </c>
      <c r="D569" t="s">
        <v>77</v>
      </c>
      <c r="E569" t="s">
        <v>52</v>
      </c>
      <c r="F569" t="s">
        <v>151</v>
      </c>
      <c r="G569">
        <v>45365</v>
      </c>
      <c r="H569">
        <v>45721</v>
      </c>
      <c r="I569" t="s">
        <v>2256</v>
      </c>
      <c r="J569" t="s">
        <v>2257</v>
      </c>
      <c r="K569" t="s">
        <v>90</v>
      </c>
      <c r="L569" t="s">
        <v>55</v>
      </c>
      <c r="M569" t="s">
        <v>22</v>
      </c>
    </row>
    <row r="570" spans="1:13" x14ac:dyDescent="0.3">
      <c r="A570" t="s">
        <v>2258</v>
      </c>
      <c r="B570" t="s">
        <v>2259</v>
      </c>
      <c r="C570" t="s">
        <v>40</v>
      </c>
      <c r="D570" t="s">
        <v>67</v>
      </c>
      <c r="E570" t="s">
        <v>26</v>
      </c>
      <c r="F570" t="s">
        <v>18</v>
      </c>
      <c r="G570">
        <v>43561</v>
      </c>
      <c r="H570">
        <v>43735</v>
      </c>
      <c r="I570" t="s">
        <v>2260</v>
      </c>
      <c r="J570" t="s">
        <v>2261</v>
      </c>
      <c r="K570" t="s">
        <v>21</v>
      </c>
      <c r="L570" t="s">
        <v>60</v>
      </c>
      <c r="M570" t="s">
        <v>22</v>
      </c>
    </row>
    <row r="571" spans="1:13" x14ac:dyDescent="0.3">
      <c r="A571" t="s">
        <v>2262</v>
      </c>
      <c r="B571" t="s">
        <v>2263</v>
      </c>
      <c r="C571" t="s">
        <v>33</v>
      </c>
      <c r="D571" t="s">
        <v>16</v>
      </c>
      <c r="E571" t="s">
        <v>17</v>
      </c>
      <c r="F571" t="s">
        <v>151</v>
      </c>
      <c r="G571">
        <v>44482</v>
      </c>
      <c r="H571">
        <v>44618</v>
      </c>
      <c r="I571" t="s">
        <v>2264</v>
      </c>
      <c r="J571" t="s">
        <v>347</v>
      </c>
      <c r="K571" t="s">
        <v>21</v>
      </c>
      <c r="L571" t="s">
        <v>60</v>
      </c>
      <c r="M571" t="s">
        <v>22</v>
      </c>
    </row>
    <row r="572" spans="1:13" x14ac:dyDescent="0.3">
      <c r="A572" t="s">
        <v>2265</v>
      </c>
      <c r="B572" t="s">
        <v>2266</v>
      </c>
      <c r="C572" t="s">
        <v>40</v>
      </c>
      <c r="D572" t="s">
        <v>25</v>
      </c>
      <c r="E572" t="s">
        <v>26</v>
      </c>
      <c r="F572" t="s">
        <v>18</v>
      </c>
      <c r="G572">
        <v>43645</v>
      </c>
      <c r="H572">
        <v>43747</v>
      </c>
      <c r="I572" t="s">
        <v>2267</v>
      </c>
      <c r="J572" t="s">
        <v>2268</v>
      </c>
      <c r="K572" t="s">
        <v>29</v>
      </c>
      <c r="L572" t="s">
        <v>91</v>
      </c>
      <c r="M572" t="s">
        <v>22</v>
      </c>
    </row>
    <row r="573" spans="1:13" x14ac:dyDescent="0.3">
      <c r="A573" t="s">
        <v>2269</v>
      </c>
      <c r="B573" t="s">
        <v>2270</v>
      </c>
      <c r="C573" t="s">
        <v>40</v>
      </c>
      <c r="D573" t="s">
        <v>16</v>
      </c>
      <c r="E573" t="s">
        <v>17</v>
      </c>
      <c r="F573" t="s">
        <v>18</v>
      </c>
      <c r="G573">
        <v>44246</v>
      </c>
      <c r="H573">
        <v>44272</v>
      </c>
      <c r="I573" t="s">
        <v>2271</v>
      </c>
      <c r="J573" t="s">
        <v>2272</v>
      </c>
      <c r="K573" t="s">
        <v>90</v>
      </c>
      <c r="L573" t="s">
        <v>60</v>
      </c>
      <c r="M573" t="s">
        <v>22</v>
      </c>
    </row>
    <row r="574" spans="1:13" x14ac:dyDescent="0.3">
      <c r="A574" t="s">
        <v>2273</v>
      </c>
      <c r="B574" t="s">
        <v>2274</v>
      </c>
      <c r="C574" t="s">
        <v>76</v>
      </c>
      <c r="D574" t="s">
        <v>77</v>
      </c>
      <c r="E574" t="s">
        <v>52</v>
      </c>
      <c r="F574" t="s">
        <v>18</v>
      </c>
      <c r="G574">
        <v>43900</v>
      </c>
      <c r="H574">
        <v>44065</v>
      </c>
      <c r="I574" t="s">
        <v>2275</v>
      </c>
      <c r="J574" t="s">
        <v>2276</v>
      </c>
      <c r="K574" t="s">
        <v>90</v>
      </c>
      <c r="L574" t="s">
        <v>30</v>
      </c>
      <c r="M574" t="s">
        <v>22</v>
      </c>
    </row>
    <row r="575" spans="1:13" x14ac:dyDescent="0.3">
      <c r="A575" t="s">
        <v>2277</v>
      </c>
      <c r="B575" t="s">
        <v>2278</v>
      </c>
      <c r="C575" t="s">
        <v>15</v>
      </c>
      <c r="D575" t="s">
        <v>51</v>
      </c>
      <c r="E575" t="s">
        <v>52</v>
      </c>
      <c r="F575" t="s">
        <v>18</v>
      </c>
      <c r="G575">
        <v>44562</v>
      </c>
      <c r="H575">
        <v>44756</v>
      </c>
      <c r="I575" t="s">
        <v>2279</v>
      </c>
      <c r="J575" t="s">
        <v>2280</v>
      </c>
      <c r="K575" t="s">
        <v>90</v>
      </c>
      <c r="L575" t="s">
        <v>91</v>
      </c>
      <c r="M575" t="s">
        <v>22</v>
      </c>
    </row>
    <row r="576" spans="1:13" x14ac:dyDescent="0.3">
      <c r="A576" t="s">
        <v>2281</v>
      </c>
      <c r="B576" t="s">
        <v>2282</v>
      </c>
      <c r="C576" t="s">
        <v>181</v>
      </c>
      <c r="D576" t="s">
        <v>25</v>
      </c>
      <c r="E576" t="s">
        <v>26</v>
      </c>
      <c r="F576" t="s">
        <v>18</v>
      </c>
      <c r="G576">
        <v>45527</v>
      </c>
      <c r="H576">
        <v>45640</v>
      </c>
      <c r="I576" t="s">
        <v>2283</v>
      </c>
      <c r="J576" t="s">
        <v>2284</v>
      </c>
      <c r="K576" t="s">
        <v>90</v>
      </c>
      <c r="L576" t="s">
        <v>30</v>
      </c>
      <c r="M576" t="s">
        <v>22</v>
      </c>
    </row>
    <row r="577" spans="1:13" x14ac:dyDescent="0.3">
      <c r="A577" t="s">
        <v>2285</v>
      </c>
      <c r="B577" t="s">
        <v>2286</v>
      </c>
      <c r="C577" t="s">
        <v>40</v>
      </c>
      <c r="D577" t="s">
        <v>67</v>
      </c>
      <c r="E577" t="s">
        <v>26</v>
      </c>
      <c r="F577" t="s">
        <v>18</v>
      </c>
      <c r="G577">
        <v>44998</v>
      </c>
      <c r="H577">
        <v>45128</v>
      </c>
      <c r="I577" t="s">
        <v>2287</v>
      </c>
      <c r="J577" t="s">
        <v>877</v>
      </c>
      <c r="K577" t="s">
        <v>37</v>
      </c>
      <c r="L577" t="s">
        <v>60</v>
      </c>
      <c r="M577" t="s">
        <v>22</v>
      </c>
    </row>
    <row r="578" spans="1:13" x14ac:dyDescent="0.3">
      <c r="A578" t="s">
        <v>2288</v>
      </c>
      <c r="B578" t="s">
        <v>2289</v>
      </c>
      <c r="C578" t="s">
        <v>87</v>
      </c>
      <c r="D578" t="s">
        <v>67</v>
      </c>
      <c r="E578" t="s">
        <v>26</v>
      </c>
      <c r="F578" t="s">
        <v>18</v>
      </c>
      <c r="G578">
        <v>44836</v>
      </c>
      <c r="H578">
        <v>44869</v>
      </c>
      <c r="I578" t="s">
        <v>2290</v>
      </c>
      <c r="J578" t="s">
        <v>2291</v>
      </c>
      <c r="K578" t="s">
        <v>21</v>
      </c>
      <c r="L578" t="s">
        <v>116</v>
      </c>
      <c r="M578" t="s">
        <v>22</v>
      </c>
    </row>
    <row r="579" spans="1:13" hidden="1" x14ac:dyDescent="0.3">
      <c r="A579" t="s">
        <v>2292</v>
      </c>
      <c r="B579" t="s">
        <v>2293</v>
      </c>
      <c r="C579" t="s">
        <v>181</v>
      </c>
      <c r="D579" t="s">
        <v>77</v>
      </c>
      <c r="E579" t="s">
        <v>52</v>
      </c>
      <c r="F579" t="s">
        <v>18</v>
      </c>
      <c r="G579">
        <v>45058</v>
      </c>
      <c r="H579">
        <v>45060</v>
      </c>
      <c r="I579" t="s">
        <v>2294</v>
      </c>
      <c r="J579" t="s">
        <v>2295</v>
      </c>
      <c r="K579" t="s">
        <v>29</v>
      </c>
      <c r="M579" t="s">
        <v>3735</v>
      </c>
    </row>
    <row r="580" spans="1:13" x14ac:dyDescent="0.3">
      <c r="A580" t="s">
        <v>2296</v>
      </c>
      <c r="B580" t="s">
        <v>2297</v>
      </c>
      <c r="C580" t="s">
        <v>87</v>
      </c>
      <c r="D580" t="s">
        <v>16</v>
      </c>
      <c r="E580" t="s">
        <v>17</v>
      </c>
      <c r="F580" t="s">
        <v>18</v>
      </c>
      <c r="G580">
        <v>43751</v>
      </c>
      <c r="H580">
        <v>43794</v>
      </c>
      <c r="I580" t="s">
        <v>2298</v>
      </c>
      <c r="J580" t="s">
        <v>2299</v>
      </c>
      <c r="K580" t="s">
        <v>21</v>
      </c>
      <c r="L580" t="s">
        <v>55</v>
      </c>
      <c r="M580" t="s">
        <v>22</v>
      </c>
    </row>
    <row r="581" spans="1:13" x14ac:dyDescent="0.3">
      <c r="A581" t="s">
        <v>2300</v>
      </c>
      <c r="B581" t="s">
        <v>2301</v>
      </c>
      <c r="C581" t="s">
        <v>33</v>
      </c>
      <c r="D581" t="s">
        <v>25</v>
      </c>
      <c r="E581" t="s">
        <v>26</v>
      </c>
      <c r="F581" t="s">
        <v>18</v>
      </c>
      <c r="G581">
        <v>43667</v>
      </c>
      <c r="H581">
        <v>43947</v>
      </c>
      <c r="I581" t="s">
        <v>2302</v>
      </c>
      <c r="J581" t="s">
        <v>2303</v>
      </c>
      <c r="K581" t="s">
        <v>90</v>
      </c>
      <c r="L581" t="s">
        <v>30</v>
      </c>
      <c r="M581" t="s">
        <v>22</v>
      </c>
    </row>
    <row r="582" spans="1:13" x14ac:dyDescent="0.3">
      <c r="A582" t="s">
        <v>2304</v>
      </c>
      <c r="B582" t="s">
        <v>2305</v>
      </c>
      <c r="C582" t="s">
        <v>40</v>
      </c>
      <c r="D582" t="s">
        <v>34</v>
      </c>
      <c r="E582" t="s">
        <v>26</v>
      </c>
      <c r="F582" t="s">
        <v>160</v>
      </c>
      <c r="G582">
        <v>44037</v>
      </c>
      <c r="H582">
        <v>44337</v>
      </c>
      <c r="I582" t="s">
        <v>2306</v>
      </c>
      <c r="J582" t="s">
        <v>2307</v>
      </c>
      <c r="K582" t="s">
        <v>37</v>
      </c>
      <c r="L582" t="s">
        <v>55</v>
      </c>
      <c r="M582" t="s">
        <v>22</v>
      </c>
    </row>
    <row r="583" spans="1:13" x14ac:dyDescent="0.3">
      <c r="A583" t="s">
        <v>2308</v>
      </c>
      <c r="B583" t="s">
        <v>2309</v>
      </c>
      <c r="C583" t="s">
        <v>40</v>
      </c>
      <c r="D583" t="s">
        <v>25</v>
      </c>
      <c r="E583" t="s">
        <v>26</v>
      </c>
      <c r="F583" t="s">
        <v>18</v>
      </c>
      <c r="G583">
        <v>43728</v>
      </c>
      <c r="H583">
        <v>43901</v>
      </c>
      <c r="I583" t="s">
        <v>2310</v>
      </c>
      <c r="J583" t="s">
        <v>2311</v>
      </c>
      <c r="K583" t="s">
        <v>37</v>
      </c>
      <c r="L583" t="s">
        <v>60</v>
      </c>
      <c r="M583" t="s">
        <v>22</v>
      </c>
    </row>
    <row r="584" spans="1:13" x14ac:dyDescent="0.3">
      <c r="A584" t="s">
        <v>2312</v>
      </c>
      <c r="B584" t="s">
        <v>2313</v>
      </c>
      <c r="C584" t="s">
        <v>46</v>
      </c>
      <c r="D584" t="s">
        <v>34</v>
      </c>
      <c r="E584" t="s">
        <v>26</v>
      </c>
      <c r="F584" t="s">
        <v>18</v>
      </c>
      <c r="G584">
        <v>45301</v>
      </c>
      <c r="H584">
        <v>44992</v>
      </c>
      <c r="I584" t="s">
        <v>2314</v>
      </c>
      <c r="J584" t="s">
        <v>2315</v>
      </c>
      <c r="K584" t="s">
        <v>29</v>
      </c>
      <c r="L584" t="s">
        <v>30</v>
      </c>
      <c r="M584" t="s">
        <v>22</v>
      </c>
    </row>
    <row r="585" spans="1:13" hidden="1" x14ac:dyDescent="0.3">
      <c r="A585" t="s">
        <v>2316</v>
      </c>
      <c r="B585" t="s">
        <v>2317</v>
      </c>
      <c r="C585" t="s">
        <v>15</v>
      </c>
      <c r="D585" t="s">
        <v>41</v>
      </c>
      <c r="E585" t="s">
        <v>17</v>
      </c>
      <c r="F585" t="s">
        <v>18</v>
      </c>
      <c r="G585">
        <v>45066</v>
      </c>
      <c r="H585">
        <v>45366</v>
      </c>
      <c r="I585" t="s">
        <v>2318</v>
      </c>
      <c r="J585" t="s">
        <v>2319</v>
      </c>
      <c r="K585" t="s">
        <v>21</v>
      </c>
      <c r="M585" t="s">
        <v>3735</v>
      </c>
    </row>
    <row r="586" spans="1:13" x14ac:dyDescent="0.3">
      <c r="A586" t="s">
        <v>2320</v>
      </c>
      <c r="B586" t="s">
        <v>2321</v>
      </c>
      <c r="C586" t="s">
        <v>87</v>
      </c>
      <c r="D586" t="s">
        <v>34</v>
      </c>
      <c r="E586" t="s">
        <v>26</v>
      </c>
      <c r="F586" t="s">
        <v>151</v>
      </c>
      <c r="G586">
        <v>45445</v>
      </c>
      <c r="H586">
        <v>45782</v>
      </c>
      <c r="I586" t="s">
        <v>2322</v>
      </c>
      <c r="J586" t="s">
        <v>2323</v>
      </c>
      <c r="K586" t="s">
        <v>90</v>
      </c>
      <c r="L586" t="s">
        <v>91</v>
      </c>
      <c r="M586" t="s">
        <v>22</v>
      </c>
    </row>
    <row r="587" spans="1:13" x14ac:dyDescent="0.3">
      <c r="A587" t="s">
        <v>2324</v>
      </c>
      <c r="B587" t="s">
        <v>2325</v>
      </c>
      <c r="C587" t="s">
        <v>181</v>
      </c>
      <c r="D587" t="s">
        <v>51</v>
      </c>
      <c r="E587" t="s">
        <v>52</v>
      </c>
      <c r="F587" t="s">
        <v>18</v>
      </c>
      <c r="G587">
        <v>43752</v>
      </c>
      <c r="H587">
        <v>43984</v>
      </c>
      <c r="I587" t="s">
        <v>2326</v>
      </c>
      <c r="J587" t="s">
        <v>2327</v>
      </c>
      <c r="K587" t="s">
        <v>90</v>
      </c>
      <c r="L587" t="s">
        <v>55</v>
      </c>
      <c r="M587" t="s">
        <v>22</v>
      </c>
    </row>
    <row r="588" spans="1:13" x14ac:dyDescent="0.3">
      <c r="A588" t="s">
        <v>2328</v>
      </c>
      <c r="B588" t="s">
        <v>2329</v>
      </c>
      <c r="C588" t="s">
        <v>181</v>
      </c>
      <c r="D588" t="s">
        <v>77</v>
      </c>
      <c r="E588" t="s">
        <v>52</v>
      </c>
      <c r="F588" t="s">
        <v>18</v>
      </c>
      <c r="G588">
        <v>44492</v>
      </c>
      <c r="H588">
        <v>44550</v>
      </c>
      <c r="I588" t="s">
        <v>2330</v>
      </c>
      <c r="J588" t="s">
        <v>2331</v>
      </c>
      <c r="K588" t="s">
        <v>21</v>
      </c>
      <c r="L588" t="s">
        <v>30</v>
      </c>
      <c r="M588" t="s">
        <v>22</v>
      </c>
    </row>
    <row r="589" spans="1:13" x14ac:dyDescent="0.3">
      <c r="A589" t="s">
        <v>2332</v>
      </c>
      <c r="B589" t="s">
        <v>2333</v>
      </c>
      <c r="C589" t="s">
        <v>76</v>
      </c>
      <c r="D589" t="s">
        <v>77</v>
      </c>
      <c r="E589" t="s">
        <v>52</v>
      </c>
      <c r="F589" t="s">
        <v>18</v>
      </c>
      <c r="G589">
        <v>45585</v>
      </c>
      <c r="H589">
        <v>45761</v>
      </c>
      <c r="I589" t="s">
        <v>2334</v>
      </c>
      <c r="J589" t="s">
        <v>2335</v>
      </c>
      <c r="K589" t="s">
        <v>37</v>
      </c>
      <c r="L589" t="s">
        <v>30</v>
      </c>
      <c r="M589" t="s">
        <v>22</v>
      </c>
    </row>
    <row r="590" spans="1:13" hidden="1" x14ac:dyDescent="0.3">
      <c r="A590" t="s">
        <v>2336</v>
      </c>
      <c r="B590" t="s">
        <v>1617</v>
      </c>
      <c r="C590" t="s">
        <v>40</v>
      </c>
      <c r="D590" t="s">
        <v>25</v>
      </c>
      <c r="E590" t="s">
        <v>26</v>
      </c>
      <c r="F590" t="s">
        <v>18</v>
      </c>
      <c r="G590">
        <v>44809</v>
      </c>
      <c r="H590">
        <v>45121</v>
      </c>
      <c r="I590" t="s">
        <v>2337</v>
      </c>
      <c r="J590" t="s">
        <v>2338</v>
      </c>
      <c r="K590" t="s">
        <v>21</v>
      </c>
      <c r="M590" t="s">
        <v>3735</v>
      </c>
    </row>
    <row r="591" spans="1:13" x14ac:dyDescent="0.3">
      <c r="A591" t="s">
        <v>2339</v>
      </c>
      <c r="B591" t="s">
        <v>2340</v>
      </c>
      <c r="C591" t="s">
        <v>181</v>
      </c>
      <c r="D591" t="s">
        <v>16</v>
      </c>
      <c r="E591" t="s">
        <v>17</v>
      </c>
      <c r="F591" t="s">
        <v>18</v>
      </c>
      <c r="G591">
        <v>44688</v>
      </c>
      <c r="H591">
        <v>44857</v>
      </c>
      <c r="I591" t="s">
        <v>2341</v>
      </c>
      <c r="J591" t="s">
        <v>2342</v>
      </c>
      <c r="K591" t="s">
        <v>90</v>
      </c>
      <c r="L591" t="s">
        <v>30</v>
      </c>
      <c r="M591" t="s">
        <v>22</v>
      </c>
    </row>
    <row r="592" spans="1:13" x14ac:dyDescent="0.3">
      <c r="A592" t="s">
        <v>2343</v>
      </c>
      <c r="B592" t="s">
        <v>2344</v>
      </c>
      <c r="C592" t="s">
        <v>40</v>
      </c>
      <c r="D592" t="s">
        <v>25</v>
      </c>
      <c r="E592" t="s">
        <v>26</v>
      </c>
      <c r="F592" t="s">
        <v>160</v>
      </c>
      <c r="G592">
        <v>44910</v>
      </c>
      <c r="H592">
        <v>45224</v>
      </c>
      <c r="I592" t="s">
        <v>2345</v>
      </c>
      <c r="J592" t="s">
        <v>2346</v>
      </c>
      <c r="K592" t="s">
        <v>90</v>
      </c>
      <c r="L592" t="s">
        <v>60</v>
      </c>
      <c r="M592" t="s">
        <v>22</v>
      </c>
    </row>
    <row r="593" spans="1:13" x14ac:dyDescent="0.3">
      <c r="A593" t="s">
        <v>2347</v>
      </c>
      <c r="B593" t="s">
        <v>2348</v>
      </c>
      <c r="C593" t="s">
        <v>33</v>
      </c>
      <c r="D593" t="s">
        <v>34</v>
      </c>
      <c r="E593" t="s">
        <v>26</v>
      </c>
      <c r="F593" t="s">
        <v>18</v>
      </c>
      <c r="G593">
        <v>44561</v>
      </c>
      <c r="H593">
        <v>44824</v>
      </c>
      <c r="I593" t="s">
        <v>2349</v>
      </c>
      <c r="J593" t="s">
        <v>2350</v>
      </c>
      <c r="K593" t="s">
        <v>21</v>
      </c>
      <c r="L593" t="s">
        <v>60</v>
      </c>
      <c r="M593" t="s">
        <v>22</v>
      </c>
    </row>
    <row r="594" spans="1:13" x14ac:dyDescent="0.3">
      <c r="A594" t="s">
        <v>2351</v>
      </c>
      <c r="B594" t="s">
        <v>2352</v>
      </c>
      <c r="C594" t="s">
        <v>76</v>
      </c>
      <c r="D594" t="s">
        <v>67</v>
      </c>
      <c r="E594" t="s">
        <v>26</v>
      </c>
      <c r="F594" t="s">
        <v>18</v>
      </c>
      <c r="G594">
        <v>44966</v>
      </c>
      <c r="H594">
        <v>45144</v>
      </c>
      <c r="I594" t="s">
        <v>2353</v>
      </c>
      <c r="J594" t="s">
        <v>2354</v>
      </c>
      <c r="K594" t="s">
        <v>29</v>
      </c>
      <c r="L594" t="s">
        <v>30</v>
      </c>
      <c r="M594" t="s">
        <v>22</v>
      </c>
    </row>
    <row r="595" spans="1:13" hidden="1" x14ac:dyDescent="0.3">
      <c r="A595" t="s">
        <v>2355</v>
      </c>
      <c r="B595" t="s">
        <v>2356</v>
      </c>
      <c r="C595" t="s">
        <v>40</v>
      </c>
      <c r="D595" t="s">
        <v>77</v>
      </c>
      <c r="E595" t="s">
        <v>52</v>
      </c>
      <c r="F595" t="s">
        <v>18</v>
      </c>
      <c r="G595">
        <v>43919</v>
      </c>
      <c r="H595">
        <v>43985</v>
      </c>
      <c r="I595" t="s">
        <v>2357</v>
      </c>
      <c r="J595" t="s">
        <v>2358</v>
      </c>
      <c r="K595" t="s">
        <v>21</v>
      </c>
      <c r="M595" t="s">
        <v>3735</v>
      </c>
    </row>
    <row r="596" spans="1:13" x14ac:dyDescent="0.3">
      <c r="A596" t="s">
        <v>2359</v>
      </c>
      <c r="B596" t="s">
        <v>2360</v>
      </c>
      <c r="C596" t="s">
        <v>87</v>
      </c>
      <c r="D596" t="s">
        <v>16</v>
      </c>
      <c r="E596" t="s">
        <v>17</v>
      </c>
      <c r="F596" t="s">
        <v>18</v>
      </c>
      <c r="G596">
        <v>44663</v>
      </c>
      <c r="H596">
        <v>44894</v>
      </c>
      <c r="I596" t="s">
        <v>2361</v>
      </c>
      <c r="J596" t="s">
        <v>2362</v>
      </c>
      <c r="K596" t="s">
        <v>90</v>
      </c>
      <c r="L596" t="s">
        <v>55</v>
      </c>
      <c r="M596" t="s">
        <v>22</v>
      </c>
    </row>
    <row r="597" spans="1:13" x14ac:dyDescent="0.3">
      <c r="A597" t="s">
        <v>2363</v>
      </c>
      <c r="B597" t="s">
        <v>2364</v>
      </c>
      <c r="C597" t="s">
        <v>76</v>
      </c>
      <c r="D597" t="s">
        <v>34</v>
      </c>
      <c r="E597" t="s">
        <v>26</v>
      </c>
      <c r="F597" t="s">
        <v>18</v>
      </c>
      <c r="G597">
        <v>44086</v>
      </c>
      <c r="H597">
        <v>44444</v>
      </c>
      <c r="I597" t="s">
        <v>2365</v>
      </c>
      <c r="J597" t="s">
        <v>2366</v>
      </c>
      <c r="K597" t="s">
        <v>90</v>
      </c>
      <c r="L597" t="s">
        <v>91</v>
      </c>
      <c r="M597" t="s">
        <v>22</v>
      </c>
    </row>
    <row r="598" spans="1:13" x14ac:dyDescent="0.3">
      <c r="A598" t="s">
        <v>2367</v>
      </c>
      <c r="B598" t="s">
        <v>2368</v>
      </c>
      <c r="C598" t="s">
        <v>40</v>
      </c>
      <c r="D598" t="s">
        <v>67</v>
      </c>
      <c r="E598" t="s">
        <v>26</v>
      </c>
      <c r="F598" t="s">
        <v>18</v>
      </c>
      <c r="G598">
        <v>43603</v>
      </c>
      <c r="H598">
        <v>43622</v>
      </c>
      <c r="I598" t="s">
        <v>2369</v>
      </c>
      <c r="J598" t="s">
        <v>2370</v>
      </c>
      <c r="K598" t="s">
        <v>29</v>
      </c>
      <c r="L598" t="s">
        <v>60</v>
      </c>
      <c r="M598" t="s">
        <v>22</v>
      </c>
    </row>
    <row r="599" spans="1:13" hidden="1" x14ac:dyDescent="0.3">
      <c r="A599" t="s">
        <v>2371</v>
      </c>
      <c r="B599" t="s">
        <v>2372</v>
      </c>
      <c r="C599" t="s">
        <v>76</v>
      </c>
      <c r="D599" t="s">
        <v>41</v>
      </c>
      <c r="E599" t="s">
        <v>17</v>
      </c>
      <c r="F599" t="s">
        <v>160</v>
      </c>
      <c r="G599">
        <v>45417</v>
      </c>
      <c r="H599">
        <v>45739</v>
      </c>
      <c r="I599" t="s">
        <v>2373</v>
      </c>
      <c r="K599" t="s">
        <v>29</v>
      </c>
      <c r="L599" t="s">
        <v>116</v>
      </c>
      <c r="M599" t="s">
        <v>3735</v>
      </c>
    </row>
    <row r="600" spans="1:13" hidden="1" x14ac:dyDescent="0.3">
      <c r="A600" t="s">
        <v>2374</v>
      </c>
      <c r="B600" t="s">
        <v>3721</v>
      </c>
      <c r="C600" t="s">
        <v>33</v>
      </c>
      <c r="D600" t="s">
        <v>67</v>
      </c>
      <c r="E600" t="s">
        <v>26</v>
      </c>
      <c r="F600" t="s">
        <v>18</v>
      </c>
      <c r="G600">
        <v>45188</v>
      </c>
      <c r="H600">
        <v>45528</v>
      </c>
      <c r="I600" t="s">
        <v>2375</v>
      </c>
      <c r="J600" t="s">
        <v>2376</v>
      </c>
      <c r="K600" t="s">
        <v>29</v>
      </c>
      <c r="L600" t="s">
        <v>30</v>
      </c>
      <c r="M600" t="s">
        <v>3735</v>
      </c>
    </row>
    <row r="601" spans="1:13" x14ac:dyDescent="0.3">
      <c r="A601" t="s">
        <v>2377</v>
      </c>
      <c r="B601" t="s">
        <v>2378</v>
      </c>
      <c r="C601" t="s">
        <v>40</v>
      </c>
      <c r="D601" t="s">
        <v>41</v>
      </c>
      <c r="E601" t="s">
        <v>17</v>
      </c>
      <c r="F601" t="s">
        <v>18</v>
      </c>
      <c r="G601">
        <v>44184</v>
      </c>
      <c r="H601">
        <v>44217</v>
      </c>
      <c r="I601" t="s">
        <v>2379</v>
      </c>
      <c r="J601" t="s">
        <v>2380</v>
      </c>
      <c r="K601" t="s">
        <v>90</v>
      </c>
      <c r="L601" t="s">
        <v>55</v>
      </c>
      <c r="M601" t="s">
        <v>22</v>
      </c>
    </row>
    <row r="602" spans="1:13" x14ac:dyDescent="0.3">
      <c r="A602" t="s">
        <v>2381</v>
      </c>
      <c r="B602" t="s">
        <v>2382</v>
      </c>
      <c r="C602" t="s">
        <v>15</v>
      </c>
      <c r="D602" t="s">
        <v>34</v>
      </c>
      <c r="E602" t="s">
        <v>26</v>
      </c>
      <c r="F602" t="s">
        <v>151</v>
      </c>
      <c r="G602">
        <v>45622</v>
      </c>
      <c r="H602">
        <v>45669</v>
      </c>
      <c r="I602" t="s">
        <v>2383</v>
      </c>
      <c r="J602" t="s">
        <v>2384</v>
      </c>
      <c r="K602" t="s">
        <v>29</v>
      </c>
      <c r="L602" t="s">
        <v>60</v>
      </c>
      <c r="M602" t="s">
        <v>22</v>
      </c>
    </row>
    <row r="603" spans="1:13" x14ac:dyDescent="0.3">
      <c r="A603" t="s">
        <v>2385</v>
      </c>
      <c r="B603" t="s">
        <v>2386</v>
      </c>
      <c r="C603" t="s">
        <v>15</v>
      </c>
      <c r="D603" t="s">
        <v>34</v>
      </c>
      <c r="E603" t="s">
        <v>26</v>
      </c>
      <c r="F603" t="s">
        <v>151</v>
      </c>
      <c r="G603">
        <v>43977</v>
      </c>
      <c r="H603">
        <v>44213</v>
      </c>
      <c r="I603" t="s">
        <v>2387</v>
      </c>
      <c r="J603" t="s">
        <v>2388</v>
      </c>
      <c r="K603" t="s">
        <v>21</v>
      </c>
      <c r="L603" t="s">
        <v>60</v>
      </c>
      <c r="M603" t="s">
        <v>22</v>
      </c>
    </row>
    <row r="604" spans="1:13" x14ac:dyDescent="0.3">
      <c r="A604" t="s">
        <v>2389</v>
      </c>
      <c r="B604" t="s">
        <v>2390</v>
      </c>
      <c r="C604" t="s">
        <v>46</v>
      </c>
      <c r="D604" t="s">
        <v>77</v>
      </c>
      <c r="E604" t="s">
        <v>52</v>
      </c>
      <c r="F604" t="s">
        <v>151</v>
      </c>
      <c r="G604">
        <v>44289</v>
      </c>
      <c r="H604">
        <v>44654</v>
      </c>
      <c r="I604" t="s">
        <v>2391</v>
      </c>
      <c r="J604" t="s">
        <v>2392</v>
      </c>
      <c r="K604" t="s">
        <v>29</v>
      </c>
      <c r="L604" t="s">
        <v>30</v>
      </c>
      <c r="M604" t="s">
        <v>22</v>
      </c>
    </row>
    <row r="605" spans="1:13" x14ac:dyDescent="0.3">
      <c r="A605" t="s">
        <v>2393</v>
      </c>
      <c r="B605" t="s">
        <v>2394</v>
      </c>
      <c r="C605" t="s">
        <v>33</v>
      </c>
      <c r="D605" t="s">
        <v>41</v>
      </c>
      <c r="E605" t="s">
        <v>17</v>
      </c>
      <c r="F605" t="s">
        <v>18</v>
      </c>
      <c r="G605">
        <v>43878</v>
      </c>
      <c r="H605">
        <v>44044</v>
      </c>
      <c r="I605" t="s">
        <v>2395</v>
      </c>
      <c r="J605" t="s">
        <v>2396</v>
      </c>
      <c r="K605" t="s">
        <v>37</v>
      </c>
      <c r="L605" t="s">
        <v>91</v>
      </c>
      <c r="M605" t="s">
        <v>22</v>
      </c>
    </row>
    <row r="606" spans="1:13" x14ac:dyDescent="0.3">
      <c r="A606" t="s">
        <v>2397</v>
      </c>
      <c r="B606" t="s">
        <v>2398</v>
      </c>
      <c r="C606" t="s">
        <v>15</v>
      </c>
      <c r="D606" t="s">
        <v>41</v>
      </c>
      <c r="E606" t="s">
        <v>17</v>
      </c>
      <c r="F606" t="s">
        <v>18</v>
      </c>
      <c r="G606">
        <v>44386</v>
      </c>
      <c r="H606">
        <v>44487</v>
      </c>
      <c r="I606" t="s">
        <v>2399</v>
      </c>
      <c r="J606" t="s">
        <v>2400</v>
      </c>
      <c r="K606" t="s">
        <v>90</v>
      </c>
      <c r="L606" t="s">
        <v>55</v>
      </c>
      <c r="M606" t="s">
        <v>22</v>
      </c>
    </row>
    <row r="607" spans="1:13" x14ac:dyDescent="0.3">
      <c r="A607" t="s">
        <v>2401</v>
      </c>
      <c r="B607" t="s">
        <v>2402</v>
      </c>
      <c r="C607" t="s">
        <v>87</v>
      </c>
      <c r="D607" t="s">
        <v>51</v>
      </c>
      <c r="E607" t="s">
        <v>52</v>
      </c>
      <c r="F607" t="s">
        <v>18</v>
      </c>
      <c r="G607">
        <v>45329</v>
      </c>
      <c r="H607">
        <v>45672</v>
      </c>
      <c r="I607" t="s">
        <v>2403</v>
      </c>
      <c r="J607" t="s">
        <v>2404</v>
      </c>
      <c r="K607" t="s">
        <v>29</v>
      </c>
      <c r="L607" t="s">
        <v>55</v>
      </c>
      <c r="M607" t="s">
        <v>22</v>
      </c>
    </row>
    <row r="608" spans="1:13" hidden="1" x14ac:dyDescent="0.3">
      <c r="A608" t="s">
        <v>2405</v>
      </c>
      <c r="B608" t="s">
        <v>2406</v>
      </c>
      <c r="C608" t="s">
        <v>87</v>
      </c>
      <c r="D608" t="s">
        <v>41</v>
      </c>
      <c r="E608" t="s">
        <v>17</v>
      </c>
      <c r="F608" t="s">
        <v>18</v>
      </c>
      <c r="G608">
        <v>43891</v>
      </c>
      <c r="H608">
        <v>43595</v>
      </c>
      <c r="I608" t="s">
        <v>2407</v>
      </c>
      <c r="J608" t="s">
        <v>2408</v>
      </c>
      <c r="K608" t="s">
        <v>37</v>
      </c>
      <c r="M608" t="s">
        <v>3735</v>
      </c>
    </row>
    <row r="609" spans="1:13" x14ac:dyDescent="0.3">
      <c r="A609" t="s">
        <v>2409</v>
      </c>
      <c r="B609" t="s">
        <v>2410</v>
      </c>
      <c r="C609" t="s">
        <v>40</v>
      </c>
      <c r="D609" t="s">
        <v>77</v>
      </c>
      <c r="E609" t="s">
        <v>52</v>
      </c>
      <c r="F609" t="s">
        <v>18</v>
      </c>
      <c r="G609">
        <v>45120</v>
      </c>
      <c r="H609">
        <v>45155</v>
      </c>
      <c r="I609" t="s">
        <v>2411</v>
      </c>
      <c r="J609" t="s">
        <v>2412</v>
      </c>
      <c r="K609" t="s">
        <v>90</v>
      </c>
      <c r="L609" t="s">
        <v>30</v>
      </c>
      <c r="M609" t="s">
        <v>22</v>
      </c>
    </row>
    <row r="610" spans="1:13" hidden="1" x14ac:dyDescent="0.3">
      <c r="A610" t="s">
        <v>2413</v>
      </c>
      <c r="B610" t="s">
        <v>2414</v>
      </c>
      <c r="C610" t="s">
        <v>46</v>
      </c>
      <c r="D610" t="s">
        <v>41</v>
      </c>
      <c r="E610" t="s">
        <v>17</v>
      </c>
      <c r="F610" t="s">
        <v>18</v>
      </c>
      <c r="G610">
        <v>44523</v>
      </c>
      <c r="H610">
        <v>44615</v>
      </c>
      <c r="I610" t="s">
        <v>2415</v>
      </c>
      <c r="J610" t="s">
        <v>2416</v>
      </c>
      <c r="K610" t="s">
        <v>90</v>
      </c>
      <c r="M610" t="s">
        <v>3735</v>
      </c>
    </row>
    <row r="611" spans="1:13" x14ac:dyDescent="0.3">
      <c r="A611" t="s">
        <v>2417</v>
      </c>
      <c r="B611" t="s">
        <v>2418</v>
      </c>
      <c r="C611" t="s">
        <v>76</v>
      </c>
      <c r="D611" t="s">
        <v>25</v>
      </c>
      <c r="E611" t="s">
        <v>26</v>
      </c>
      <c r="F611" t="s">
        <v>160</v>
      </c>
      <c r="G611">
        <v>44046</v>
      </c>
      <c r="H611">
        <v>44224</v>
      </c>
      <c r="I611" t="s">
        <v>2419</v>
      </c>
      <c r="J611" t="s">
        <v>2420</v>
      </c>
      <c r="K611" t="s">
        <v>21</v>
      </c>
      <c r="L611" t="s">
        <v>55</v>
      </c>
      <c r="M611" t="s">
        <v>22</v>
      </c>
    </row>
    <row r="612" spans="1:13" hidden="1" x14ac:dyDescent="0.3">
      <c r="A612" t="s">
        <v>2421</v>
      </c>
      <c r="B612" t="s">
        <v>2422</v>
      </c>
      <c r="C612" t="s">
        <v>33</v>
      </c>
      <c r="D612" t="s">
        <v>67</v>
      </c>
      <c r="E612" t="s">
        <v>26</v>
      </c>
      <c r="F612" t="s">
        <v>18</v>
      </c>
      <c r="G612">
        <v>45210</v>
      </c>
      <c r="H612">
        <v>45348</v>
      </c>
      <c r="I612" t="s">
        <v>2423</v>
      </c>
      <c r="J612" t="s">
        <v>2424</v>
      </c>
      <c r="K612" t="s">
        <v>37</v>
      </c>
      <c r="M612" t="s">
        <v>3735</v>
      </c>
    </row>
    <row r="613" spans="1:13" x14ac:dyDescent="0.3">
      <c r="A613" t="s">
        <v>2425</v>
      </c>
      <c r="B613" t="s">
        <v>373</v>
      </c>
      <c r="C613" t="s">
        <v>46</v>
      </c>
      <c r="D613" t="s">
        <v>25</v>
      </c>
      <c r="E613" t="s">
        <v>26</v>
      </c>
      <c r="F613" t="s">
        <v>18</v>
      </c>
      <c r="G613">
        <v>45257</v>
      </c>
      <c r="H613">
        <v>45297</v>
      </c>
      <c r="I613" t="s">
        <v>374</v>
      </c>
      <c r="J613" t="s">
        <v>2426</v>
      </c>
      <c r="K613" t="s">
        <v>37</v>
      </c>
      <c r="L613" t="s">
        <v>55</v>
      </c>
      <c r="M613" t="s">
        <v>22</v>
      </c>
    </row>
    <row r="614" spans="1:13" hidden="1" x14ac:dyDescent="0.3">
      <c r="A614" t="s">
        <v>2427</v>
      </c>
      <c r="B614" t="s">
        <v>2428</v>
      </c>
      <c r="C614" t="s">
        <v>40</v>
      </c>
      <c r="D614" t="s">
        <v>16</v>
      </c>
      <c r="E614" t="s">
        <v>17</v>
      </c>
      <c r="F614" t="s">
        <v>18</v>
      </c>
      <c r="G614">
        <v>44816</v>
      </c>
      <c r="H614">
        <v>44970</v>
      </c>
      <c r="J614" t="s">
        <v>2429</v>
      </c>
      <c r="K614" t="s">
        <v>29</v>
      </c>
      <c r="M614" t="s">
        <v>3735</v>
      </c>
    </row>
    <row r="615" spans="1:13" hidden="1" x14ac:dyDescent="0.3">
      <c r="A615" t="s">
        <v>2430</v>
      </c>
      <c r="B615" t="s">
        <v>2431</v>
      </c>
      <c r="C615" t="s">
        <v>46</v>
      </c>
      <c r="D615" t="s">
        <v>41</v>
      </c>
      <c r="E615" t="s">
        <v>17</v>
      </c>
      <c r="F615" t="s">
        <v>18</v>
      </c>
      <c r="G615">
        <v>45546</v>
      </c>
      <c r="H615">
        <v>45587</v>
      </c>
      <c r="I615" t="s">
        <v>2432</v>
      </c>
      <c r="J615" t="s">
        <v>2433</v>
      </c>
      <c r="K615" t="s">
        <v>90</v>
      </c>
      <c r="M615" t="s">
        <v>3735</v>
      </c>
    </row>
    <row r="616" spans="1:13" x14ac:dyDescent="0.3">
      <c r="A616" t="s">
        <v>2434</v>
      </c>
      <c r="B616" t="s">
        <v>2435</v>
      </c>
      <c r="C616" t="s">
        <v>40</v>
      </c>
      <c r="D616" t="s">
        <v>34</v>
      </c>
      <c r="E616" t="s">
        <v>26</v>
      </c>
      <c r="F616" t="s">
        <v>160</v>
      </c>
      <c r="G616">
        <v>45574</v>
      </c>
      <c r="H616">
        <v>45789</v>
      </c>
      <c r="I616" t="s">
        <v>2436</v>
      </c>
      <c r="J616" t="s">
        <v>2437</v>
      </c>
      <c r="K616" t="s">
        <v>21</v>
      </c>
      <c r="L616" t="s">
        <v>91</v>
      </c>
      <c r="M616" t="s">
        <v>22</v>
      </c>
    </row>
    <row r="617" spans="1:13" hidden="1" x14ac:dyDescent="0.3">
      <c r="A617" t="s">
        <v>2438</v>
      </c>
      <c r="B617" t="s">
        <v>2439</v>
      </c>
      <c r="C617" t="s">
        <v>33</v>
      </c>
      <c r="D617" t="s">
        <v>34</v>
      </c>
      <c r="E617" t="s">
        <v>26</v>
      </c>
      <c r="F617" t="s">
        <v>18</v>
      </c>
      <c r="G617">
        <v>44009</v>
      </c>
      <c r="H617">
        <v>44372</v>
      </c>
      <c r="I617" t="s">
        <v>2440</v>
      </c>
      <c r="J617" t="s">
        <v>2441</v>
      </c>
      <c r="K617" t="s">
        <v>29</v>
      </c>
      <c r="M617" t="s">
        <v>3735</v>
      </c>
    </row>
    <row r="618" spans="1:13" x14ac:dyDescent="0.3">
      <c r="A618" t="s">
        <v>2442</v>
      </c>
      <c r="B618" t="s">
        <v>2443</v>
      </c>
      <c r="C618" t="s">
        <v>33</v>
      </c>
      <c r="D618" t="s">
        <v>67</v>
      </c>
      <c r="E618" t="s">
        <v>26</v>
      </c>
      <c r="F618" t="s">
        <v>18</v>
      </c>
      <c r="G618">
        <v>45067</v>
      </c>
      <c r="H618">
        <v>45262</v>
      </c>
      <c r="I618" t="s">
        <v>2444</v>
      </c>
      <c r="J618" t="s">
        <v>2445</v>
      </c>
      <c r="K618" t="s">
        <v>90</v>
      </c>
      <c r="L618" t="s">
        <v>91</v>
      </c>
      <c r="M618" t="s">
        <v>22</v>
      </c>
    </row>
    <row r="619" spans="1:13" x14ac:dyDescent="0.3">
      <c r="A619" t="s">
        <v>2446</v>
      </c>
      <c r="B619" t="s">
        <v>2447</v>
      </c>
      <c r="C619" t="s">
        <v>46</v>
      </c>
      <c r="D619" t="s">
        <v>34</v>
      </c>
      <c r="E619" t="s">
        <v>26</v>
      </c>
      <c r="F619" t="s">
        <v>160</v>
      </c>
      <c r="G619">
        <v>44389</v>
      </c>
      <c r="H619">
        <v>44472</v>
      </c>
      <c r="I619" t="s">
        <v>2448</v>
      </c>
      <c r="J619" t="s">
        <v>2449</v>
      </c>
      <c r="K619" t="s">
        <v>90</v>
      </c>
      <c r="L619" t="s">
        <v>116</v>
      </c>
      <c r="M619" t="s">
        <v>22</v>
      </c>
    </row>
    <row r="620" spans="1:13" x14ac:dyDescent="0.3">
      <c r="A620" t="s">
        <v>2450</v>
      </c>
      <c r="B620" t="s">
        <v>2451</v>
      </c>
      <c r="C620" t="s">
        <v>87</v>
      </c>
      <c r="D620" t="s">
        <v>51</v>
      </c>
      <c r="E620" t="s">
        <v>52</v>
      </c>
      <c r="F620" t="s">
        <v>18</v>
      </c>
      <c r="G620">
        <v>43925</v>
      </c>
      <c r="H620">
        <v>43956</v>
      </c>
      <c r="I620" t="s">
        <v>2452</v>
      </c>
      <c r="J620" t="s">
        <v>2453</v>
      </c>
      <c r="K620" t="s">
        <v>37</v>
      </c>
      <c r="L620" t="s">
        <v>91</v>
      </c>
      <c r="M620" t="s">
        <v>22</v>
      </c>
    </row>
    <row r="621" spans="1:13" x14ac:dyDescent="0.3">
      <c r="A621" t="s">
        <v>2454</v>
      </c>
      <c r="B621" t="s">
        <v>2455</v>
      </c>
      <c r="C621" t="s">
        <v>15</v>
      </c>
      <c r="D621" t="s">
        <v>77</v>
      </c>
      <c r="E621" t="s">
        <v>52</v>
      </c>
      <c r="F621" t="s">
        <v>151</v>
      </c>
      <c r="G621">
        <v>44099</v>
      </c>
      <c r="H621">
        <v>44220</v>
      </c>
      <c r="I621" t="s">
        <v>2456</v>
      </c>
      <c r="J621" t="s">
        <v>2457</v>
      </c>
      <c r="K621" t="s">
        <v>21</v>
      </c>
      <c r="L621" t="s">
        <v>60</v>
      </c>
      <c r="M621" t="s">
        <v>22</v>
      </c>
    </row>
    <row r="622" spans="1:13" x14ac:dyDescent="0.3">
      <c r="A622" t="s">
        <v>2458</v>
      </c>
      <c r="B622" t="s">
        <v>2459</v>
      </c>
      <c r="C622" t="s">
        <v>76</v>
      </c>
      <c r="D622" t="s">
        <v>67</v>
      </c>
      <c r="E622" t="s">
        <v>26</v>
      </c>
      <c r="F622" t="s">
        <v>18</v>
      </c>
      <c r="G622">
        <v>45258</v>
      </c>
      <c r="H622">
        <v>45329</v>
      </c>
      <c r="I622" t="s">
        <v>2460</v>
      </c>
      <c r="J622" t="s">
        <v>2461</v>
      </c>
      <c r="K622" t="s">
        <v>37</v>
      </c>
      <c r="L622" t="s">
        <v>55</v>
      </c>
      <c r="M622" t="s">
        <v>22</v>
      </c>
    </row>
    <row r="623" spans="1:13" x14ac:dyDescent="0.3">
      <c r="A623" t="s">
        <v>2462</v>
      </c>
      <c r="B623" t="s">
        <v>2463</v>
      </c>
      <c r="C623" t="s">
        <v>40</v>
      </c>
      <c r="D623" t="s">
        <v>51</v>
      </c>
      <c r="E623" t="s">
        <v>52</v>
      </c>
      <c r="F623" t="s">
        <v>18</v>
      </c>
      <c r="G623">
        <v>43608</v>
      </c>
      <c r="H623">
        <v>43865</v>
      </c>
      <c r="I623" t="s">
        <v>2464</v>
      </c>
      <c r="J623" t="s">
        <v>2465</v>
      </c>
      <c r="K623" t="s">
        <v>37</v>
      </c>
      <c r="L623" t="s">
        <v>60</v>
      </c>
      <c r="M623" t="s">
        <v>22</v>
      </c>
    </row>
    <row r="624" spans="1:13" hidden="1" x14ac:dyDescent="0.3">
      <c r="A624" t="s">
        <v>2466</v>
      </c>
      <c r="B624" t="s">
        <v>2467</v>
      </c>
      <c r="C624" t="s">
        <v>15</v>
      </c>
      <c r="D624" t="s">
        <v>67</v>
      </c>
      <c r="E624" t="s">
        <v>26</v>
      </c>
      <c r="F624" t="s">
        <v>18</v>
      </c>
      <c r="G624">
        <v>43616</v>
      </c>
      <c r="H624">
        <v>43898</v>
      </c>
      <c r="J624" t="s">
        <v>2468</v>
      </c>
      <c r="K624" t="s">
        <v>21</v>
      </c>
      <c r="M624" t="s">
        <v>3735</v>
      </c>
    </row>
    <row r="625" spans="1:13" x14ac:dyDescent="0.3">
      <c r="A625" t="s">
        <v>2469</v>
      </c>
      <c r="B625" t="s">
        <v>2470</v>
      </c>
      <c r="C625" t="s">
        <v>87</v>
      </c>
      <c r="D625" t="s">
        <v>51</v>
      </c>
      <c r="E625" t="s">
        <v>52</v>
      </c>
      <c r="F625" t="s">
        <v>18</v>
      </c>
      <c r="G625">
        <v>44932</v>
      </c>
      <c r="H625">
        <v>45023</v>
      </c>
      <c r="I625" t="s">
        <v>2471</v>
      </c>
      <c r="J625" t="s">
        <v>2472</v>
      </c>
      <c r="K625" t="s">
        <v>37</v>
      </c>
      <c r="L625" t="s">
        <v>30</v>
      </c>
      <c r="M625" t="s">
        <v>22</v>
      </c>
    </row>
    <row r="626" spans="1:13" x14ac:dyDescent="0.3">
      <c r="A626" t="s">
        <v>2473</v>
      </c>
      <c r="B626" t="s">
        <v>2474</v>
      </c>
      <c r="C626" t="s">
        <v>46</v>
      </c>
      <c r="D626" t="s">
        <v>25</v>
      </c>
      <c r="E626" t="s">
        <v>26</v>
      </c>
      <c r="F626" t="s">
        <v>18</v>
      </c>
      <c r="G626">
        <v>45174</v>
      </c>
      <c r="H626">
        <v>45416</v>
      </c>
      <c r="I626" t="s">
        <v>2475</v>
      </c>
      <c r="J626" t="s">
        <v>2476</v>
      </c>
      <c r="K626" t="s">
        <v>29</v>
      </c>
      <c r="L626" t="s">
        <v>30</v>
      </c>
      <c r="M626" t="s">
        <v>22</v>
      </c>
    </row>
    <row r="627" spans="1:13" hidden="1" x14ac:dyDescent="0.3">
      <c r="A627" t="s">
        <v>2477</v>
      </c>
      <c r="B627" t="s">
        <v>2478</v>
      </c>
      <c r="C627" t="s">
        <v>181</v>
      </c>
      <c r="D627" t="s">
        <v>77</v>
      </c>
      <c r="E627" t="s">
        <v>52</v>
      </c>
      <c r="F627" t="s">
        <v>18</v>
      </c>
      <c r="G627">
        <v>44302</v>
      </c>
      <c r="H627">
        <v>44568</v>
      </c>
      <c r="I627" t="s">
        <v>2479</v>
      </c>
      <c r="J627" t="s">
        <v>2480</v>
      </c>
      <c r="K627" t="s">
        <v>21</v>
      </c>
      <c r="M627" t="s">
        <v>3735</v>
      </c>
    </row>
    <row r="628" spans="1:13" hidden="1" x14ac:dyDescent="0.3">
      <c r="A628" t="s">
        <v>2481</v>
      </c>
      <c r="B628" t="s">
        <v>3721</v>
      </c>
      <c r="C628" t="s">
        <v>87</v>
      </c>
      <c r="D628" t="s">
        <v>67</v>
      </c>
      <c r="E628" t="s">
        <v>26</v>
      </c>
      <c r="F628" t="s">
        <v>18</v>
      </c>
      <c r="G628">
        <v>43634</v>
      </c>
      <c r="H628">
        <v>43648</v>
      </c>
      <c r="I628" t="s">
        <v>2482</v>
      </c>
      <c r="J628" t="s">
        <v>36</v>
      </c>
      <c r="K628" t="s">
        <v>29</v>
      </c>
      <c r="M628" t="s">
        <v>3735</v>
      </c>
    </row>
    <row r="629" spans="1:13" hidden="1" x14ac:dyDescent="0.3">
      <c r="A629" t="s">
        <v>2483</v>
      </c>
      <c r="B629" t="s">
        <v>2484</v>
      </c>
      <c r="C629" t="s">
        <v>33</v>
      </c>
      <c r="D629" t="s">
        <v>16</v>
      </c>
      <c r="E629" t="s">
        <v>17</v>
      </c>
      <c r="F629" t="s">
        <v>18</v>
      </c>
      <c r="G629">
        <v>44129</v>
      </c>
      <c r="H629">
        <v>44447</v>
      </c>
      <c r="I629" t="s">
        <v>2485</v>
      </c>
      <c r="J629" t="s">
        <v>2486</v>
      </c>
      <c r="K629" t="s">
        <v>90</v>
      </c>
      <c r="M629" t="s">
        <v>3735</v>
      </c>
    </row>
    <row r="630" spans="1:13" x14ac:dyDescent="0.3">
      <c r="A630" t="s">
        <v>2487</v>
      </c>
      <c r="B630" t="s">
        <v>2488</v>
      </c>
      <c r="C630" t="s">
        <v>40</v>
      </c>
      <c r="D630" t="s">
        <v>77</v>
      </c>
      <c r="E630" t="s">
        <v>52</v>
      </c>
      <c r="F630" t="s">
        <v>151</v>
      </c>
      <c r="G630">
        <v>45580</v>
      </c>
      <c r="H630">
        <v>45929</v>
      </c>
      <c r="I630" t="s">
        <v>2489</v>
      </c>
      <c r="J630" t="s">
        <v>2490</v>
      </c>
      <c r="K630" t="s">
        <v>21</v>
      </c>
      <c r="L630" t="s">
        <v>55</v>
      </c>
      <c r="M630" t="s">
        <v>22</v>
      </c>
    </row>
    <row r="631" spans="1:13" x14ac:dyDescent="0.3">
      <c r="A631" t="s">
        <v>2491</v>
      </c>
      <c r="B631" t="s">
        <v>3727</v>
      </c>
      <c r="C631" t="s">
        <v>40</v>
      </c>
      <c r="D631" t="s">
        <v>34</v>
      </c>
      <c r="E631" t="s">
        <v>26</v>
      </c>
      <c r="F631" t="s">
        <v>160</v>
      </c>
      <c r="G631">
        <v>44368</v>
      </c>
      <c r="H631">
        <v>44714</v>
      </c>
      <c r="I631" t="s">
        <v>2493</v>
      </c>
      <c r="J631" t="s">
        <v>2494</v>
      </c>
      <c r="K631" t="s">
        <v>21</v>
      </c>
      <c r="L631" t="s">
        <v>116</v>
      </c>
      <c r="M631" t="s">
        <v>22</v>
      </c>
    </row>
    <row r="632" spans="1:13" x14ac:dyDescent="0.3">
      <c r="A632" t="s">
        <v>2495</v>
      </c>
      <c r="B632" t="s">
        <v>2496</v>
      </c>
      <c r="C632" t="s">
        <v>46</v>
      </c>
      <c r="D632" t="s">
        <v>25</v>
      </c>
      <c r="E632" t="s">
        <v>26</v>
      </c>
      <c r="F632" t="s">
        <v>151</v>
      </c>
      <c r="G632">
        <v>45016</v>
      </c>
      <c r="H632">
        <v>45056</v>
      </c>
      <c r="I632" t="s">
        <v>2497</v>
      </c>
      <c r="J632" t="s">
        <v>2480</v>
      </c>
      <c r="K632" t="s">
        <v>29</v>
      </c>
      <c r="L632" t="s">
        <v>91</v>
      </c>
      <c r="M632" t="s">
        <v>22</v>
      </c>
    </row>
    <row r="633" spans="1:13" x14ac:dyDescent="0.3">
      <c r="A633" t="s">
        <v>2498</v>
      </c>
      <c r="B633" t="s">
        <v>2499</v>
      </c>
      <c r="C633" t="s">
        <v>40</v>
      </c>
      <c r="D633" t="s">
        <v>51</v>
      </c>
      <c r="E633" t="s">
        <v>52</v>
      </c>
      <c r="F633" t="s">
        <v>151</v>
      </c>
      <c r="G633">
        <v>43995</v>
      </c>
      <c r="H633">
        <v>44103</v>
      </c>
      <c r="I633" t="s">
        <v>2500</v>
      </c>
      <c r="J633" t="s">
        <v>2501</v>
      </c>
      <c r="K633" t="s">
        <v>29</v>
      </c>
      <c r="L633" t="s">
        <v>60</v>
      </c>
      <c r="M633" t="s">
        <v>22</v>
      </c>
    </row>
    <row r="634" spans="1:13" x14ac:dyDescent="0.3">
      <c r="A634" t="s">
        <v>2502</v>
      </c>
      <c r="B634" t="s">
        <v>2503</v>
      </c>
      <c r="C634" t="s">
        <v>87</v>
      </c>
      <c r="D634" t="s">
        <v>16</v>
      </c>
      <c r="E634" t="s">
        <v>17</v>
      </c>
      <c r="F634" t="s">
        <v>151</v>
      </c>
      <c r="G634">
        <v>44941</v>
      </c>
      <c r="H634">
        <v>44996</v>
      </c>
      <c r="I634" t="s">
        <v>2504</v>
      </c>
      <c r="J634" t="s">
        <v>2505</v>
      </c>
      <c r="K634" t="s">
        <v>21</v>
      </c>
      <c r="L634" t="s">
        <v>55</v>
      </c>
      <c r="M634" t="s">
        <v>22</v>
      </c>
    </row>
    <row r="635" spans="1:13" x14ac:dyDescent="0.3">
      <c r="A635" t="s">
        <v>2506</v>
      </c>
      <c r="B635" t="s">
        <v>2507</v>
      </c>
      <c r="C635" t="s">
        <v>15</v>
      </c>
      <c r="D635" t="s">
        <v>34</v>
      </c>
      <c r="E635" t="s">
        <v>26</v>
      </c>
      <c r="F635" t="s">
        <v>160</v>
      </c>
      <c r="G635">
        <v>43887</v>
      </c>
      <c r="H635">
        <v>44086</v>
      </c>
      <c r="I635" t="s">
        <v>2508</v>
      </c>
      <c r="J635" t="s">
        <v>2509</v>
      </c>
      <c r="K635" t="s">
        <v>90</v>
      </c>
      <c r="L635" t="s">
        <v>91</v>
      </c>
      <c r="M635" t="s">
        <v>22</v>
      </c>
    </row>
    <row r="636" spans="1:13" x14ac:dyDescent="0.3">
      <c r="A636" t="s">
        <v>2510</v>
      </c>
      <c r="B636" t="s">
        <v>2511</v>
      </c>
      <c r="C636" t="s">
        <v>181</v>
      </c>
      <c r="D636" t="s">
        <v>51</v>
      </c>
      <c r="E636" t="s">
        <v>52</v>
      </c>
      <c r="F636" t="s">
        <v>18</v>
      </c>
      <c r="G636">
        <v>45270</v>
      </c>
      <c r="H636">
        <v>45506</v>
      </c>
      <c r="I636" t="s">
        <v>2512</v>
      </c>
      <c r="J636" t="s">
        <v>2513</v>
      </c>
      <c r="K636" t="s">
        <v>21</v>
      </c>
      <c r="L636" t="s">
        <v>55</v>
      </c>
      <c r="M636" t="s">
        <v>22</v>
      </c>
    </row>
    <row r="637" spans="1:13" x14ac:dyDescent="0.3">
      <c r="A637" t="s">
        <v>2514</v>
      </c>
      <c r="B637" t="s">
        <v>2515</v>
      </c>
      <c r="C637" t="s">
        <v>46</v>
      </c>
      <c r="D637" t="s">
        <v>51</v>
      </c>
      <c r="E637" t="s">
        <v>52</v>
      </c>
      <c r="F637" t="s">
        <v>160</v>
      </c>
      <c r="G637">
        <v>45544</v>
      </c>
      <c r="H637">
        <v>45656</v>
      </c>
      <c r="I637" t="s">
        <v>2516</v>
      </c>
      <c r="J637" t="s">
        <v>2517</v>
      </c>
      <c r="K637" t="s">
        <v>29</v>
      </c>
      <c r="L637" t="s">
        <v>60</v>
      </c>
      <c r="M637" t="s">
        <v>22</v>
      </c>
    </row>
    <row r="638" spans="1:13" x14ac:dyDescent="0.3">
      <c r="A638" t="s">
        <v>2518</v>
      </c>
      <c r="B638" t="s">
        <v>2519</v>
      </c>
      <c r="C638" t="s">
        <v>76</v>
      </c>
      <c r="D638" t="s">
        <v>77</v>
      </c>
      <c r="E638" t="s">
        <v>52</v>
      </c>
      <c r="F638" t="s">
        <v>18</v>
      </c>
      <c r="G638">
        <v>44872</v>
      </c>
      <c r="H638">
        <v>45237</v>
      </c>
      <c r="I638" t="s">
        <v>2520</v>
      </c>
      <c r="J638" t="s">
        <v>2521</v>
      </c>
      <c r="K638" t="s">
        <v>37</v>
      </c>
      <c r="L638" t="s">
        <v>60</v>
      </c>
      <c r="M638" t="s">
        <v>22</v>
      </c>
    </row>
    <row r="639" spans="1:13" x14ac:dyDescent="0.3">
      <c r="A639" t="s">
        <v>2522</v>
      </c>
      <c r="B639" t="s">
        <v>2523</v>
      </c>
      <c r="C639" t="s">
        <v>15</v>
      </c>
      <c r="D639" t="s">
        <v>16</v>
      </c>
      <c r="E639" t="s">
        <v>17</v>
      </c>
      <c r="F639" t="s">
        <v>18</v>
      </c>
      <c r="G639">
        <v>44129</v>
      </c>
      <c r="H639">
        <v>44166</v>
      </c>
      <c r="I639" t="s">
        <v>2524</v>
      </c>
      <c r="J639" t="s">
        <v>2525</v>
      </c>
      <c r="K639" t="s">
        <v>21</v>
      </c>
      <c r="L639" t="s">
        <v>30</v>
      </c>
      <c r="M639" t="s">
        <v>22</v>
      </c>
    </row>
    <row r="640" spans="1:13" x14ac:dyDescent="0.3">
      <c r="A640" t="s">
        <v>2526</v>
      </c>
      <c r="B640" t="s">
        <v>2503</v>
      </c>
      <c r="C640" t="s">
        <v>46</v>
      </c>
      <c r="D640" t="s">
        <v>77</v>
      </c>
      <c r="E640" t="s">
        <v>52</v>
      </c>
      <c r="F640" t="s">
        <v>18</v>
      </c>
      <c r="G640">
        <v>44180</v>
      </c>
      <c r="H640">
        <v>44492</v>
      </c>
      <c r="I640" t="s">
        <v>2504</v>
      </c>
      <c r="J640" t="s">
        <v>2527</v>
      </c>
      <c r="K640" t="s">
        <v>21</v>
      </c>
      <c r="L640" t="s">
        <v>91</v>
      </c>
      <c r="M640" t="s">
        <v>22</v>
      </c>
    </row>
    <row r="641" spans="1:13" x14ac:dyDescent="0.3">
      <c r="A641" t="s">
        <v>2528</v>
      </c>
      <c r="B641" t="s">
        <v>2529</v>
      </c>
      <c r="C641" t="s">
        <v>76</v>
      </c>
      <c r="D641" t="s">
        <v>25</v>
      </c>
      <c r="E641" t="s">
        <v>26</v>
      </c>
      <c r="F641" t="s">
        <v>160</v>
      </c>
      <c r="G641">
        <v>43537</v>
      </c>
      <c r="H641">
        <v>43782</v>
      </c>
      <c r="I641" t="s">
        <v>2530</v>
      </c>
      <c r="J641" t="s">
        <v>2531</v>
      </c>
      <c r="K641" t="s">
        <v>29</v>
      </c>
      <c r="L641" t="s">
        <v>55</v>
      </c>
      <c r="M641" t="s">
        <v>22</v>
      </c>
    </row>
    <row r="642" spans="1:13" x14ac:dyDescent="0.3">
      <c r="A642" t="s">
        <v>2532</v>
      </c>
      <c r="B642" t="s">
        <v>2533</v>
      </c>
      <c r="C642" t="s">
        <v>33</v>
      </c>
      <c r="D642" t="s">
        <v>34</v>
      </c>
      <c r="E642" t="s">
        <v>26</v>
      </c>
      <c r="F642" t="s">
        <v>18</v>
      </c>
      <c r="G642">
        <v>44674</v>
      </c>
      <c r="H642">
        <v>44841</v>
      </c>
      <c r="I642" t="s">
        <v>2534</v>
      </c>
      <c r="J642" t="s">
        <v>2535</v>
      </c>
      <c r="K642" t="s">
        <v>37</v>
      </c>
      <c r="L642" t="s">
        <v>55</v>
      </c>
      <c r="M642" t="s">
        <v>22</v>
      </c>
    </row>
    <row r="643" spans="1:13" hidden="1" x14ac:dyDescent="0.3">
      <c r="A643" t="s">
        <v>2536</v>
      </c>
      <c r="B643" t="s">
        <v>2537</v>
      </c>
      <c r="C643" t="s">
        <v>181</v>
      </c>
      <c r="D643" t="s">
        <v>25</v>
      </c>
      <c r="E643" t="s">
        <v>26</v>
      </c>
      <c r="F643" t="s">
        <v>18</v>
      </c>
      <c r="G643">
        <v>45372</v>
      </c>
      <c r="H643">
        <v>45529</v>
      </c>
      <c r="I643" t="s">
        <v>2538</v>
      </c>
      <c r="J643" t="s">
        <v>2416</v>
      </c>
      <c r="K643" t="s">
        <v>29</v>
      </c>
      <c r="M643" t="s">
        <v>3735</v>
      </c>
    </row>
    <row r="644" spans="1:13" x14ac:dyDescent="0.3">
      <c r="A644" t="s">
        <v>2539</v>
      </c>
      <c r="B644" t="s">
        <v>134</v>
      </c>
      <c r="C644" t="s">
        <v>33</v>
      </c>
      <c r="D644" t="s">
        <v>67</v>
      </c>
      <c r="E644" t="s">
        <v>26</v>
      </c>
      <c r="F644" t="s">
        <v>160</v>
      </c>
      <c r="G644">
        <v>44858</v>
      </c>
      <c r="H644">
        <v>44899</v>
      </c>
      <c r="I644" t="s">
        <v>135</v>
      </c>
      <c r="J644" t="s">
        <v>2540</v>
      </c>
      <c r="K644" t="s">
        <v>37</v>
      </c>
      <c r="L644" t="s">
        <v>55</v>
      </c>
      <c r="M644" t="s">
        <v>22</v>
      </c>
    </row>
    <row r="645" spans="1:13" x14ac:dyDescent="0.3">
      <c r="A645" t="s">
        <v>2541</v>
      </c>
      <c r="B645" t="s">
        <v>2542</v>
      </c>
      <c r="C645" t="s">
        <v>33</v>
      </c>
      <c r="D645" t="s">
        <v>25</v>
      </c>
      <c r="E645" t="s">
        <v>26</v>
      </c>
      <c r="F645" t="s">
        <v>18</v>
      </c>
      <c r="G645">
        <v>43695</v>
      </c>
      <c r="H645">
        <v>43845</v>
      </c>
      <c r="I645" t="s">
        <v>2543</v>
      </c>
      <c r="J645" t="s">
        <v>2544</v>
      </c>
      <c r="K645" t="s">
        <v>21</v>
      </c>
      <c r="L645" t="s">
        <v>55</v>
      </c>
      <c r="M645" t="s">
        <v>22</v>
      </c>
    </row>
    <row r="646" spans="1:13" hidden="1" x14ac:dyDescent="0.3">
      <c r="A646" t="s">
        <v>2545</v>
      </c>
      <c r="B646" t="s">
        <v>2546</v>
      </c>
      <c r="C646" t="s">
        <v>40</v>
      </c>
      <c r="D646" t="s">
        <v>77</v>
      </c>
      <c r="E646" t="s">
        <v>52</v>
      </c>
      <c r="F646" t="s">
        <v>18</v>
      </c>
      <c r="G646">
        <v>44537</v>
      </c>
      <c r="H646">
        <v>44872</v>
      </c>
      <c r="I646" t="s">
        <v>2547</v>
      </c>
      <c r="J646" t="s">
        <v>2548</v>
      </c>
      <c r="K646" t="s">
        <v>37</v>
      </c>
      <c r="M646" t="s">
        <v>3735</v>
      </c>
    </row>
    <row r="647" spans="1:13" x14ac:dyDescent="0.3">
      <c r="A647" t="s">
        <v>2549</v>
      </c>
      <c r="B647" t="s">
        <v>2154</v>
      </c>
      <c r="C647" t="s">
        <v>181</v>
      </c>
      <c r="D647" t="s">
        <v>25</v>
      </c>
      <c r="E647" t="s">
        <v>26</v>
      </c>
      <c r="F647" t="s">
        <v>18</v>
      </c>
      <c r="G647">
        <v>43706</v>
      </c>
      <c r="H647">
        <v>43787</v>
      </c>
      <c r="I647" t="s">
        <v>2550</v>
      </c>
      <c r="J647" t="s">
        <v>2551</v>
      </c>
      <c r="K647" t="s">
        <v>21</v>
      </c>
      <c r="L647" t="s">
        <v>91</v>
      </c>
      <c r="M647" t="s">
        <v>22</v>
      </c>
    </row>
    <row r="648" spans="1:13" x14ac:dyDescent="0.3">
      <c r="A648" t="s">
        <v>2552</v>
      </c>
      <c r="B648" t="s">
        <v>2553</v>
      </c>
      <c r="C648" t="s">
        <v>181</v>
      </c>
      <c r="D648" t="s">
        <v>51</v>
      </c>
      <c r="E648" t="s">
        <v>52</v>
      </c>
      <c r="F648" t="s">
        <v>18</v>
      </c>
      <c r="G648">
        <v>44020</v>
      </c>
      <c r="H648">
        <v>44202</v>
      </c>
      <c r="I648" t="s">
        <v>2554</v>
      </c>
      <c r="J648" t="s">
        <v>2555</v>
      </c>
      <c r="K648" t="s">
        <v>29</v>
      </c>
      <c r="L648" t="s">
        <v>116</v>
      </c>
      <c r="M648" t="s">
        <v>22</v>
      </c>
    </row>
    <row r="649" spans="1:13" x14ac:dyDescent="0.3">
      <c r="A649" t="s">
        <v>2556</v>
      </c>
      <c r="B649" t="s">
        <v>2557</v>
      </c>
      <c r="C649" t="s">
        <v>87</v>
      </c>
      <c r="D649" t="s">
        <v>67</v>
      </c>
      <c r="E649" t="s">
        <v>26</v>
      </c>
      <c r="F649" t="s">
        <v>151</v>
      </c>
      <c r="G649">
        <v>45227</v>
      </c>
      <c r="H649">
        <v>45301</v>
      </c>
      <c r="I649" t="s">
        <v>2558</v>
      </c>
      <c r="J649" t="s">
        <v>1074</v>
      </c>
      <c r="K649" t="s">
        <v>29</v>
      </c>
      <c r="L649" t="s">
        <v>60</v>
      </c>
      <c r="M649" t="s">
        <v>22</v>
      </c>
    </row>
    <row r="650" spans="1:13" hidden="1" x14ac:dyDescent="0.3">
      <c r="A650" t="s">
        <v>2559</v>
      </c>
      <c r="B650" t="s">
        <v>2560</v>
      </c>
      <c r="C650" t="s">
        <v>33</v>
      </c>
      <c r="D650" t="s">
        <v>51</v>
      </c>
      <c r="E650" t="s">
        <v>52</v>
      </c>
      <c r="F650" t="s">
        <v>18</v>
      </c>
      <c r="G650">
        <v>43697</v>
      </c>
      <c r="H650">
        <v>44035</v>
      </c>
      <c r="I650" t="s">
        <v>2561</v>
      </c>
      <c r="J650" t="s">
        <v>2562</v>
      </c>
      <c r="K650" t="s">
        <v>37</v>
      </c>
      <c r="M650" t="s">
        <v>3735</v>
      </c>
    </row>
    <row r="651" spans="1:13" x14ac:dyDescent="0.3">
      <c r="A651" t="s">
        <v>2563</v>
      </c>
      <c r="B651" t="s">
        <v>2564</v>
      </c>
      <c r="C651" t="s">
        <v>46</v>
      </c>
      <c r="D651" t="s">
        <v>34</v>
      </c>
      <c r="E651" t="s">
        <v>26</v>
      </c>
      <c r="F651" t="s">
        <v>18</v>
      </c>
      <c r="G651">
        <v>45096</v>
      </c>
      <c r="H651">
        <v>45237</v>
      </c>
      <c r="I651" t="s">
        <v>2565</v>
      </c>
      <c r="J651" t="s">
        <v>2566</v>
      </c>
      <c r="K651" t="s">
        <v>21</v>
      </c>
      <c r="L651" t="s">
        <v>60</v>
      </c>
      <c r="M651" t="s">
        <v>22</v>
      </c>
    </row>
    <row r="652" spans="1:13" x14ac:dyDescent="0.3">
      <c r="A652" t="s">
        <v>2567</v>
      </c>
      <c r="B652" t="s">
        <v>2568</v>
      </c>
      <c r="C652" t="s">
        <v>33</v>
      </c>
      <c r="D652" t="s">
        <v>16</v>
      </c>
      <c r="E652" t="s">
        <v>17</v>
      </c>
      <c r="F652" t="s">
        <v>160</v>
      </c>
      <c r="G652">
        <v>45450</v>
      </c>
      <c r="H652">
        <v>45770</v>
      </c>
      <c r="I652" t="s">
        <v>2569</v>
      </c>
      <c r="J652" t="s">
        <v>2570</v>
      </c>
      <c r="K652" t="s">
        <v>21</v>
      </c>
      <c r="L652" t="s">
        <v>60</v>
      </c>
      <c r="M652" t="s">
        <v>22</v>
      </c>
    </row>
    <row r="653" spans="1:13" x14ac:dyDescent="0.3">
      <c r="A653" t="s">
        <v>2571</v>
      </c>
      <c r="B653" t="s">
        <v>2572</v>
      </c>
      <c r="C653" t="s">
        <v>15</v>
      </c>
      <c r="D653" t="s">
        <v>34</v>
      </c>
      <c r="E653" t="s">
        <v>26</v>
      </c>
      <c r="F653" t="s">
        <v>160</v>
      </c>
      <c r="G653">
        <v>45308</v>
      </c>
      <c r="H653">
        <v>45600</v>
      </c>
      <c r="I653" t="s">
        <v>2573</v>
      </c>
      <c r="J653" t="s">
        <v>2574</v>
      </c>
      <c r="K653" t="s">
        <v>21</v>
      </c>
      <c r="L653" t="s">
        <v>91</v>
      </c>
      <c r="M653" t="s">
        <v>22</v>
      </c>
    </row>
    <row r="654" spans="1:13" hidden="1" x14ac:dyDescent="0.3">
      <c r="A654" t="s">
        <v>2575</v>
      </c>
      <c r="B654" t="s">
        <v>1836</v>
      </c>
      <c r="C654" t="s">
        <v>87</v>
      </c>
      <c r="D654" t="s">
        <v>77</v>
      </c>
      <c r="E654" t="s">
        <v>52</v>
      </c>
      <c r="F654" t="s">
        <v>18</v>
      </c>
      <c r="G654">
        <v>45421</v>
      </c>
      <c r="H654">
        <v>45617</v>
      </c>
      <c r="I654" t="s">
        <v>2576</v>
      </c>
      <c r="J654" t="s">
        <v>2577</v>
      </c>
      <c r="K654" t="s">
        <v>37</v>
      </c>
      <c r="M654" t="s">
        <v>3735</v>
      </c>
    </row>
    <row r="655" spans="1:13" x14ac:dyDescent="0.3">
      <c r="A655" t="s">
        <v>2578</v>
      </c>
      <c r="B655" t="s">
        <v>2579</v>
      </c>
      <c r="C655" t="s">
        <v>33</v>
      </c>
      <c r="D655" t="s">
        <v>34</v>
      </c>
      <c r="E655" t="s">
        <v>26</v>
      </c>
      <c r="F655" t="s">
        <v>160</v>
      </c>
      <c r="G655">
        <v>44590</v>
      </c>
      <c r="H655">
        <v>44687</v>
      </c>
      <c r="I655" t="s">
        <v>2580</v>
      </c>
      <c r="J655" t="s">
        <v>2581</v>
      </c>
      <c r="K655" t="s">
        <v>29</v>
      </c>
      <c r="L655" t="s">
        <v>60</v>
      </c>
      <c r="M655" t="s">
        <v>22</v>
      </c>
    </row>
    <row r="656" spans="1:13" hidden="1" x14ac:dyDescent="0.3">
      <c r="A656" t="s">
        <v>2582</v>
      </c>
      <c r="B656" t="s">
        <v>2583</v>
      </c>
      <c r="C656" t="s">
        <v>40</v>
      </c>
      <c r="D656" t="s">
        <v>16</v>
      </c>
      <c r="E656" t="s">
        <v>17</v>
      </c>
      <c r="F656" t="s">
        <v>18</v>
      </c>
      <c r="G656">
        <v>44822</v>
      </c>
      <c r="H656">
        <v>45166</v>
      </c>
      <c r="I656" t="s">
        <v>2584</v>
      </c>
      <c r="J656" t="s">
        <v>2585</v>
      </c>
      <c r="K656" t="s">
        <v>29</v>
      </c>
      <c r="M656" t="s">
        <v>3735</v>
      </c>
    </row>
    <row r="657" spans="1:13" hidden="1" x14ac:dyDescent="0.3">
      <c r="A657" t="s">
        <v>2586</v>
      </c>
      <c r="B657" t="s">
        <v>2587</v>
      </c>
      <c r="C657" t="s">
        <v>181</v>
      </c>
      <c r="D657" t="s">
        <v>34</v>
      </c>
      <c r="E657" t="s">
        <v>26</v>
      </c>
      <c r="F657" t="s">
        <v>18</v>
      </c>
      <c r="G657">
        <v>44151</v>
      </c>
      <c r="H657">
        <v>44258</v>
      </c>
      <c r="I657" t="s">
        <v>2588</v>
      </c>
      <c r="J657" t="s">
        <v>2589</v>
      </c>
      <c r="K657" t="s">
        <v>90</v>
      </c>
      <c r="M657" t="s">
        <v>3735</v>
      </c>
    </row>
    <row r="658" spans="1:13" x14ac:dyDescent="0.3">
      <c r="A658" t="s">
        <v>2590</v>
      </c>
      <c r="B658" t="s">
        <v>2591</v>
      </c>
      <c r="C658" t="s">
        <v>46</v>
      </c>
      <c r="D658" t="s">
        <v>51</v>
      </c>
      <c r="E658" t="s">
        <v>52</v>
      </c>
      <c r="F658" t="s">
        <v>18</v>
      </c>
      <c r="G658">
        <v>45083</v>
      </c>
      <c r="H658">
        <v>45237</v>
      </c>
      <c r="I658" t="s">
        <v>2592</v>
      </c>
      <c r="J658" t="s">
        <v>2593</v>
      </c>
      <c r="K658" t="s">
        <v>37</v>
      </c>
      <c r="L658" t="s">
        <v>60</v>
      </c>
      <c r="M658" t="s">
        <v>22</v>
      </c>
    </row>
    <row r="659" spans="1:13" hidden="1" x14ac:dyDescent="0.3">
      <c r="A659" t="s">
        <v>2594</v>
      </c>
      <c r="B659" t="s">
        <v>2595</v>
      </c>
      <c r="C659" t="s">
        <v>33</v>
      </c>
      <c r="D659" t="s">
        <v>25</v>
      </c>
      <c r="E659" t="s">
        <v>26</v>
      </c>
      <c r="F659" t="s">
        <v>18</v>
      </c>
      <c r="G659">
        <v>43765</v>
      </c>
      <c r="H659">
        <v>44092</v>
      </c>
      <c r="I659" t="s">
        <v>2596</v>
      </c>
      <c r="J659" t="s">
        <v>2597</v>
      </c>
      <c r="K659" t="s">
        <v>29</v>
      </c>
      <c r="M659" t="s">
        <v>3735</v>
      </c>
    </row>
    <row r="660" spans="1:13" x14ac:dyDescent="0.3">
      <c r="A660" t="s">
        <v>2598</v>
      </c>
      <c r="B660" t="s">
        <v>2599</v>
      </c>
      <c r="C660" t="s">
        <v>40</v>
      </c>
      <c r="D660" t="s">
        <v>51</v>
      </c>
      <c r="E660" t="s">
        <v>52</v>
      </c>
      <c r="F660" t="s">
        <v>18</v>
      </c>
      <c r="G660">
        <v>44754</v>
      </c>
      <c r="H660">
        <v>44862</v>
      </c>
      <c r="I660" t="s">
        <v>2600</v>
      </c>
      <c r="J660" t="s">
        <v>2601</v>
      </c>
      <c r="K660" t="s">
        <v>21</v>
      </c>
      <c r="L660" t="s">
        <v>55</v>
      </c>
      <c r="M660" t="s">
        <v>22</v>
      </c>
    </row>
    <row r="661" spans="1:13" hidden="1" x14ac:dyDescent="0.3">
      <c r="A661" t="s">
        <v>2602</v>
      </c>
      <c r="B661" t="s">
        <v>782</v>
      </c>
      <c r="C661" t="s">
        <v>87</v>
      </c>
      <c r="D661" t="s">
        <v>16</v>
      </c>
      <c r="E661" t="s">
        <v>17</v>
      </c>
      <c r="F661" t="s">
        <v>18</v>
      </c>
      <c r="G661">
        <v>44804</v>
      </c>
      <c r="H661">
        <v>45036</v>
      </c>
      <c r="I661" t="s">
        <v>2603</v>
      </c>
      <c r="J661" t="s">
        <v>2604</v>
      </c>
      <c r="K661" t="s">
        <v>37</v>
      </c>
      <c r="M661" t="s">
        <v>3735</v>
      </c>
    </row>
    <row r="662" spans="1:13" x14ac:dyDescent="0.3">
      <c r="A662" t="s">
        <v>2605</v>
      </c>
      <c r="B662" t="s">
        <v>2606</v>
      </c>
      <c r="C662" t="s">
        <v>33</v>
      </c>
      <c r="D662" t="s">
        <v>16</v>
      </c>
      <c r="E662" t="s">
        <v>17</v>
      </c>
      <c r="F662" t="s">
        <v>151</v>
      </c>
      <c r="G662">
        <v>43629</v>
      </c>
      <c r="H662">
        <v>43812</v>
      </c>
      <c r="I662" t="s">
        <v>2607</v>
      </c>
      <c r="J662" t="s">
        <v>2608</v>
      </c>
      <c r="K662" t="s">
        <v>90</v>
      </c>
      <c r="L662" t="s">
        <v>116</v>
      </c>
      <c r="M662" t="s">
        <v>22</v>
      </c>
    </row>
    <row r="663" spans="1:13" hidden="1" x14ac:dyDescent="0.3">
      <c r="A663" t="s">
        <v>2609</v>
      </c>
      <c r="B663" t="s">
        <v>2610</v>
      </c>
      <c r="C663" t="s">
        <v>87</v>
      </c>
      <c r="D663" t="s">
        <v>41</v>
      </c>
      <c r="E663" t="s">
        <v>17</v>
      </c>
      <c r="F663" t="s">
        <v>18</v>
      </c>
      <c r="G663">
        <v>43803</v>
      </c>
      <c r="H663">
        <v>43852</v>
      </c>
      <c r="I663" t="s">
        <v>2611</v>
      </c>
      <c r="J663" t="s">
        <v>2612</v>
      </c>
      <c r="K663" t="s">
        <v>90</v>
      </c>
      <c r="M663" t="s">
        <v>3735</v>
      </c>
    </row>
    <row r="664" spans="1:13" x14ac:dyDescent="0.3">
      <c r="A664" t="s">
        <v>2613</v>
      </c>
      <c r="B664" t="s">
        <v>2614</v>
      </c>
      <c r="C664" t="s">
        <v>76</v>
      </c>
      <c r="D664" t="s">
        <v>41</v>
      </c>
      <c r="E664" t="s">
        <v>17</v>
      </c>
      <c r="F664" t="s">
        <v>18</v>
      </c>
      <c r="G664">
        <v>43785</v>
      </c>
      <c r="H664">
        <v>44135</v>
      </c>
      <c r="I664" t="s">
        <v>2615</v>
      </c>
      <c r="J664" t="s">
        <v>1439</v>
      </c>
      <c r="K664" t="s">
        <v>90</v>
      </c>
      <c r="L664" t="s">
        <v>116</v>
      </c>
      <c r="M664" t="s">
        <v>22</v>
      </c>
    </row>
    <row r="665" spans="1:13" x14ac:dyDescent="0.3">
      <c r="A665" t="s">
        <v>2616</v>
      </c>
      <c r="B665" t="s">
        <v>2617</v>
      </c>
      <c r="C665" t="s">
        <v>46</v>
      </c>
      <c r="D665" t="s">
        <v>34</v>
      </c>
      <c r="E665" t="s">
        <v>26</v>
      </c>
      <c r="F665" t="s">
        <v>151</v>
      </c>
      <c r="G665">
        <v>45612</v>
      </c>
      <c r="H665">
        <v>45629</v>
      </c>
      <c r="I665" t="s">
        <v>2618</v>
      </c>
      <c r="J665" t="s">
        <v>2619</v>
      </c>
      <c r="K665" t="s">
        <v>90</v>
      </c>
      <c r="L665" t="s">
        <v>30</v>
      </c>
      <c r="M665" t="s">
        <v>22</v>
      </c>
    </row>
    <row r="666" spans="1:13" x14ac:dyDescent="0.3">
      <c r="A666" t="s">
        <v>2620</v>
      </c>
      <c r="B666" t="s">
        <v>2621</v>
      </c>
      <c r="C666" t="s">
        <v>181</v>
      </c>
      <c r="D666" t="s">
        <v>67</v>
      </c>
      <c r="E666" t="s">
        <v>26</v>
      </c>
      <c r="F666" t="s">
        <v>18</v>
      </c>
      <c r="G666">
        <v>45162</v>
      </c>
      <c r="H666">
        <v>45354</v>
      </c>
      <c r="I666" t="s">
        <v>2622</v>
      </c>
      <c r="J666" t="s">
        <v>2623</v>
      </c>
      <c r="K666" t="s">
        <v>90</v>
      </c>
      <c r="L666" t="s">
        <v>30</v>
      </c>
      <c r="M666" t="s">
        <v>22</v>
      </c>
    </row>
    <row r="667" spans="1:13" x14ac:dyDescent="0.3">
      <c r="A667" t="s">
        <v>2624</v>
      </c>
      <c r="B667" t="s">
        <v>2625</v>
      </c>
      <c r="C667" t="s">
        <v>33</v>
      </c>
      <c r="D667" t="s">
        <v>67</v>
      </c>
      <c r="E667" t="s">
        <v>26</v>
      </c>
      <c r="F667" t="s">
        <v>18</v>
      </c>
      <c r="G667">
        <v>44702</v>
      </c>
      <c r="H667">
        <v>45001</v>
      </c>
      <c r="I667" t="s">
        <v>2626</v>
      </c>
      <c r="J667" t="s">
        <v>2627</v>
      </c>
      <c r="K667" t="s">
        <v>21</v>
      </c>
      <c r="L667" t="s">
        <v>55</v>
      </c>
      <c r="M667" t="s">
        <v>22</v>
      </c>
    </row>
    <row r="668" spans="1:13" x14ac:dyDescent="0.3">
      <c r="A668" t="s">
        <v>2628</v>
      </c>
      <c r="B668" t="s">
        <v>2629</v>
      </c>
      <c r="C668" t="s">
        <v>181</v>
      </c>
      <c r="D668" t="s">
        <v>67</v>
      </c>
      <c r="E668" t="s">
        <v>26</v>
      </c>
      <c r="F668" t="s">
        <v>18</v>
      </c>
      <c r="G668">
        <v>45613</v>
      </c>
      <c r="H668">
        <v>45739</v>
      </c>
      <c r="I668" t="s">
        <v>2630</v>
      </c>
      <c r="J668" t="s">
        <v>2631</v>
      </c>
      <c r="K668" t="s">
        <v>29</v>
      </c>
      <c r="L668" t="s">
        <v>30</v>
      </c>
      <c r="M668" t="s">
        <v>22</v>
      </c>
    </row>
    <row r="669" spans="1:13" x14ac:dyDescent="0.3">
      <c r="A669" t="s">
        <v>2632</v>
      </c>
      <c r="B669" t="s">
        <v>2633</v>
      </c>
      <c r="C669" t="s">
        <v>181</v>
      </c>
      <c r="D669" t="s">
        <v>34</v>
      </c>
      <c r="E669" t="s">
        <v>26</v>
      </c>
      <c r="F669" t="s">
        <v>18</v>
      </c>
      <c r="G669">
        <v>45053</v>
      </c>
      <c r="H669">
        <v>45418</v>
      </c>
      <c r="I669" t="s">
        <v>2634</v>
      </c>
      <c r="J669" t="s">
        <v>2635</v>
      </c>
      <c r="K669" t="s">
        <v>90</v>
      </c>
      <c r="L669" t="s">
        <v>116</v>
      </c>
      <c r="M669" t="s">
        <v>22</v>
      </c>
    </row>
    <row r="670" spans="1:13" x14ac:dyDescent="0.3">
      <c r="A670" t="s">
        <v>2636</v>
      </c>
      <c r="B670" t="s">
        <v>2637</v>
      </c>
      <c r="C670" t="s">
        <v>33</v>
      </c>
      <c r="D670" t="s">
        <v>34</v>
      </c>
      <c r="E670" t="s">
        <v>26</v>
      </c>
      <c r="F670" t="s">
        <v>151</v>
      </c>
      <c r="G670">
        <v>45574</v>
      </c>
      <c r="H670">
        <v>45919</v>
      </c>
      <c r="I670" t="s">
        <v>2638</v>
      </c>
      <c r="J670" t="s">
        <v>2639</v>
      </c>
      <c r="K670" t="s">
        <v>90</v>
      </c>
      <c r="L670" t="s">
        <v>30</v>
      </c>
      <c r="M670" t="s">
        <v>22</v>
      </c>
    </row>
    <row r="671" spans="1:13" x14ac:dyDescent="0.3">
      <c r="A671" t="s">
        <v>2640</v>
      </c>
      <c r="B671" t="s">
        <v>2641</v>
      </c>
      <c r="C671" t="s">
        <v>76</v>
      </c>
      <c r="D671" t="s">
        <v>41</v>
      </c>
      <c r="E671" t="s">
        <v>17</v>
      </c>
      <c r="F671" t="s">
        <v>151</v>
      </c>
      <c r="G671">
        <v>44754</v>
      </c>
      <c r="H671">
        <v>44762</v>
      </c>
      <c r="I671" t="s">
        <v>2642</v>
      </c>
      <c r="J671" t="s">
        <v>2643</v>
      </c>
      <c r="K671" t="s">
        <v>21</v>
      </c>
      <c r="L671" t="s">
        <v>60</v>
      </c>
      <c r="M671" t="s">
        <v>22</v>
      </c>
    </row>
    <row r="672" spans="1:13" x14ac:dyDescent="0.3">
      <c r="A672" t="s">
        <v>2644</v>
      </c>
      <c r="B672" t="s">
        <v>2645</v>
      </c>
      <c r="C672" t="s">
        <v>33</v>
      </c>
      <c r="D672" t="s">
        <v>67</v>
      </c>
      <c r="E672" t="s">
        <v>26</v>
      </c>
      <c r="F672" t="s">
        <v>18</v>
      </c>
      <c r="G672">
        <v>44915</v>
      </c>
      <c r="H672">
        <v>44981</v>
      </c>
      <c r="I672" t="s">
        <v>2646</v>
      </c>
      <c r="J672" t="s">
        <v>2647</v>
      </c>
      <c r="K672" t="s">
        <v>21</v>
      </c>
      <c r="L672" t="s">
        <v>30</v>
      </c>
      <c r="M672" t="s">
        <v>22</v>
      </c>
    </row>
    <row r="673" spans="1:13" x14ac:dyDescent="0.3">
      <c r="A673" t="s">
        <v>2648</v>
      </c>
      <c r="B673" t="s">
        <v>2649</v>
      </c>
      <c r="C673" t="s">
        <v>15</v>
      </c>
      <c r="D673" t="s">
        <v>51</v>
      </c>
      <c r="E673" t="s">
        <v>52</v>
      </c>
      <c r="F673" t="s">
        <v>18</v>
      </c>
      <c r="G673">
        <v>43636</v>
      </c>
      <c r="H673">
        <v>43861</v>
      </c>
      <c r="I673" t="s">
        <v>2650</v>
      </c>
      <c r="J673" t="s">
        <v>2651</v>
      </c>
      <c r="K673" t="s">
        <v>21</v>
      </c>
      <c r="L673" t="s">
        <v>60</v>
      </c>
      <c r="M673" t="s">
        <v>22</v>
      </c>
    </row>
    <row r="674" spans="1:13" hidden="1" x14ac:dyDescent="0.3">
      <c r="A674" t="s">
        <v>2652</v>
      </c>
      <c r="B674" t="s">
        <v>3728</v>
      </c>
      <c r="C674" t="s">
        <v>76</v>
      </c>
      <c r="D674" t="s">
        <v>25</v>
      </c>
      <c r="E674" t="s">
        <v>26</v>
      </c>
      <c r="F674" t="s">
        <v>160</v>
      </c>
      <c r="G674">
        <v>45489</v>
      </c>
      <c r="H674">
        <v>45565</v>
      </c>
      <c r="I674" t="s">
        <v>2654</v>
      </c>
      <c r="J674" t="s">
        <v>2655</v>
      </c>
      <c r="K674" t="s">
        <v>90</v>
      </c>
      <c r="M674" t="s">
        <v>3735</v>
      </c>
    </row>
    <row r="675" spans="1:13" x14ac:dyDescent="0.3">
      <c r="A675" t="s">
        <v>2656</v>
      </c>
      <c r="B675" t="s">
        <v>2657</v>
      </c>
      <c r="C675" t="s">
        <v>76</v>
      </c>
      <c r="D675" t="s">
        <v>51</v>
      </c>
      <c r="E675" t="s">
        <v>52</v>
      </c>
      <c r="F675" t="s">
        <v>160</v>
      </c>
      <c r="G675">
        <v>43780</v>
      </c>
      <c r="H675">
        <v>44110</v>
      </c>
      <c r="I675" t="s">
        <v>2658</v>
      </c>
      <c r="J675" t="s">
        <v>2659</v>
      </c>
      <c r="K675" t="s">
        <v>21</v>
      </c>
      <c r="L675" t="s">
        <v>30</v>
      </c>
      <c r="M675" t="s">
        <v>22</v>
      </c>
    </row>
    <row r="676" spans="1:13" x14ac:dyDescent="0.3">
      <c r="A676" t="s">
        <v>2660</v>
      </c>
      <c r="B676" t="s">
        <v>2661</v>
      </c>
      <c r="C676" t="s">
        <v>33</v>
      </c>
      <c r="D676" t="s">
        <v>41</v>
      </c>
      <c r="E676" t="s">
        <v>17</v>
      </c>
      <c r="F676" t="s">
        <v>18</v>
      </c>
      <c r="G676">
        <v>44495</v>
      </c>
      <c r="H676">
        <v>44814</v>
      </c>
      <c r="I676" t="s">
        <v>2662</v>
      </c>
      <c r="J676" t="s">
        <v>2663</v>
      </c>
      <c r="K676" t="s">
        <v>37</v>
      </c>
      <c r="L676" t="s">
        <v>60</v>
      </c>
      <c r="M676" t="s">
        <v>22</v>
      </c>
    </row>
    <row r="677" spans="1:13" x14ac:dyDescent="0.3">
      <c r="A677" t="s">
        <v>2664</v>
      </c>
      <c r="B677" t="s">
        <v>2665</v>
      </c>
      <c r="C677" t="s">
        <v>46</v>
      </c>
      <c r="D677" t="s">
        <v>16</v>
      </c>
      <c r="E677" t="s">
        <v>17</v>
      </c>
      <c r="F677" t="s">
        <v>18</v>
      </c>
      <c r="G677">
        <v>43466</v>
      </c>
      <c r="H677">
        <v>43541</v>
      </c>
      <c r="I677" t="s">
        <v>2666</v>
      </c>
      <c r="J677" t="s">
        <v>2667</v>
      </c>
      <c r="K677" t="s">
        <v>29</v>
      </c>
      <c r="L677" t="s">
        <v>30</v>
      </c>
      <c r="M677" t="s">
        <v>22</v>
      </c>
    </row>
    <row r="678" spans="1:13" x14ac:dyDescent="0.3">
      <c r="A678" t="s">
        <v>2668</v>
      </c>
      <c r="B678" t="s">
        <v>2669</v>
      </c>
      <c r="C678" t="s">
        <v>76</v>
      </c>
      <c r="D678" t="s">
        <v>25</v>
      </c>
      <c r="E678" t="s">
        <v>26</v>
      </c>
      <c r="F678" t="s">
        <v>151</v>
      </c>
      <c r="G678">
        <v>45603</v>
      </c>
      <c r="H678">
        <v>45699</v>
      </c>
      <c r="I678" t="s">
        <v>2670</v>
      </c>
      <c r="J678" t="s">
        <v>2671</v>
      </c>
      <c r="K678" t="s">
        <v>90</v>
      </c>
      <c r="L678" t="s">
        <v>60</v>
      </c>
      <c r="M678" t="s">
        <v>22</v>
      </c>
    </row>
    <row r="679" spans="1:13" x14ac:dyDescent="0.3">
      <c r="A679" t="s">
        <v>2672</v>
      </c>
      <c r="B679" t="s">
        <v>2673</v>
      </c>
      <c r="C679" t="s">
        <v>87</v>
      </c>
      <c r="D679" t="s">
        <v>25</v>
      </c>
      <c r="E679" t="s">
        <v>26</v>
      </c>
      <c r="F679" t="s">
        <v>18</v>
      </c>
      <c r="G679">
        <v>45053</v>
      </c>
      <c r="H679">
        <v>45150</v>
      </c>
      <c r="I679" t="s">
        <v>2674</v>
      </c>
      <c r="J679" t="s">
        <v>2675</v>
      </c>
      <c r="K679" t="s">
        <v>37</v>
      </c>
      <c r="L679" t="s">
        <v>91</v>
      </c>
      <c r="M679" t="s">
        <v>22</v>
      </c>
    </row>
    <row r="680" spans="1:13" x14ac:dyDescent="0.3">
      <c r="A680" t="s">
        <v>2676</v>
      </c>
      <c r="B680" t="s">
        <v>2677</v>
      </c>
      <c r="C680" t="s">
        <v>76</v>
      </c>
      <c r="D680" t="s">
        <v>16</v>
      </c>
      <c r="E680" t="s">
        <v>17</v>
      </c>
      <c r="F680" t="s">
        <v>18</v>
      </c>
      <c r="G680">
        <v>45018</v>
      </c>
      <c r="H680">
        <v>45353</v>
      </c>
      <c r="I680" t="s">
        <v>2678</v>
      </c>
      <c r="J680" t="s">
        <v>2679</v>
      </c>
      <c r="K680" t="s">
        <v>37</v>
      </c>
      <c r="L680" t="s">
        <v>116</v>
      </c>
      <c r="M680" t="s">
        <v>22</v>
      </c>
    </row>
    <row r="681" spans="1:13" x14ac:dyDescent="0.3">
      <c r="A681" t="s">
        <v>2680</v>
      </c>
      <c r="B681" t="s">
        <v>2681</v>
      </c>
      <c r="C681" t="s">
        <v>76</v>
      </c>
      <c r="D681" t="s">
        <v>51</v>
      </c>
      <c r="E681" t="s">
        <v>52</v>
      </c>
      <c r="F681" t="s">
        <v>18</v>
      </c>
      <c r="G681">
        <v>45139</v>
      </c>
      <c r="H681">
        <v>45270</v>
      </c>
      <c r="I681" t="s">
        <v>2682</v>
      </c>
      <c r="J681" t="s">
        <v>2683</v>
      </c>
      <c r="K681" t="s">
        <v>90</v>
      </c>
      <c r="L681" t="s">
        <v>91</v>
      </c>
      <c r="M681" t="s">
        <v>22</v>
      </c>
    </row>
    <row r="682" spans="1:13" hidden="1" x14ac:dyDescent="0.3">
      <c r="A682" t="s">
        <v>2684</v>
      </c>
      <c r="B682" t="s">
        <v>2685</v>
      </c>
      <c r="C682" t="s">
        <v>15</v>
      </c>
      <c r="D682" t="s">
        <v>16</v>
      </c>
      <c r="E682" t="s">
        <v>17</v>
      </c>
      <c r="F682" t="s">
        <v>18</v>
      </c>
      <c r="G682">
        <v>44191</v>
      </c>
      <c r="H682">
        <v>44512</v>
      </c>
      <c r="I682" t="s">
        <v>2686</v>
      </c>
      <c r="J682" t="s">
        <v>2687</v>
      </c>
      <c r="K682" t="s">
        <v>21</v>
      </c>
      <c r="M682" t="s">
        <v>3735</v>
      </c>
    </row>
    <row r="683" spans="1:13" x14ac:dyDescent="0.3">
      <c r="A683" t="s">
        <v>2688</v>
      </c>
      <c r="B683" t="s">
        <v>2689</v>
      </c>
      <c r="C683" t="s">
        <v>15</v>
      </c>
      <c r="D683" t="s">
        <v>34</v>
      </c>
      <c r="E683" t="s">
        <v>26</v>
      </c>
      <c r="F683" t="s">
        <v>160</v>
      </c>
      <c r="G683">
        <v>44433</v>
      </c>
      <c r="H683">
        <v>44485</v>
      </c>
      <c r="I683" t="s">
        <v>2690</v>
      </c>
      <c r="J683" t="s">
        <v>2691</v>
      </c>
      <c r="K683" t="s">
        <v>37</v>
      </c>
      <c r="L683" t="s">
        <v>55</v>
      </c>
      <c r="M683" t="s">
        <v>22</v>
      </c>
    </row>
    <row r="684" spans="1:13" x14ac:dyDescent="0.3">
      <c r="A684" t="s">
        <v>2692</v>
      </c>
      <c r="B684" t="s">
        <v>2693</v>
      </c>
      <c r="C684" t="s">
        <v>46</v>
      </c>
      <c r="D684" t="s">
        <v>25</v>
      </c>
      <c r="E684" t="s">
        <v>26</v>
      </c>
      <c r="F684" t="s">
        <v>18</v>
      </c>
      <c r="G684">
        <v>44183</v>
      </c>
      <c r="H684">
        <v>44514</v>
      </c>
      <c r="I684" t="s">
        <v>2694</v>
      </c>
      <c r="J684" t="s">
        <v>2695</v>
      </c>
      <c r="K684" t="s">
        <v>37</v>
      </c>
      <c r="L684" t="s">
        <v>55</v>
      </c>
      <c r="M684" t="s">
        <v>22</v>
      </c>
    </row>
    <row r="685" spans="1:13" x14ac:dyDescent="0.3">
      <c r="A685" t="s">
        <v>2696</v>
      </c>
      <c r="B685" t="s">
        <v>2697</v>
      </c>
      <c r="C685" t="s">
        <v>87</v>
      </c>
      <c r="D685" t="s">
        <v>41</v>
      </c>
      <c r="E685" t="s">
        <v>17</v>
      </c>
      <c r="F685" t="s">
        <v>18</v>
      </c>
      <c r="G685">
        <v>44473</v>
      </c>
      <c r="H685">
        <v>44564</v>
      </c>
      <c r="I685" t="s">
        <v>2698</v>
      </c>
      <c r="J685" t="s">
        <v>2699</v>
      </c>
      <c r="K685" t="s">
        <v>37</v>
      </c>
      <c r="L685" t="s">
        <v>116</v>
      </c>
      <c r="M685" t="s">
        <v>22</v>
      </c>
    </row>
    <row r="686" spans="1:13" x14ac:dyDescent="0.3">
      <c r="A686" t="s">
        <v>2700</v>
      </c>
      <c r="B686" t="s">
        <v>2701</v>
      </c>
      <c r="C686" t="s">
        <v>76</v>
      </c>
      <c r="D686" t="s">
        <v>34</v>
      </c>
      <c r="E686" t="s">
        <v>26</v>
      </c>
      <c r="F686" t="s">
        <v>151</v>
      </c>
      <c r="G686">
        <v>44528</v>
      </c>
      <c r="H686">
        <v>44872</v>
      </c>
      <c r="I686" t="s">
        <v>2702</v>
      </c>
      <c r="J686" t="s">
        <v>2703</v>
      </c>
      <c r="K686" t="s">
        <v>90</v>
      </c>
      <c r="L686" t="s">
        <v>60</v>
      </c>
      <c r="M686" t="s">
        <v>22</v>
      </c>
    </row>
    <row r="687" spans="1:13" hidden="1" x14ac:dyDescent="0.3">
      <c r="A687" t="s">
        <v>2704</v>
      </c>
      <c r="B687" t="s">
        <v>2705</v>
      </c>
      <c r="C687" t="s">
        <v>15</v>
      </c>
      <c r="D687" t="s">
        <v>25</v>
      </c>
      <c r="E687" t="s">
        <v>26</v>
      </c>
      <c r="F687" t="s">
        <v>18</v>
      </c>
      <c r="G687">
        <v>45366</v>
      </c>
      <c r="H687">
        <v>45570</v>
      </c>
      <c r="I687" t="s">
        <v>2706</v>
      </c>
      <c r="J687" t="s">
        <v>2707</v>
      </c>
      <c r="K687" t="s">
        <v>21</v>
      </c>
      <c r="M687" t="s">
        <v>3735</v>
      </c>
    </row>
    <row r="688" spans="1:13" hidden="1" x14ac:dyDescent="0.3">
      <c r="A688" t="s">
        <v>2708</v>
      </c>
      <c r="B688" t="s">
        <v>1473</v>
      </c>
      <c r="C688" t="s">
        <v>46</v>
      </c>
      <c r="D688" t="s">
        <v>77</v>
      </c>
      <c r="E688" t="s">
        <v>52</v>
      </c>
      <c r="F688" t="s">
        <v>18</v>
      </c>
      <c r="G688">
        <v>44611</v>
      </c>
      <c r="H688">
        <v>44807</v>
      </c>
      <c r="I688" t="s">
        <v>2709</v>
      </c>
      <c r="J688" t="s">
        <v>2710</v>
      </c>
      <c r="K688" t="s">
        <v>37</v>
      </c>
      <c r="M688" t="s">
        <v>3735</v>
      </c>
    </row>
    <row r="689" spans="1:13" x14ac:dyDescent="0.3">
      <c r="A689" t="s">
        <v>2711</v>
      </c>
      <c r="B689" t="s">
        <v>2712</v>
      </c>
      <c r="C689" t="s">
        <v>76</v>
      </c>
      <c r="D689" t="s">
        <v>41</v>
      </c>
      <c r="E689" t="s">
        <v>17</v>
      </c>
      <c r="F689" t="s">
        <v>160</v>
      </c>
      <c r="G689">
        <v>45461</v>
      </c>
      <c r="H689">
        <v>45630</v>
      </c>
      <c r="I689" t="s">
        <v>2713</v>
      </c>
      <c r="J689" t="s">
        <v>2714</v>
      </c>
      <c r="K689" t="s">
        <v>37</v>
      </c>
      <c r="L689" t="s">
        <v>60</v>
      </c>
      <c r="M689" t="s">
        <v>22</v>
      </c>
    </row>
    <row r="690" spans="1:13" hidden="1" x14ac:dyDescent="0.3">
      <c r="A690" t="s">
        <v>2715</v>
      </c>
      <c r="B690" t="s">
        <v>2716</v>
      </c>
      <c r="C690" t="s">
        <v>15</v>
      </c>
      <c r="D690" t="s">
        <v>16</v>
      </c>
      <c r="E690" t="s">
        <v>17</v>
      </c>
      <c r="F690" t="s">
        <v>160</v>
      </c>
      <c r="G690">
        <v>44149</v>
      </c>
      <c r="I690" t="s">
        <v>2717</v>
      </c>
      <c r="J690" t="s">
        <v>2718</v>
      </c>
      <c r="K690" t="s">
        <v>90</v>
      </c>
      <c r="L690" t="s">
        <v>60</v>
      </c>
      <c r="M690" t="s">
        <v>3735</v>
      </c>
    </row>
    <row r="691" spans="1:13" x14ac:dyDescent="0.3">
      <c r="A691" t="s">
        <v>2719</v>
      </c>
      <c r="B691" t="s">
        <v>2720</v>
      </c>
      <c r="C691" t="s">
        <v>87</v>
      </c>
      <c r="D691" t="s">
        <v>77</v>
      </c>
      <c r="E691" t="s">
        <v>52</v>
      </c>
      <c r="F691" t="s">
        <v>151</v>
      </c>
      <c r="G691">
        <v>44775</v>
      </c>
      <c r="H691">
        <v>45116</v>
      </c>
      <c r="I691" t="s">
        <v>2721</v>
      </c>
      <c r="J691" t="s">
        <v>2722</v>
      </c>
      <c r="K691" t="s">
        <v>29</v>
      </c>
      <c r="L691" t="s">
        <v>116</v>
      </c>
      <c r="M691" t="s">
        <v>22</v>
      </c>
    </row>
    <row r="692" spans="1:13" hidden="1" x14ac:dyDescent="0.3">
      <c r="A692" t="s">
        <v>2723</v>
      </c>
      <c r="B692" t="s">
        <v>3721</v>
      </c>
      <c r="C692" t="s">
        <v>181</v>
      </c>
      <c r="D692" t="s">
        <v>67</v>
      </c>
      <c r="E692" t="s">
        <v>26</v>
      </c>
      <c r="F692" t="s">
        <v>18</v>
      </c>
      <c r="G692">
        <v>44179</v>
      </c>
      <c r="H692">
        <v>44314</v>
      </c>
      <c r="I692" t="s">
        <v>2724</v>
      </c>
      <c r="J692" t="s">
        <v>2725</v>
      </c>
      <c r="K692" t="s">
        <v>21</v>
      </c>
      <c r="L692" t="s">
        <v>91</v>
      </c>
      <c r="M692" t="s">
        <v>3735</v>
      </c>
    </row>
    <row r="693" spans="1:13" hidden="1" x14ac:dyDescent="0.3">
      <c r="A693" t="s">
        <v>2726</v>
      </c>
      <c r="B693" t="s">
        <v>3721</v>
      </c>
      <c r="C693" t="s">
        <v>87</v>
      </c>
      <c r="D693" t="s">
        <v>51</v>
      </c>
      <c r="E693" t="s">
        <v>52</v>
      </c>
      <c r="F693" t="s">
        <v>151</v>
      </c>
      <c r="G693">
        <v>45384</v>
      </c>
      <c r="H693">
        <v>45451</v>
      </c>
      <c r="I693" t="s">
        <v>2727</v>
      </c>
      <c r="J693" t="s">
        <v>2728</v>
      </c>
      <c r="K693" t="s">
        <v>21</v>
      </c>
      <c r="M693" t="s">
        <v>3735</v>
      </c>
    </row>
    <row r="694" spans="1:13" x14ac:dyDescent="0.3">
      <c r="A694" t="s">
        <v>2729</v>
      </c>
      <c r="B694" t="s">
        <v>2730</v>
      </c>
      <c r="C694" t="s">
        <v>87</v>
      </c>
      <c r="D694" t="s">
        <v>16</v>
      </c>
      <c r="E694" t="s">
        <v>17</v>
      </c>
      <c r="F694" t="s">
        <v>18</v>
      </c>
      <c r="G694">
        <v>45624</v>
      </c>
      <c r="H694">
        <v>45835</v>
      </c>
      <c r="I694" t="s">
        <v>2731</v>
      </c>
      <c r="J694" t="s">
        <v>2732</v>
      </c>
      <c r="K694" t="s">
        <v>37</v>
      </c>
      <c r="L694" t="s">
        <v>91</v>
      </c>
      <c r="M694" t="s">
        <v>22</v>
      </c>
    </row>
    <row r="695" spans="1:13" x14ac:dyDescent="0.3">
      <c r="A695" t="s">
        <v>2733</v>
      </c>
      <c r="B695" t="s">
        <v>2734</v>
      </c>
      <c r="C695" t="s">
        <v>33</v>
      </c>
      <c r="D695" t="s">
        <v>25</v>
      </c>
      <c r="E695" t="s">
        <v>26</v>
      </c>
      <c r="F695" t="s">
        <v>18</v>
      </c>
      <c r="G695">
        <v>44796</v>
      </c>
      <c r="H695">
        <v>44883</v>
      </c>
      <c r="I695" t="s">
        <v>2735</v>
      </c>
      <c r="J695" t="s">
        <v>2736</v>
      </c>
      <c r="K695" t="s">
        <v>29</v>
      </c>
      <c r="L695" t="s">
        <v>60</v>
      </c>
      <c r="M695" t="s">
        <v>22</v>
      </c>
    </row>
    <row r="696" spans="1:13" hidden="1" x14ac:dyDescent="0.3">
      <c r="A696" t="s">
        <v>2737</v>
      </c>
      <c r="B696" t="s">
        <v>2738</v>
      </c>
      <c r="C696" t="s">
        <v>40</v>
      </c>
      <c r="D696" t="s">
        <v>67</v>
      </c>
      <c r="E696" t="s">
        <v>26</v>
      </c>
      <c r="F696" t="s">
        <v>160</v>
      </c>
      <c r="G696">
        <v>45619</v>
      </c>
      <c r="H696">
        <v>45787</v>
      </c>
      <c r="I696" t="s">
        <v>736</v>
      </c>
      <c r="J696" t="s">
        <v>2739</v>
      </c>
      <c r="K696" t="s">
        <v>21</v>
      </c>
      <c r="L696" t="s">
        <v>30</v>
      </c>
      <c r="M696" t="s">
        <v>3735</v>
      </c>
    </row>
    <row r="697" spans="1:13" x14ac:dyDescent="0.3">
      <c r="A697" t="s">
        <v>2740</v>
      </c>
      <c r="B697" t="s">
        <v>2741</v>
      </c>
      <c r="C697" t="s">
        <v>181</v>
      </c>
      <c r="D697" t="s">
        <v>51</v>
      </c>
      <c r="E697" t="s">
        <v>52</v>
      </c>
      <c r="F697" t="s">
        <v>18</v>
      </c>
      <c r="G697">
        <v>44746</v>
      </c>
      <c r="H697">
        <v>44909</v>
      </c>
      <c r="I697" t="s">
        <v>2742</v>
      </c>
      <c r="J697" t="s">
        <v>2743</v>
      </c>
      <c r="K697" t="s">
        <v>37</v>
      </c>
      <c r="L697" t="s">
        <v>116</v>
      </c>
      <c r="M697" t="s">
        <v>22</v>
      </c>
    </row>
    <row r="698" spans="1:13" x14ac:dyDescent="0.3">
      <c r="A698" t="s">
        <v>2744</v>
      </c>
      <c r="B698" t="s">
        <v>2745</v>
      </c>
      <c r="C698" t="s">
        <v>46</v>
      </c>
      <c r="D698" t="s">
        <v>34</v>
      </c>
      <c r="E698" t="s">
        <v>26</v>
      </c>
      <c r="F698" t="s">
        <v>151</v>
      </c>
      <c r="G698">
        <v>45632</v>
      </c>
      <c r="H698">
        <v>45676</v>
      </c>
      <c r="I698" t="s">
        <v>2746</v>
      </c>
      <c r="J698" t="s">
        <v>2747</v>
      </c>
      <c r="K698" t="s">
        <v>21</v>
      </c>
      <c r="L698" t="s">
        <v>91</v>
      </c>
      <c r="M698" t="s">
        <v>22</v>
      </c>
    </row>
    <row r="699" spans="1:13" x14ac:dyDescent="0.3">
      <c r="A699" t="s">
        <v>2748</v>
      </c>
      <c r="B699" t="s">
        <v>2749</v>
      </c>
      <c r="C699" t="s">
        <v>15</v>
      </c>
      <c r="D699" t="s">
        <v>34</v>
      </c>
      <c r="E699" t="s">
        <v>26</v>
      </c>
      <c r="F699" t="s">
        <v>18</v>
      </c>
      <c r="G699">
        <v>43616</v>
      </c>
      <c r="H699">
        <v>43800</v>
      </c>
      <c r="I699" t="s">
        <v>2750</v>
      </c>
      <c r="J699" t="s">
        <v>2751</v>
      </c>
      <c r="K699" t="s">
        <v>90</v>
      </c>
      <c r="L699" t="s">
        <v>55</v>
      </c>
      <c r="M699" t="s">
        <v>22</v>
      </c>
    </row>
    <row r="700" spans="1:13" x14ac:dyDescent="0.3">
      <c r="A700" t="s">
        <v>2752</v>
      </c>
      <c r="B700" t="s">
        <v>2753</v>
      </c>
      <c r="C700" t="s">
        <v>15</v>
      </c>
      <c r="D700" t="s">
        <v>77</v>
      </c>
      <c r="E700" t="s">
        <v>52</v>
      </c>
      <c r="F700" t="s">
        <v>18</v>
      </c>
      <c r="G700">
        <v>44936</v>
      </c>
      <c r="H700">
        <v>44940</v>
      </c>
      <c r="I700" t="s">
        <v>2754</v>
      </c>
      <c r="J700" t="s">
        <v>2755</v>
      </c>
      <c r="K700" t="s">
        <v>37</v>
      </c>
      <c r="L700" t="s">
        <v>30</v>
      </c>
      <c r="M700" t="s">
        <v>22</v>
      </c>
    </row>
    <row r="701" spans="1:13" x14ac:dyDescent="0.3">
      <c r="A701" t="s">
        <v>2756</v>
      </c>
      <c r="B701" t="s">
        <v>2757</v>
      </c>
      <c r="C701" t="s">
        <v>33</v>
      </c>
      <c r="D701" t="s">
        <v>77</v>
      </c>
      <c r="E701" t="s">
        <v>52</v>
      </c>
      <c r="F701" t="s">
        <v>18</v>
      </c>
      <c r="G701">
        <v>44083</v>
      </c>
      <c r="H701">
        <v>44153</v>
      </c>
      <c r="I701" t="s">
        <v>2758</v>
      </c>
      <c r="J701" t="s">
        <v>2759</v>
      </c>
      <c r="K701" t="s">
        <v>21</v>
      </c>
      <c r="L701" t="s">
        <v>91</v>
      </c>
      <c r="M701" t="s">
        <v>22</v>
      </c>
    </row>
    <row r="702" spans="1:13" x14ac:dyDescent="0.3">
      <c r="A702" t="s">
        <v>2760</v>
      </c>
      <c r="B702" t="s">
        <v>2761</v>
      </c>
      <c r="C702" t="s">
        <v>181</v>
      </c>
      <c r="D702" t="s">
        <v>67</v>
      </c>
      <c r="E702" t="s">
        <v>26</v>
      </c>
      <c r="F702" t="s">
        <v>18</v>
      </c>
      <c r="G702">
        <v>44180</v>
      </c>
      <c r="H702">
        <v>44236</v>
      </c>
      <c r="I702" t="s">
        <v>2762</v>
      </c>
      <c r="J702" t="s">
        <v>2763</v>
      </c>
      <c r="K702" t="s">
        <v>90</v>
      </c>
      <c r="L702" t="s">
        <v>116</v>
      </c>
      <c r="M702" t="s">
        <v>22</v>
      </c>
    </row>
    <row r="703" spans="1:13" x14ac:dyDescent="0.3">
      <c r="A703" t="s">
        <v>2764</v>
      </c>
      <c r="B703" t="s">
        <v>2765</v>
      </c>
      <c r="C703" t="s">
        <v>15</v>
      </c>
      <c r="D703" t="s">
        <v>25</v>
      </c>
      <c r="E703" t="s">
        <v>26</v>
      </c>
      <c r="F703" t="s">
        <v>18</v>
      </c>
      <c r="G703">
        <v>45634</v>
      </c>
      <c r="H703">
        <v>45821</v>
      </c>
      <c r="I703" t="s">
        <v>2766</v>
      </c>
      <c r="J703" t="s">
        <v>2767</v>
      </c>
      <c r="K703" t="s">
        <v>29</v>
      </c>
      <c r="L703" t="s">
        <v>55</v>
      </c>
      <c r="M703" t="s">
        <v>22</v>
      </c>
    </row>
    <row r="704" spans="1:13" x14ac:dyDescent="0.3">
      <c r="A704" t="s">
        <v>2768</v>
      </c>
      <c r="B704" t="s">
        <v>155</v>
      </c>
      <c r="C704" t="s">
        <v>33</v>
      </c>
      <c r="D704" t="s">
        <v>34</v>
      </c>
      <c r="E704" t="s">
        <v>26</v>
      </c>
      <c r="F704" t="s">
        <v>18</v>
      </c>
      <c r="G704">
        <v>45117</v>
      </c>
      <c r="H704">
        <v>45304</v>
      </c>
      <c r="I704" t="s">
        <v>2769</v>
      </c>
      <c r="J704" t="s">
        <v>2770</v>
      </c>
      <c r="K704" t="s">
        <v>90</v>
      </c>
      <c r="L704" t="s">
        <v>91</v>
      </c>
      <c r="M704" t="s">
        <v>22</v>
      </c>
    </row>
    <row r="705" spans="1:13" hidden="1" x14ac:dyDescent="0.3">
      <c r="A705" t="s">
        <v>2771</v>
      </c>
      <c r="B705" t="s">
        <v>3721</v>
      </c>
      <c r="C705" t="s">
        <v>33</v>
      </c>
      <c r="D705" t="s">
        <v>67</v>
      </c>
      <c r="E705" t="s">
        <v>26</v>
      </c>
      <c r="F705" t="s">
        <v>18</v>
      </c>
      <c r="G705">
        <v>44270</v>
      </c>
      <c r="H705">
        <v>45520</v>
      </c>
      <c r="I705" t="s">
        <v>2772</v>
      </c>
      <c r="J705" t="s">
        <v>2773</v>
      </c>
      <c r="K705" t="s">
        <v>21</v>
      </c>
      <c r="L705" t="s">
        <v>60</v>
      </c>
      <c r="M705" t="s">
        <v>3735</v>
      </c>
    </row>
    <row r="706" spans="1:13" x14ac:dyDescent="0.3">
      <c r="A706" t="s">
        <v>2774</v>
      </c>
      <c r="B706" t="s">
        <v>814</v>
      </c>
      <c r="C706" t="s">
        <v>15</v>
      </c>
      <c r="D706" t="s">
        <v>67</v>
      </c>
      <c r="E706" t="s">
        <v>26</v>
      </c>
      <c r="F706" t="s">
        <v>160</v>
      </c>
      <c r="G706">
        <v>44354</v>
      </c>
      <c r="H706">
        <v>44599</v>
      </c>
      <c r="I706" t="s">
        <v>2775</v>
      </c>
      <c r="J706" t="s">
        <v>2776</v>
      </c>
      <c r="K706" t="s">
        <v>29</v>
      </c>
      <c r="L706" t="s">
        <v>60</v>
      </c>
      <c r="M706" t="s">
        <v>22</v>
      </c>
    </row>
    <row r="707" spans="1:13" x14ac:dyDescent="0.3">
      <c r="A707" t="s">
        <v>2777</v>
      </c>
      <c r="B707" t="s">
        <v>2778</v>
      </c>
      <c r="C707" t="s">
        <v>33</v>
      </c>
      <c r="D707" t="s">
        <v>34</v>
      </c>
      <c r="E707" t="s">
        <v>26</v>
      </c>
      <c r="F707" t="s">
        <v>18</v>
      </c>
      <c r="G707">
        <v>44678</v>
      </c>
      <c r="H707">
        <v>44813</v>
      </c>
      <c r="I707" t="s">
        <v>2779</v>
      </c>
      <c r="J707" t="s">
        <v>2780</v>
      </c>
      <c r="K707" t="s">
        <v>90</v>
      </c>
      <c r="L707" t="s">
        <v>55</v>
      </c>
      <c r="M707" t="s">
        <v>22</v>
      </c>
    </row>
    <row r="708" spans="1:13" x14ac:dyDescent="0.3">
      <c r="A708" t="s">
        <v>2781</v>
      </c>
      <c r="B708" t="s">
        <v>2782</v>
      </c>
      <c r="C708" t="s">
        <v>40</v>
      </c>
      <c r="D708" t="s">
        <v>77</v>
      </c>
      <c r="E708" t="s">
        <v>52</v>
      </c>
      <c r="F708" t="s">
        <v>18</v>
      </c>
      <c r="G708">
        <v>43600</v>
      </c>
      <c r="H708">
        <v>43690</v>
      </c>
      <c r="I708" t="s">
        <v>2783</v>
      </c>
      <c r="J708" t="s">
        <v>2784</v>
      </c>
      <c r="K708" t="s">
        <v>37</v>
      </c>
      <c r="L708" t="s">
        <v>30</v>
      </c>
      <c r="M708" t="s">
        <v>22</v>
      </c>
    </row>
    <row r="709" spans="1:13" hidden="1" x14ac:dyDescent="0.3">
      <c r="A709" t="s">
        <v>2785</v>
      </c>
      <c r="B709" t="s">
        <v>2786</v>
      </c>
      <c r="C709" t="s">
        <v>76</v>
      </c>
      <c r="D709" t="s">
        <v>16</v>
      </c>
      <c r="E709" t="s">
        <v>17</v>
      </c>
      <c r="F709" t="s">
        <v>151</v>
      </c>
      <c r="G709">
        <v>43972</v>
      </c>
      <c r="H709">
        <v>44210</v>
      </c>
      <c r="I709" t="s">
        <v>417</v>
      </c>
      <c r="J709" t="s">
        <v>2787</v>
      </c>
      <c r="K709" t="s">
        <v>37</v>
      </c>
      <c r="L709" t="s">
        <v>30</v>
      </c>
      <c r="M709" t="s">
        <v>3735</v>
      </c>
    </row>
    <row r="710" spans="1:13" x14ac:dyDescent="0.3">
      <c r="A710" t="s">
        <v>2788</v>
      </c>
      <c r="B710" t="s">
        <v>2789</v>
      </c>
      <c r="C710" t="s">
        <v>76</v>
      </c>
      <c r="D710" t="s">
        <v>16</v>
      </c>
      <c r="E710" t="s">
        <v>17</v>
      </c>
      <c r="F710" t="s">
        <v>160</v>
      </c>
      <c r="G710">
        <v>44971</v>
      </c>
      <c r="H710">
        <v>45062</v>
      </c>
      <c r="I710" t="s">
        <v>2790</v>
      </c>
      <c r="J710" t="s">
        <v>20</v>
      </c>
      <c r="K710" t="s">
        <v>90</v>
      </c>
      <c r="L710" t="s">
        <v>30</v>
      </c>
      <c r="M710" t="s">
        <v>22</v>
      </c>
    </row>
    <row r="711" spans="1:13" x14ac:dyDescent="0.3">
      <c r="A711" t="s">
        <v>2791</v>
      </c>
      <c r="B711" t="s">
        <v>2792</v>
      </c>
      <c r="C711" t="s">
        <v>15</v>
      </c>
      <c r="D711" t="s">
        <v>34</v>
      </c>
      <c r="E711" t="s">
        <v>26</v>
      </c>
      <c r="F711" t="s">
        <v>18</v>
      </c>
      <c r="G711">
        <v>43973</v>
      </c>
      <c r="H711">
        <v>44302</v>
      </c>
      <c r="I711" t="s">
        <v>2793</v>
      </c>
      <c r="J711" t="s">
        <v>2794</v>
      </c>
      <c r="K711" t="s">
        <v>37</v>
      </c>
      <c r="L711" t="s">
        <v>91</v>
      </c>
      <c r="M711" t="s">
        <v>22</v>
      </c>
    </row>
    <row r="712" spans="1:13" x14ac:dyDescent="0.3">
      <c r="A712" t="s">
        <v>2795</v>
      </c>
      <c r="B712" t="s">
        <v>2796</v>
      </c>
      <c r="C712" t="s">
        <v>40</v>
      </c>
      <c r="D712" t="s">
        <v>51</v>
      </c>
      <c r="E712" t="s">
        <v>52</v>
      </c>
      <c r="F712" t="s">
        <v>160</v>
      </c>
      <c r="G712">
        <v>45099</v>
      </c>
      <c r="H712">
        <v>45311</v>
      </c>
      <c r="I712" t="s">
        <v>2797</v>
      </c>
      <c r="J712" t="s">
        <v>2798</v>
      </c>
      <c r="K712" t="s">
        <v>21</v>
      </c>
      <c r="L712" t="s">
        <v>116</v>
      </c>
      <c r="M712" t="s">
        <v>22</v>
      </c>
    </row>
    <row r="713" spans="1:13" hidden="1" x14ac:dyDescent="0.3">
      <c r="A713" t="s">
        <v>2799</v>
      </c>
      <c r="B713" t="s">
        <v>2800</v>
      </c>
      <c r="C713" t="s">
        <v>15</v>
      </c>
      <c r="D713" t="s">
        <v>77</v>
      </c>
      <c r="E713" t="s">
        <v>52</v>
      </c>
      <c r="F713" t="s">
        <v>18</v>
      </c>
      <c r="G713">
        <v>44867</v>
      </c>
      <c r="H713">
        <v>45145</v>
      </c>
      <c r="I713" t="s">
        <v>2801</v>
      </c>
      <c r="J713" t="s">
        <v>2802</v>
      </c>
      <c r="K713" t="s">
        <v>90</v>
      </c>
      <c r="M713" t="s">
        <v>3735</v>
      </c>
    </row>
    <row r="714" spans="1:13" x14ac:dyDescent="0.3">
      <c r="A714" t="s">
        <v>2803</v>
      </c>
      <c r="B714" t="s">
        <v>2804</v>
      </c>
      <c r="C714" t="s">
        <v>76</v>
      </c>
      <c r="D714" t="s">
        <v>77</v>
      </c>
      <c r="E714" t="s">
        <v>52</v>
      </c>
      <c r="F714" t="s">
        <v>18</v>
      </c>
      <c r="G714">
        <v>44156</v>
      </c>
      <c r="H714">
        <v>44451</v>
      </c>
      <c r="I714" t="s">
        <v>2805</v>
      </c>
      <c r="J714" t="s">
        <v>2806</v>
      </c>
      <c r="K714" t="s">
        <v>90</v>
      </c>
      <c r="L714" t="s">
        <v>55</v>
      </c>
      <c r="M714" t="s">
        <v>22</v>
      </c>
    </row>
    <row r="715" spans="1:13" x14ac:dyDescent="0.3">
      <c r="A715" t="s">
        <v>2808</v>
      </c>
      <c r="B715" t="s">
        <v>2809</v>
      </c>
      <c r="C715" t="s">
        <v>181</v>
      </c>
      <c r="D715" t="s">
        <v>51</v>
      </c>
      <c r="E715" t="s">
        <v>52</v>
      </c>
      <c r="F715" t="s">
        <v>18</v>
      </c>
      <c r="G715">
        <v>45092</v>
      </c>
      <c r="H715">
        <v>45183</v>
      </c>
      <c r="I715" t="s">
        <v>2810</v>
      </c>
      <c r="J715" t="s">
        <v>2811</v>
      </c>
      <c r="K715" t="s">
        <v>21</v>
      </c>
      <c r="L715" t="s">
        <v>116</v>
      </c>
      <c r="M715" t="s">
        <v>22</v>
      </c>
    </row>
    <row r="716" spans="1:13" x14ac:dyDescent="0.3">
      <c r="A716" t="s">
        <v>2812</v>
      </c>
      <c r="B716" t="s">
        <v>1866</v>
      </c>
      <c r="C716" t="s">
        <v>76</v>
      </c>
      <c r="D716" t="s">
        <v>77</v>
      </c>
      <c r="E716" t="s">
        <v>52</v>
      </c>
      <c r="F716" t="s">
        <v>18</v>
      </c>
      <c r="G716">
        <v>43801</v>
      </c>
      <c r="H716">
        <v>44093</v>
      </c>
      <c r="I716" t="s">
        <v>2813</v>
      </c>
      <c r="J716" t="s">
        <v>2814</v>
      </c>
      <c r="K716" t="s">
        <v>21</v>
      </c>
      <c r="L716" t="s">
        <v>60</v>
      </c>
      <c r="M716" t="s">
        <v>22</v>
      </c>
    </row>
    <row r="717" spans="1:13" x14ac:dyDescent="0.3">
      <c r="A717" t="s">
        <v>2815</v>
      </c>
      <c r="B717" t="s">
        <v>2816</v>
      </c>
      <c r="C717" t="s">
        <v>87</v>
      </c>
      <c r="D717" t="s">
        <v>25</v>
      </c>
      <c r="E717" t="s">
        <v>26</v>
      </c>
      <c r="F717" t="s">
        <v>151</v>
      </c>
      <c r="G717">
        <v>43832</v>
      </c>
      <c r="H717">
        <v>44165</v>
      </c>
      <c r="I717" t="s">
        <v>2817</v>
      </c>
      <c r="J717" t="s">
        <v>2818</v>
      </c>
      <c r="K717" t="s">
        <v>90</v>
      </c>
      <c r="L717" t="s">
        <v>55</v>
      </c>
      <c r="M717" t="s">
        <v>22</v>
      </c>
    </row>
    <row r="718" spans="1:13" hidden="1" x14ac:dyDescent="0.3">
      <c r="A718" t="s">
        <v>2819</v>
      </c>
      <c r="B718" t="s">
        <v>3721</v>
      </c>
      <c r="C718" t="s">
        <v>40</v>
      </c>
      <c r="D718" t="s">
        <v>41</v>
      </c>
      <c r="E718" t="s">
        <v>17</v>
      </c>
      <c r="F718" t="s">
        <v>18</v>
      </c>
      <c r="G718">
        <v>44762</v>
      </c>
      <c r="H718">
        <v>44915</v>
      </c>
      <c r="I718" t="s">
        <v>2820</v>
      </c>
      <c r="J718" t="s">
        <v>2821</v>
      </c>
      <c r="K718" t="s">
        <v>21</v>
      </c>
      <c r="M718" t="s">
        <v>3735</v>
      </c>
    </row>
    <row r="719" spans="1:13" x14ac:dyDescent="0.3">
      <c r="A719" t="s">
        <v>2822</v>
      </c>
      <c r="B719" t="s">
        <v>2823</v>
      </c>
      <c r="C719" t="s">
        <v>46</v>
      </c>
      <c r="D719" t="s">
        <v>16</v>
      </c>
      <c r="E719" t="s">
        <v>17</v>
      </c>
      <c r="F719" t="s">
        <v>18</v>
      </c>
      <c r="G719">
        <v>44835</v>
      </c>
      <c r="H719">
        <v>44963</v>
      </c>
      <c r="I719" t="s">
        <v>2824</v>
      </c>
      <c r="J719" t="s">
        <v>2825</v>
      </c>
      <c r="K719" t="s">
        <v>21</v>
      </c>
      <c r="L719" t="s">
        <v>55</v>
      </c>
      <c r="M719" t="s">
        <v>22</v>
      </c>
    </row>
    <row r="720" spans="1:13" x14ac:dyDescent="0.3">
      <c r="A720" t="s">
        <v>2826</v>
      </c>
      <c r="B720" t="s">
        <v>2827</v>
      </c>
      <c r="C720" t="s">
        <v>76</v>
      </c>
      <c r="D720" t="s">
        <v>67</v>
      </c>
      <c r="E720" t="s">
        <v>26</v>
      </c>
      <c r="F720" t="s">
        <v>160</v>
      </c>
      <c r="G720">
        <v>44787</v>
      </c>
      <c r="H720">
        <v>44948</v>
      </c>
      <c r="I720" t="s">
        <v>2828</v>
      </c>
      <c r="J720" t="s">
        <v>2829</v>
      </c>
      <c r="K720" t="s">
        <v>29</v>
      </c>
      <c r="L720" t="s">
        <v>60</v>
      </c>
      <c r="M720" t="s">
        <v>22</v>
      </c>
    </row>
    <row r="721" spans="1:13" x14ac:dyDescent="0.3">
      <c r="A721" t="s">
        <v>2830</v>
      </c>
      <c r="B721" t="s">
        <v>2831</v>
      </c>
      <c r="C721" t="s">
        <v>15</v>
      </c>
      <c r="D721" t="s">
        <v>51</v>
      </c>
      <c r="E721" t="s">
        <v>52</v>
      </c>
      <c r="F721" t="s">
        <v>160</v>
      </c>
      <c r="G721">
        <v>43877</v>
      </c>
      <c r="H721">
        <v>43959</v>
      </c>
      <c r="I721" t="s">
        <v>2832</v>
      </c>
      <c r="J721" t="s">
        <v>2833</v>
      </c>
      <c r="K721" t="s">
        <v>90</v>
      </c>
      <c r="L721" t="s">
        <v>116</v>
      </c>
      <c r="M721" t="s">
        <v>22</v>
      </c>
    </row>
    <row r="722" spans="1:13" x14ac:dyDescent="0.3">
      <c r="A722" t="s">
        <v>2834</v>
      </c>
      <c r="B722" t="s">
        <v>2625</v>
      </c>
      <c r="C722" t="s">
        <v>40</v>
      </c>
      <c r="D722" t="s">
        <v>25</v>
      </c>
      <c r="E722" t="s">
        <v>26</v>
      </c>
      <c r="F722" t="s">
        <v>18</v>
      </c>
      <c r="G722">
        <v>45149</v>
      </c>
      <c r="H722">
        <v>45268</v>
      </c>
      <c r="I722" t="s">
        <v>2835</v>
      </c>
      <c r="J722" t="s">
        <v>2836</v>
      </c>
      <c r="K722" t="s">
        <v>21</v>
      </c>
      <c r="L722" t="s">
        <v>30</v>
      </c>
      <c r="M722" t="s">
        <v>22</v>
      </c>
    </row>
    <row r="723" spans="1:13" hidden="1" x14ac:dyDescent="0.3">
      <c r="A723" t="s">
        <v>2837</v>
      </c>
      <c r="B723" t="s">
        <v>2838</v>
      </c>
      <c r="C723" t="s">
        <v>87</v>
      </c>
      <c r="D723" t="s">
        <v>16</v>
      </c>
      <c r="E723" t="s">
        <v>17</v>
      </c>
      <c r="F723" t="s">
        <v>18</v>
      </c>
      <c r="G723">
        <v>43822</v>
      </c>
      <c r="H723">
        <v>43992</v>
      </c>
      <c r="I723" t="s">
        <v>2839</v>
      </c>
      <c r="K723" t="s">
        <v>90</v>
      </c>
      <c r="L723" t="s">
        <v>91</v>
      </c>
      <c r="M723" t="s">
        <v>3735</v>
      </c>
    </row>
    <row r="724" spans="1:13" hidden="1" x14ac:dyDescent="0.3">
      <c r="A724" t="s">
        <v>2840</v>
      </c>
      <c r="B724" t="s">
        <v>2841</v>
      </c>
      <c r="C724" t="s">
        <v>46</v>
      </c>
      <c r="D724" t="s">
        <v>16</v>
      </c>
      <c r="E724" t="s">
        <v>17</v>
      </c>
      <c r="F724" t="s">
        <v>18</v>
      </c>
      <c r="G724">
        <v>45608</v>
      </c>
      <c r="H724">
        <v>45748</v>
      </c>
      <c r="I724" t="s">
        <v>2842</v>
      </c>
      <c r="J724" t="s">
        <v>2843</v>
      </c>
      <c r="K724" t="s">
        <v>29</v>
      </c>
      <c r="M724" t="s">
        <v>3735</v>
      </c>
    </row>
    <row r="725" spans="1:13" x14ac:dyDescent="0.3">
      <c r="A725" t="s">
        <v>2844</v>
      </c>
      <c r="B725" t="s">
        <v>2845</v>
      </c>
      <c r="C725" t="s">
        <v>76</v>
      </c>
      <c r="D725" t="s">
        <v>16</v>
      </c>
      <c r="E725" t="s">
        <v>17</v>
      </c>
      <c r="F725" t="s">
        <v>18</v>
      </c>
      <c r="G725">
        <v>44307</v>
      </c>
      <c r="H725">
        <v>44607</v>
      </c>
      <c r="I725" t="s">
        <v>2846</v>
      </c>
      <c r="J725" t="s">
        <v>128</v>
      </c>
      <c r="K725" t="s">
        <v>29</v>
      </c>
      <c r="L725" t="s">
        <v>60</v>
      </c>
      <c r="M725" t="s">
        <v>22</v>
      </c>
    </row>
    <row r="726" spans="1:13" x14ac:dyDescent="0.3">
      <c r="A726" t="s">
        <v>2847</v>
      </c>
      <c r="B726" t="s">
        <v>2848</v>
      </c>
      <c r="C726" t="s">
        <v>46</v>
      </c>
      <c r="D726" t="s">
        <v>41</v>
      </c>
      <c r="E726" t="s">
        <v>17</v>
      </c>
      <c r="F726" t="s">
        <v>18</v>
      </c>
      <c r="G726">
        <v>45199</v>
      </c>
      <c r="H726">
        <v>45443</v>
      </c>
      <c r="I726" t="s">
        <v>2849</v>
      </c>
      <c r="J726" t="s">
        <v>2850</v>
      </c>
      <c r="K726" t="s">
        <v>29</v>
      </c>
      <c r="L726" t="s">
        <v>30</v>
      </c>
      <c r="M726" t="s">
        <v>22</v>
      </c>
    </row>
    <row r="727" spans="1:13" x14ac:dyDescent="0.3">
      <c r="A727" t="s">
        <v>2851</v>
      </c>
      <c r="B727" t="s">
        <v>2852</v>
      </c>
      <c r="C727" t="s">
        <v>33</v>
      </c>
      <c r="D727" t="s">
        <v>41</v>
      </c>
      <c r="E727" t="s">
        <v>17</v>
      </c>
      <c r="F727" t="s">
        <v>18</v>
      </c>
      <c r="G727">
        <v>44097</v>
      </c>
      <c r="H727">
        <v>44296</v>
      </c>
      <c r="I727" t="s">
        <v>2853</v>
      </c>
      <c r="J727" t="s">
        <v>2854</v>
      </c>
      <c r="K727" t="s">
        <v>90</v>
      </c>
      <c r="L727" t="s">
        <v>60</v>
      </c>
      <c r="M727" t="s">
        <v>22</v>
      </c>
    </row>
    <row r="728" spans="1:13" x14ac:dyDescent="0.3">
      <c r="A728" t="s">
        <v>2855</v>
      </c>
      <c r="B728" t="s">
        <v>2856</v>
      </c>
      <c r="C728" t="s">
        <v>87</v>
      </c>
      <c r="D728" t="s">
        <v>16</v>
      </c>
      <c r="E728" t="s">
        <v>17</v>
      </c>
      <c r="F728" t="s">
        <v>18</v>
      </c>
      <c r="G728">
        <v>43652</v>
      </c>
      <c r="H728">
        <v>43654</v>
      </c>
      <c r="I728" t="s">
        <v>2857</v>
      </c>
      <c r="J728" t="s">
        <v>2521</v>
      </c>
      <c r="K728" t="s">
        <v>21</v>
      </c>
      <c r="L728" t="s">
        <v>116</v>
      </c>
      <c r="M728" t="s">
        <v>22</v>
      </c>
    </row>
    <row r="729" spans="1:13" x14ac:dyDescent="0.3">
      <c r="A729" t="s">
        <v>2858</v>
      </c>
      <c r="B729" t="s">
        <v>2859</v>
      </c>
      <c r="C729" t="s">
        <v>15</v>
      </c>
      <c r="D729" t="s">
        <v>34</v>
      </c>
      <c r="E729" t="s">
        <v>26</v>
      </c>
      <c r="F729" t="s">
        <v>160</v>
      </c>
      <c r="G729">
        <v>44384</v>
      </c>
      <c r="H729">
        <v>44715</v>
      </c>
      <c r="I729" t="s">
        <v>2860</v>
      </c>
      <c r="J729" t="s">
        <v>2861</v>
      </c>
      <c r="K729" t="s">
        <v>37</v>
      </c>
      <c r="L729" t="s">
        <v>91</v>
      </c>
      <c r="M729" t="s">
        <v>22</v>
      </c>
    </row>
    <row r="730" spans="1:13" x14ac:dyDescent="0.3">
      <c r="A730" t="s">
        <v>2862</v>
      </c>
      <c r="B730" t="s">
        <v>2863</v>
      </c>
      <c r="C730" t="s">
        <v>15</v>
      </c>
      <c r="D730" t="s">
        <v>16</v>
      </c>
      <c r="E730" t="s">
        <v>17</v>
      </c>
      <c r="F730" t="s">
        <v>18</v>
      </c>
      <c r="G730">
        <v>45490</v>
      </c>
      <c r="H730">
        <v>45714</v>
      </c>
      <c r="I730" t="s">
        <v>2864</v>
      </c>
      <c r="J730" t="s">
        <v>1744</v>
      </c>
      <c r="K730" t="s">
        <v>29</v>
      </c>
      <c r="L730" t="s">
        <v>55</v>
      </c>
      <c r="M730" t="s">
        <v>22</v>
      </c>
    </row>
    <row r="731" spans="1:13" hidden="1" x14ac:dyDescent="0.3">
      <c r="A731" t="s">
        <v>2865</v>
      </c>
      <c r="B731" t="s">
        <v>2866</v>
      </c>
      <c r="C731" t="s">
        <v>33</v>
      </c>
      <c r="D731" t="s">
        <v>67</v>
      </c>
      <c r="E731" t="s">
        <v>26</v>
      </c>
      <c r="F731" t="s">
        <v>18</v>
      </c>
      <c r="G731">
        <v>44582</v>
      </c>
      <c r="H731">
        <v>44666</v>
      </c>
      <c r="I731" t="s">
        <v>2867</v>
      </c>
      <c r="J731" t="s">
        <v>2868</v>
      </c>
      <c r="K731" t="s">
        <v>29</v>
      </c>
      <c r="M731" t="s">
        <v>3735</v>
      </c>
    </row>
    <row r="732" spans="1:13" hidden="1" x14ac:dyDescent="0.3">
      <c r="A732" t="s">
        <v>2869</v>
      </c>
      <c r="B732" t="s">
        <v>2870</v>
      </c>
      <c r="C732" t="s">
        <v>33</v>
      </c>
      <c r="D732" t="s">
        <v>41</v>
      </c>
      <c r="E732" t="s">
        <v>17</v>
      </c>
      <c r="F732" t="s">
        <v>18</v>
      </c>
      <c r="G732">
        <v>44835</v>
      </c>
      <c r="H732">
        <v>45150</v>
      </c>
      <c r="I732" t="s">
        <v>2871</v>
      </c>
      <c r="J732" t="s">
        <v>2872</v>
      </c>
      <c r="K732" t="s">
        <v>90</v>
      </c>
      <c r="M732" t="s">
        <v>3735</v>
      </c>
    </row>
    <row r="733" spans="1:13" x14ac:dyDescent="0.3">
      <c r="A733" t="s">
        <v>2873</v>
      </c>
      <c r="B733" t="s">
        <v>2874</v>
      </c>
      <c r="C733" t="s">
        <v>87</v>
      </c>
      <c r="D733" t="s">
        <v>25</v>
      </c>
      <c r="E733" t="s">
        <v>26</v>
      </c>
      <c r="F733" t="s">
        <v>18</v>
      </c>
      <c r="G733">
        <v>43478</v>
      </c>
      <c r="H733">
        <v>43589</v>
      </c>
      <c r="I733" t="s">
        <v>2875</v>
      </c>
      <c r="J733" t="s">
        <v>2876</v>
      </c>
      <c r="K733" t="s">
        <v>90</v>
      </c>
      <c r="L733" t="s">
        <v>30</v>
      </c>
      <c r="M733" t="s">
        <v>22</v>
      </c>
    </row>
    <row r="734" spans="1:13" x14ac:dyDescent="0.3">
      <c r="A734" t="s">
        <v>2877</v>
      </c>
      <c r="B734" t="s">
        <v>2878</v>
      </c>
      <c r="C734" t="s">
        <v>181</v>
      </c>
      <c r="D734" t="s">
        <v>51</v>
      </c>
      <c r="E734" t="s">
        <v>52</v>
      </c>
      <c r="F734" t="s">
        <v>160</v>
      </c>
      <c r="G734">
        <v>44836</v>
      </c>
      <c r="H734">
        <v>45035</v>
      </c>
      <c r="I734" t="s">
        <v>2879</v>
      </c>
      <c r="J734" t="s">
        <v>2880</v>
      </c>
      <c r="K734" t="s">
        <v>29</v>
      </c>
      <c r="L734" t="s">
        <v>55</v>
      </c>
      <c r="M734" t="s">
        <v>22</v>
      </c>
    </row>
    <row r="735" spans="1:13" x14ac:dyDescent="0.3">
      <c r="A735" t="s">
        <v>2881</v>
      </c>
      <c r="B735" t="s">
        <v>1947</v>
      </c>
      <c r="C735" t="s">
        <v>33</v>
      </c>
      <c r="D735" t="s">
        <v>51</v>
      </c>
      <c r="E735" t="s">
        <v>52</v>
      </c>
      <c r="F735" t="s">
        <v>160</v>
      </c>
      <c r="G735">
        <v>43743</v>
      </c>
      <c r="H735">
        <v>43961</v>
      </c>
      <c r="I735" t="s">
        <v>1948</v>
      </c>
      <c r="J735" t="s">
        <v>2722</v>
      </c>
      <c r="K735" t="s">
        <v>29</v>
      </c>
      <c r="L735" t="s">
        <v>30</v>
      </c>
      <c r="M735" t="s">
        <v>22</v>
      </c>
    </row>
    <row r="736" spans="1:13" hidden="1" x14ac:dyDescent="0.3">
      <c r="A736" t="s">
        <v>2882</v>
      </c>
      <c r="B736" t="s">
        <v>2883</v>
      </c>
      <c r="C736" t="s">
        <v>76</v>
      </c>
      <c r="D736" t="s">
        <v>25</v>
      </c>
      <c r="E736" t="s">
        <v>26</v>
      </c>
      <c r="F736" t="s">
        <v>18</v>
      </c>
      <c r="G736">
        <v>44492</v>
      </c>
      <c r="H736">
        <v>44720</v>
      </c>
      <c r="I736" t="s">
        <v>2884</v>
      </c>
      <c r="J736" t="s">
        <v>2885</v>
      </c>
      <c r="K736" t="s">
        <v>37</v>
      </c>
      <c r="M736" t="s">
        <v>3735</v>
      </c>
    </row>
    <row r="737" spans="1:13" x14ac:dyDescent="0.3">
      <c r="A737" t="s">
        <v>2886</v>
      </c>
      <c r="B737" t="s">
        <v>2887</v>
      </c>
      <c r="C737" t="s">
        <v>15</v>
      </c>
      <c r="D737" t="s">
        <v>67</v>
      </c>
      <c r="E737" t="s">
        <v>26</v>
      </c>
      <c r="F737" t="s">
        <v>18</v>
      </c>
      <c r="G737">
        <v>43715</v>
      </c>
      <c r="H737">
        <v>43913</v>
      </c>
      <c r="I737" t="s">
        <v>2888</v>
      </c>
      <c r="J737" t="s">
        <v>2889</v>
      </c>
      <c r="K737" t="s">
        <v>21</v>
      </c>
      <c r="L737" t="s">
        <v>91</v>
      </c>
      <c r="M737" t="s">
        <v>22</v>
      </c>
    </row>
    <row r="738" spans="1:13" x14ac:dyDescent="0.3">
      <c r="A738" t="s">
        <v>2890</v>
      </c>
      <c r="B738" t="s">
        <v>2891</v>
      </c>
      <c r="C738" t="s">
        <v>76</v>
      </c>
      <c r="D738" t="s">
        <v>41</v>
      </c>
      <c r="E738" t="s">
        <v>17</v>
      </c>
      <c r="F738" t="s">
        <v>18</v>
      </c>
      <c r="G738">
        <v>45350</v>
      </c>
      <c r="H738">
        <v>45704</v>
      </c>
      <c r="I738" t="s">
        <v>2892</v>
      </c>
      <c r="J738" t="s">
        <v>2893</v>
      </c>
      <c r="K738" t="s">
        <v>29</v>
      </c>
      <c r="L738" t="s">
        <v>91</v>
      </c>
      <c r="M738" t="s">
        <v>22</v>
      </c>
    </row>
    <row r="739" spans="1:13" x14ac:dyDescent="0.3">
      <c r="A739" t="s">
        <v>2894</v>
      </c>
      <c r="B739" t="s">
        <v>2895</v>
      </c>
      <c r="C739" t="s">
        <v>76</v>
      </c>
      <c r="D739" t="s">
        <v>67</v>
      </c>
      <c r="E739" t="s">
        <v>26</v>
      </c>
      <c r="F739" t="s">
        <v>151</v>
      </c>
      <c r="G739">
        <v>43748</v>
      </c>
      <c r="H739">
        <v>43989</v>
      </c>
      <c r="I739" t="s">
        <v>2896</v>
      </c>
      <c r="J739" t="s">
        <v>2897</v>
      </c>
      <c r="K739" t="s">
        <v>21</v>
      </c>
      <c r="L739" t="s">
        <v>55</v>
      </c>
      <c r="M739" t="s">
        <v>22</v>
      </c>
    </row>
    <row r="740" spans="1:13" x14ac:dyDescent="0.3">
      <c r="A740" t="s">
        <v>2898</v>
      </c>
      <c r="B740" t="s">
        <v>2591</v>
      </c>
      <c r="C740" t="s">
        <v>15</v>
      </c>
      <c r="D740" t="s">
        <v>25</v>
      </c>
      <c r="E740" t="s">
        <v>26</v>
      </c>
      <c r="F740" t="s">
        <v>160</v>
      </c>
      <c r="G740">
        <v>44342</v>
      </c>
      <c r="H740">
        <v>44489</v>
      </c>
      <c r="I740" t="s">
        <v>2899</v>
      </c>
      <c r="J740" t="s">
        <v>2900</v>
      </c>
      <c r="K740" t="s">
        <v>29</v>
      </c>
      <c r="L740" t="s">
        <v>91</v>
      </c>
      <c r="M740" t="s">
        <v>22</v>
      </c>
    </row>
    <row r="741" spans="1:13" hidden="1" x14ac:dyDescent="0.3">
      <c r="A741" t="s">
        <v>2901</v>
      </c>
      <c r="B741" t="s">
        <v>2414</v>
      </c>
      <c r="C741" t="s">
        <v>40</v>
      </c>
      <c r="D741" t="s">
        <v>34</v>
      </c>
      <c r="E741" t="s">
        <v>26</v>
      </c>
      <c r="F741" t="s">
        <v>18</v>
      </c>
      <c r="G741">
        <v>45063</v>
      </c>
      <c r="H741">
        <v>45117</v>
      </c>
      <c r="I741" t="s">
        <v>2902</v>
      </c>
      <c r="J741" t="s">
        <v>2903</v>
      </c>
      <c r="K741" t="s">
        <v>90</v>
      </c>
      <c r="M741" t="s">
        <v>3735</v>
      </c>
    </row>
    <row r="742" spans="1:13" x14ac:dyDescent="0.3">
      <c r="A742" t="s">
        <v>2904</v>
      </c>
      <c r="B742" t="s">
        <v>2905</v>
      </c>
      <c r="C742" t="s">
        <v>87</v>
      </c>
      <c r="D742" t="s">
        <v>25</v>
      </c>
      <c r="E742" t="s">
        <v>26</v>
      </c>
      <c r="F742" t="s">
        <v>160</v>
      </c>
      <c r="G742">
        <v>44446</v>
      </c>
      <c r="H742">
        <v>44699</v>
      </c>
      <c r="I742" t="s">
        <v>2906</v>
      </c>
      <c r="J742" t="s">
        <v>2907</v>
      </c>
      <c r="K742" t="s">
        <v>37</v>
      </c>
      <c r="L742" t="s">
        <v>30</v>
      </c>
      <c r="M742" t="s">
        <v>22</v>
      </c>
    </row>
    <row r="743" spans="1:13" hidden="1" x14ac:dyDescent="0.3">
      <c r="A743" t="s">
        <v>2908</v>
      </c>
      <c r="B743" t="s">
        <v>2909</v>
      </c>
      <c r="C743" t="s">
        <v>40</v>
      </c>
      <c r="D743" t="s">
        <v>51</v>
      </c>
      <c r="E743" t="s">
        <v>52</v>
      </c>
      <c r="F743" t="s">
        <v>18</v>
      </c>
      <c r="G743">
        <v>45205</v>
      </c>
      <c r="H743">
        <v>45514</v>
      </c>
      <c r="I743" t="s">
        <v>2910</v>
      </c>
      <c r="J743" t="s">
        <v>2911</v>
      </c>
      <c r="K743" t="s">
        <v>37</v>
      </c>
      <c r="M743" t="s">
        <v>3735</v>
      </c>
    </row>
    <row r="744" spans="1:13" x14ac:dyDescent="0.3">
      <c r="A744" t="s">
        <v>2912</v>
      </c>
      <c r="B744" t="s">
        <v>2913</v>
      </c>
      <c r="C744" t="s">
        <v>40</v>
      </c>
      <c r="D744" t="s">
        <v>77</v>
      </c>
      <c r="E744" t="s">
        <v>52</v>
      </c>
      <c r="F744" t="s">
        <v>18</v>
      </c>
      <c r="G744">
        <v>44501</v>
      </c>
      <c r="H744">
        <v>44743</v>
      </c>
      <c r="I744" t="s">
        <v>2914</v>
      </c>
      <c r="J744" t="s">
        <v>1291</v>
      </c>
      <c r="K744" t="s">
        <v>90</v>
      </c>
      <c r="L744" t="s">
        <v>116</v>
      </c>
      <c r="M744" t="s">
        <v>22</v>
      </c>
    </row>
    <row r="745" spans="1:13" hidden="1" x14ac:dyDescent="0.3">
      <c r="A745" t="s">
        <v>2915</v>
      </c>
      <c r="B745" t="s">
        <v>2916</v>
      </c>
      <c r="C745" t="s">
        <v>46</v>
      </c>
      <c r="D745" t="s">
        <v>41</v>
      </c>
      <c r="E745" t="s">
        <v>17</v>
      </c>
      <c r="F745" t="s">
        <v>160</v>
      </c>
      <c r="G745">
        <v>44049</v>
      </c>
      <c r="I745" t="s">
        <v>2917</v>
      </c>
      <c r="J745" t="s">
        <v>95</v>
      </c>
      <c r="K745" t="s">
        <v>37</v>
      </c>
      <c r="L745" t="s">
        <v>91</v>
      </c>
      <c r="M745" t="s">
        <v>3735</v>
      </c>
    </row>
    <row r="746" spans="1:13" x14ac:dyDescent="0.3">
      <c r="A746" t="s">
        <v>2918</v>
      </c>
      <c r="B746" t="s">
        <v>2919</v>
      </c>
      <c r="C746" t="s">
        <v>33</v>
      </c>
      <c r="D746" t="s">
        <v>25</v>
      </c>
      <c r="E746" t="s">
        <v>26</v>
      </c>
      <c r="F746" t="s">
        <v>18</v>
      </c>
      <c r="G746">
        <v>44880</v>
      </c>
      <c r="H746">
        <v>45111</v>
      </c>
      <c r="I746" t="s">
        <v>2920</v>
      </c>
      <c r="J746" t="s">
        <v>2921</v>
      </c>
      <c r="K746" t="s">
        <v>90</v>
      </c>
      <c r="L746" t="s">
        <v>30</v>
      </c>
      <c r="M746" t="s">
        <v>22</v>
      </c>
    </row>
    <row r="747" spans="1:13" x14ac:dyDescent="0.3">
      <c r="A747" t="s">
        <v>2922</v>
      </c>
      <c r="B747" t="s">
        <v>2923</v>
      </c>
      <c r="C747" t="s">
        <v>87</v>
      </c>
      <c r="D747" t="s">
        <v>77</v>
      </c>
      <c r="E747" t="s">
        <v>52</v>
      </c>
      <c r="F747" t="s">
        <v>160</v>
      </c>
      <c r="G747">
        <v>45461</v>
      </c>
      <c r="H747">
        <v>45793</v>
      </c>
      <c r="I747" t="s">
        <v>2924</v>
      </c>
      <c r="J747" t="s">
        <v>2925</v>
      </c>
      <c r="K747" t="s">
        <v>29</v>
      </c>
      <c r="L747" t="s">
        <v>55</v>
      </c>
      <c r="M747" t="s">
        <v>22</v>
      </c>
    </row>
    <row r="748" spans="1:13" hidden="1" x14ac:dyDescent="0.3">
      <c r="A748" t="s">
        <v>2926</v>
      </c>
      <c r="B748" t="s">
        <v>2927</v>
      </c>
      <c r="C748" t="s">
        <v>76</v>
      </c>
      <c r="D748" t="s">
        <v>51</v>
      </c>
      <c r="E748" t="s">
        <v>52</v>
      </c>
      <c r="F748" t="s">
        <v>151</v>
      </c>
      <c r="G748">
        <v>45346</v>
      </c>
      <c r="H748">
        <v>45635</v>
      </c>
      <c r="I748" t="s">
        <v>2928</v>
      </c>
      <c r="J748" t="s">
        <v>2412</v>
      </c>
      <c r="K748" t="s">
        <v>29</v>
      </c>
      <c r="M748" t="s">
        <v>3735</v>
      </c>
    </row>
    <row r="749" spans="1:13" hidden="1" x14ac:dyDescent="0.3">
      <c r="A749" t="s">
        <v>2929</v>
      </c>
      <c r="B749" t="s">
        <v>2930</v>
      </c>
      <c r="C749" t="s">
        <v>46</v>
      </c>
      <c r="D749" t="s">
        <v>67</v>
      </c>
      <c r="E749" t="s">
        <v>26</v>
      </c>
      <c r="F749" t="s">
        <v>18</v>
      </c>
      <c r="G749">
        <v>43953</v>
      </c>
      <c r="H749">
        <v>44082</v>
      </c>
      <c r="I749" t="s">
        <v>2931</v>
      </c>
      <c r="J749" t="s">
        <v>2932</v>
      </c>
      <c r="K749" t="s">
        <v>29</v>
      </c>
      <c r="M749" t="s">
        <v>3735</v>
      </c>
    </row>
    <row r="750" spans="1:13" x14ac:dyDescent="0.3">
      <c r="A750" t="s">
        <v>2933</v>
      </c>
      <c r="B750" t="s">
        <v>2934</v>
      </c>
      <c r="C750" t="s">
        <v>46</v>
      </c>
      <c r="D750" t="s">
        <v>67</v>
      </c>
      <c r="E750" t="s">
        <v>26</v>
      </c>
      <c r="F750" t="s">
        <v>18</v>
      </c>
      <c r="G750">
        <v>44312</v>
      </c>
      <c r="H750">
        <v>44589</v>
      </c>
      <c r="I750" t="s">
        <v>2935</v>
      </c>
      <c r="J750" t="s">
        <v>2936</v>
      </c>
      <c r="K750" t="s">
        <v>29</v>
      </c>
      <c r="L750" t="s">
        <v>55</v>
      </c>
      <c r="M750" t="s">
        <v>22</v>
      </c>
    </row>
    <row r="751" spans="1:13" x14ac:dyDescent="0.3">
      <c r="A751" t="s">
        <v>2937</v>
      </c>
      <c r="B751" t="s">
        <v>2938</v>
      </c>
      <c r="C751" t="s">
        <v>87</v>
      </c>
      <c r="D751" t="s">
        <v>34</v>
      </c>
      <c r="E751" t="s">
        <v>26</v>
      </c>
      <c r="F751" t="s">
        <v>160</v>
      </c>
      <c r="G751">
        <v>45372</v>
      </c>
      <c r="H751">
        <v>45612</v>
      </c>
      <c r="I751" t="s">
        <v>2939</v>
      </c>
      <c r="J751" t="s">
        <v>2940</v>
      </c>
      <c r="K751" t="s">
        <v>37</v>
      </c>
      <c r="L751" t="s">
        <v>91</v>
      </c>
      <c r="M751" t="s">
        <v>22</v>
      </c>
    </row>
    <row r="752" spans="1:13" x14ac:dyDescent="0.3">
      <c r="A752" t="s">
        <v>2941</v>
      </c>
      <c r="B752" t="s">
        <v>2942</v>
      </c>
      <c r="C752" t="s">
        <v>15</v>
      </c>
      <c r="D752" t="s">
        <v>34</v>
      </c>
      <c r="E752" t="s">
        <v>26</v>
      </c>
      <c r="F752" t="s">
        <v>18</v>
      </c>
      <c r="G752">
        <v>45515</v>
      </c>
      <c r="H752">
        <v>45592</v>
      </c>
      <c r="I752" t="s">
        <v>2943</v>
      </c>
      <c r="J752" t="s">
        <v>2944</v>
      </c>
      <c r="K752" t="s">
        <v>21</v>
      </c>
      <c r="L752" t="s">
        <v>60</v>
      </c>
      <c r="M752" t="s">
        <v>22</v>
      </c>
    </row>
    <row r="753" spans="1:13" x14ac:dyDescent="0.3">
      <c r="A753" t="s">
        <v>2945</v>
      </c>
      <c r="B753" t="s">
        <v>2946</v>
      </c>
      <c r="C753" t="s">
        <v>15</v>
      </c>
      <c r="D753" t="s">
        <v>34</v>
      </c>
      <c r="E753" t="s">
        <v>26</v>
      </c>
      <c r="F753" t="s">
        <v>18</v>
      </c>
      <c r="G753">
        <v>44522</v>
      </c>
      <c r="H753">
        <v>44685</v>
      </c>
      <c r="I753" t="s">
        <v>2947</v>
      </c>
      <c r="J753" t="s">
        <v>2948</v>
      </c>
      <c r="K753" t="s">
        <v>21</v>
      </c>
      <c r="L753" t="s">
        <v>91</v>
      </c>
      <c r="M753" t="s">
        <v>22</v>
      </c>
    </row>
    <row r="754" spans="1:13" x14ac:dyDescent="0.3">
      <c r="A754" t="s">
        <v>2949</v>
      </c>
      <c r="B754" t="s">
        <v>2950</v>
      </c>
      <c r="C754" t="s">
        <v>46</v>
      </c>
      <c r="D754" t="s">
        <v>77</v>
      </c>
      <c r="E754" t="s">
        <v>52</v>
      </c>
      <c r="F754" t="s">
        <v>18</v>
      </c>
      <c r="G754">
        <v>45613</v>
      </c>
      <c r="H754">
        <v>45904</v>
      </c>
      <c r="I754" t="s">
        <v>2951</v>
      </c>
      <c r="J754" t="s">
        <v>2952</v>
      </c>
      <c r="K754" t="s">
        <v>37</v>
      </c>
      <c r="L754" t="s">
        <v>55</v>
      </c>
      <c r="M754" t="s">
        <v>22</v>
      </c>
    </row>
    <row r="755" spans="1:13" x14ac:dyDescent="0.3">
      <c r="A755" t="s">
        <v>2953</v>
      </c>
      <c r="B755" t="s">
        <v>2954</v>
      </c>
      <c r="C755" t="s">
        <v>40</v>
      </c>
      <c r="D755" t="s">
        <v>34</v>
      </c>
      <c r="E755" t="s">
        <v>26</v>
      </c>
      <c r="F755" t="s">
        <v>18</v>
      </c>
      <c r="G755">
        <v>44041</v>
      </c>
      <c r="H755">
        <v>44285</v>
      </c>
      <c r="I755" t="s">
        <v>2955</v>
      </c>
      <c r="J755" t="s">
        <v>2956</v>
      </c>
      <c r="K755" t="s">
        <v>90</v>
      </c>
      <c r="L755" t="s">
        <v>116</v>
      </c>
      <c r="M755" t="s">
        <v>22</v>
      </c>
    </row>
    <row r="756" spans="1:13" x14ac:dyDescent="0.3">
      <c r="A756" t="s">
        <v>2957</v>
      </c>
      <c r="B756" t="s">
        <v>2958</v>
      </c>
      <c r="C756" t="s">
        <v>181</v>
      </c>
      <c r="D756" t="s">
        <v>25</v>
      </c>
      <c r="E756" t="s">
        <v>26</v>
      </c>
      <c r="F756" t="s">
        <v>160</v>
      </c>
      <c r="G756">
        <v>45467</v>
      </c>
      <c r="H756">
        <v>45480</v>
      </c>
      <c r="I756" t="s">
        <v>2959</v>
      </c>
      <c r="J756" t="s">
        <v>2960</v>
      </c>
      <c r="K756" t="s">
        <v>90</v>
      </c>
      <c r="L756" t="s">
        <v>30</v>
      </c>
      <c r="M756" t="s">
        <v>22</v>
      </c>
    </row>
    <row r="757" spans="1:13" x14ac:dyDescent="0.3">
      <c r="A757" t="s">
        <v>2961</v>
      </c>
      <c r="B757" t="s">
        <v>2962</v>
      </c>
      <c r="C757" t="s">
        <v>181</v>
      </c>
      <c r="D757" t="s">
        <v>16</v>
      </c>
      <c r="E757" t="s">
        <v>17</v>
      </c>
      <c r="F757" t="s">
        <v>160</v>
      </c>
      <c r="G757">
        <v>44556</v>
      </c>
      <c r="H757">
        <v>44703</v>
      </c>
      <c r="I757" t="s">
        <v>2963</v>
      </c>
      <c r="J757" t="s">
        <v>2964</v>
      </c>
      <c r="K757" t="s">
        <v>37</v>
      </c>
      <c r="L757" t="s">
        <v>30</v>
      </c>
      <c r="M757" t="s">
        <v>22</v>
      </c>
    </row>
    <row r="758" spans="1:13" x14ac:dyDescent="0.3">
      <c r="A758" t="s">
        <v>2965</v>
      </c>
      <c r="B758" t="s">
        <v>2966</v>
      </c>
      <c r="C758" t="s">
        <v>46</v>
      </c>
      <c r="D758" t="s">
        <v>34</v>
      </c>
      <c r="E758" t="s">
        <v>26</v>
      </c>
      <c r="F758" t="s">
        <v>160</v>
      </c>
      <c r="G758">
        <v>44064</v>
      </c>
      <c r="H758">
        <v>44311</v>
      </c>
      <c r="I758" t="s">
        <v>2967</v>
      </c>
      <c r="J758" t="s">
        <v>2968</v>
      </c>
      <c r="K758" t="s">
        <v>37</v>
      </c>
      <c r="L758" t="s">
        <v>30</v>
      </c>
      <c r="M758" t="s">
        <v>22</v>
      </c>
    </row>
    <row r="759" spans="1:13" x14ac:dyDescent="0.3">
      <c r="A759" t="s">
        <v>2969</v>
      </c>
      <c r="B759" t="s">
        <v>2970</v>
      </c>
      <c r="C759" t="s">
        <v>181</v>
      </c>
      <c r="D759" t="s">
        <v>51</v>
      </c>
      <c r="E759" t="s">
        <v>52</v>
      </c>
      <c r="F759" t="s">
        <v>18</v>
      </c>
      <c r="G759">
        <v>44074</v>
      </c>
      <c r="H759">
        <v>44091</v>
      </c>
      <c r="I759" t="s">
        <v>2971</v>
      </c>
      <c r="J759" t="s">
        <v>2972</v>
      </c>
      <c r="K759" t="s">
        <v>29</v>
      </c>
      <c r="L759" t="s">
        <v>30</v>
      </c>
      <c r="M759" t="s">
        <v>22</v>
      </c>
    </row>
    <row r="760" spans="1:13" x14ac:dyDescent="0.3">
      <c r="A760" t="s">
        <v>2973</v>
      </c>
      <c r="B760" t="s">
        <v>2974</v>
      </c>
      <c r="C760" t="s">
        <v>181</v>
      </c>
      <c r="D760" t="s">
        <v>77</v>
      </c>
      <c r="E760" t="s">
        <v>52</v>
      </c>
      <c r="F760" t="s">
        <v>18</v>
      </c>
      <c r="G760">
        <v>44361</v>
      </c>
      <c r="H760">
        <v>44654</v>
      </c>
      <c r="I760" t="s">
        <v>2975</v>
      </c>
      <c r="J760" t="s">
        <v>2976</v>
      </c>
      <c r="K760" t="s">
        <v>37</v>
      </c>
      <c r="L760" t="s">
        <v>30</v>
      </c>
      <c r="M760" t="s">
        <v>22</v>
      </c>
    </row>
    <row r="761" spans="1:13" hidden="1" x14ac:dyDescent="0.3">
      <c r="A761" t="s">
        <v>2977</v>
      </c>
      <c r="B761" t="s">
        <v>3721</v>
      </c>
      <c r="C761" t="s">
        <v>40</v>
      </c>
      <c r="D761" t="s">
        <v>25</v>
      </c>
      <c r="E761" t="s">
        <v>26</v>
      </c>
      <c r="F761" t="s">
        <v>18</v>
      </c>
      <c r="G761">
        <v>45018</v>
      </c>
      <c r="H761">
        <v>45185</v>
      </c>
      <c r="I761" t="s">
        <v>2978</v>
      </c>
      <c r="J761" t="s">
        <v>2979</v>
      </c>
      <c r="K761" t="s">
        <v>90</v>
      </c>
      <c r="L761" t="s">
        <v>55</v>
      </c>
      <c r="M761" t="s">
        <v>3735</v>
      </c>
    </row>
    <row r="762" spans="1:13" x14ac:dyDescent="0.3">
      <c r="A762" t="s">
        <v>2980</v>
      </c>
      <c r="B762" t="s">
        <v>2981</v>
      </c>
      <c r="C762" t="s">
        <v>46</v>
      </c>
      <c r="D762" t="s">
        <v>51</v>
      </c>
      <c r="E762" t="s">
        <v>52</v>
      </c>
      <c r="F762" t="s">
        <v>160</v>
      </c>
      <c r="G762">
        <v>45577</v>
      </c>
      <c r="H762">
        <v>45886</v>
      </c>
      <c r="I762" t="s">
        <v>2982</v>
      </c>
      <c r="J762" t="s">
        <v>2983</v>
      </c>
      <c r="K762" t="s">
        <v>21</v>
      </c>
      <c r="L762" t="s">
        <v>30</v>
      </c>
      <c r="M762" t="s">
        <v>22</v>
      </c>
    </row>
    <row r="763" spans="1:13" x14ac:dyDescent="0.3">
      <c r="A763" t="s">
        <v>2984</v>
      </c>
      <c r="B763" t="s">
        <v>2985</v>
      </c>
      <c r="C763" t="s">
        <v>46</v>
      </c>
      <c r="D763" t="s">
        <v>41</v>
      </c>
      <c r="E763" t="s">
        <v>17</v>
      </c>
      <c r="F763" t="s">
        <v>18</v>
      </c>
      <c r="G763">
        <v>44823</v>
      </c>
      <c r="H763">
        <v>45015</v>
      </c>
      <c r="I763" t="s">
        <v>2986</v>
      </c>
      <c r="J763" t="s">
        <v>2987</v>
      </c>
      <c r="K763" t="s">
        <v>37</v>
      </c>
      <c r="L763" t="s">
        <v>60</v>
      </c>
      <c r="M763" t="s">
        <v>22</v>
      </c>
    </row>
    <row r="764" spans="1:13" x14ac:dyDescent="0.3">
      <c r="A764" t="s">
        <v>2988</v>
      </c>
      <c r="B764" t="s">
        <v>2989</v>
      </c>
      <c r="C764" t="s">
        <v>15</v>
      </c>
      <c r="D764" t="s">
        <v>16</v>
      </c>
      <c r="E764" t="s">
        <v>17</v>
      </c>
      <c r="F764" t="s">
        <v>18</v>
      </c>
      <c r="G764">
        <v>43971</v>
      </c>
      <c r="H764">
        <v>44151</v>
      </c>
      <c r="I764" t="s">
        <v>2990</v>
      </c>
      <c r="J764" t="s">
        <v>2991</v>
      </c>
      <c r="K764" t="s">
        <v>21</v>
      </c>
      <c r="L764" t="s">
        <v>55</v>
      </c>
      <c r="M764" t="s">
        <v>22</v>
      </c>
    </row>
    <row r="765" spans="1:13" x14ac:dyDescent="0.3">
      <c r="A765" t="s">
        <v>2992</v>
      </c>
      <c r="B765" t="s">
        <v>2993</v>
      </c>
      <c r="C765" t="s">
        <v>15</v>
      </c>
      <c r="D765" t="s">
        <v>16</v>
      </c>
      <c r="E765" t="s">
        <v>17</v>
      </c>
      <c r="F765" t="s">
        <v>18</v>
      </c>
      <c r="G765">
        <v>44754</v>
      </c>
      <c r="H765">
        <v>45117</v>
      </c>
      <c r="I765" t="s">
        <v>2994</v>
      </c>
      <c r="J765" t="s">
        <v>2995</v>
      </c>
      <c r="K765" t="s">
        <v>21</v>
      </c>
      <c r="L765" t="s">
        <v>60</v>
      </c>
      <c r="M765" t="s">
        <v>22</v>
      </c>
    </row>
    <row r="766" spans="1:13" x14ac:dyDescent="0.3">
      <c r="A766" t="s">
        <v>2996</v>
      </c>
      <c r="B766" t="s">
        <v>159</v>
      </c>
      <c r="C766" t="s">
        <v>181</v>
      </c>
      <c r="D766" t="s">
        <v>41</v>
      </c>
      <c r="E766" t="s">
        <v>17</v>
      </c>
      <c r="F766" t="s">
        <v>18</v>
      </c>
      <c r="G766">
        <v>45481</v>
      </c>
      <c r="H766">
        <v>45532</v>
      </c>
      <c r="I766" t="s">
        <v>2997</v>
      </c>
      <c r="J766" t="s">
        <v>2998</v>
      </c>
      <c r="K766" t="s">
        <v>29</v>
      </c>
      <c r="L766" t="s">
        <v>55</v>
      </c>
      <c r="M766" t="s">
        <v>22</v>
      </c>
    </row>
    <row r="767" spans="1:13" x14ac:dyDescent="0.3">
      <c r="A767" t="s">
        <v>2999</v>
      </c>
      <c r="B767" t="s">
        <v>3000</v>
      </c>
      <c r="C767" t="s">
        <v>181</v>
      </c>
      <c r="D767" t="s">
        <v>41</v>
      </c>
      <c r="E767" t="s">
        <v>17</v>
      </c>
      <c r="F767" t="s">
        <v>18</v>
      </c>
      <c r="G767">
        <v>44941</v>
      </c>
      <c r="H767">
        <v>45154</v>
      </c>
      <c r="I767" t="s">
        <v>3001</v>
      </c>
      <c r="J767" t="s">
        <v>3002</v>
      </c>
      <c r="K767" t="s">
        <v>37</v>
      </c>
      <c r="L767" t="s">
        <v>55</v>
      </c>
      <c r="M767" t="s">
        <v>22</v>
      </c>
    </row>
    <row r="768" spans="1:13" x14ac:dyDescent="0.3">
      <c r="A768" t="s">
        <v>3003</v>
      </c>
      <c r="B768" t="s">
        <v>3004</v>
      </c>
      <c r="C768" t="s">
        <v>76</v>
      </c>
      <c r="D768" t="s">
        <v>41</v>
      </c>
      <c r="E768" t="s">
        <v>17</v>
      </c>
      <c r="F768" t="s">
        <v>151</v>
      </c>
      <c r="G768">
        <v>45289</v>
      </c>
      <c r="H768">
        <v>45537</v>
      </c>
      <c r="I768" t="s">
        <v>3005</v>
      </c>
      <c r="J768" t="s">
        <v>3006</v>
      </c>
      <c r="K768" t="s">
        <v>21</v>
      </c>
      <c r="L768" t="s">
        <v>91</v>
      </c>
      <c r="M768" t="s">
        <v>22</v>
      </c>
    </row>
    <row r="769" spans="1:13" hidden="1" x14ac:dyDescent="0.3">
      <c r="A769" t="s">
        <v>3007</v>
      </c>
      <c r="B769" t="s">
        <v>3008</v>
      </c>
      <c r="C769" t="s">
        <v>46</v>
      </c>
      <c r="D769" t="s">
        <v>77</v>
      </c>
      <c r="E769" t="s">
        <v>52</v>
      </c>
      <c r="F769" t="s">
        <v>18</v>
      </c>
      <c r="G769">
        <v>45621</v>
      </c>
      <c r="H769">
        <v>45957</v>
      </c>
      <c r="I769" t="s">
        <v>3009</v>
      </c>
      <c r="J769" t="s">
        <v>3010</v>
      </c>
      <c r="K769" t="s">
        <v>21</v>
      </c>
      <c r="M769" t="s">
        <v>3735</v>
      </c>
    </row>
    <row r="770" spans="1:13" x14ac:dyDescent="0.3">
      <c r="A770" t="s">
        <v>3011</v>
      </c>
      <c r="B770" t="s">
        <v>2856</v>
      </c>
      <c r="C770" t="s">
        <v>33</v>
      </c>
      <c r="D770" t="s">
        <v>67</v>
      </c>
      <c r="E770" t="s">
        <v>26</v>
      </c>
      <c r="F770" t="s">
        <v>18</v>
      </c>
      <c r="G770">
        <v>45345</v>
      </c>
      <c r="H770">
        <v>45486</v>
      </c>
      <c r="I770" t="s">
        <v>3013</v>
      </c>
      <c r="J770" t="s">
        <v>3014</v>
      </c>
      <c r="K770" t="s">
        <v>37</v>
      </c>
      <c r="L770" t="s">
        <v>30</v>
      </c>
      <c r="M770" t="s">
        <v>22</v>
      </c>
    </row>
    <row r="771" spans="1:13" x14ac:dyDescent="0.3">
      <c r="A771" t="s">
        <v>3015</v>
      </c>
      <c r="B771" t="s">
        <v>3016</v>
      </c>
      <c r="C771" t="s">
        <v>87</v>
      </c>
      <c r="D771" t="s">
        <v>41</v>
      </c>
      <c r="E771" t="s">
        <v>17</v>
      </c>
      <c r="F771" t="s">
        <v>18</v>
      </c>
      <c r="G771">
        <v>43541</v>
      </c>
      <c r="H771">
        <v>43733</v>
      </c>
      <c r="I771" t="s">
        <v>3017</v>
      </c>
      <c r="J771" t="s">
        <v>3018</v>
      </c>
      <c r="K771" t="s">
        <v>90</v>
      </c>
      <c r="L771" t="s">
        <v>116</v>
      </c>
      <c r="M771" t="s">
        <v>22</v>
      </c>
    </row>
    <row r="772" spans="1:13" x14ac:dyDescent="0.3">
      <c r="A772" t="s">
        <v>3019</v>
      </c>
      <c r="B772" t="s">
        <v>3020</v>
      </c>
      <c r="C772" t="s">
        <v>33</v>
      </c>
      <c r="D772" t="s">
        <v>34</v>
      </c>
      <c r="E772" t="s">
        <v>26</v>
      </c>
      <c r="F772" t="s">
        <v>18</v>
      </c>
      <c r="G772">
        <v>44581</v>
      </c>
      <c r="H772">
        <v>44837</v>
      </c>
      <c r="I772" t="s">
        <v>3021</v>
      </c>
      <c r="J772" t="s">
        <v>3022</v>
      </c>
      <c r="K772" t="s">
        <v>21</v>
      </c>
      <c r="L772" t="s">
        <v>60</v>
      </c>
      <c r="M772" t="s">
        <v>22</v>
      </c>
    </row>
    <row r="773" spans="1:13" x14ac:dyDescent="0.3">
      <c r="A773" t="s">
        <v>3023</v>
      </c>
      <c r="B773" t="s">
        <v>3024</v>
      </c>
      <c r="C773" t="s">
        <v>33</v>
      </c>
      <c r="D773" t="s">
        <v>34</v>
      </c>
      <c r="E773" t="s">
        <v>26</v>
      </c>
      <c r="F773" t="s">
        <v>18</v>
      </c>
      <c r="G773">
        <v>44270</v>
      </c>
      <c r="H773">
        <v>45777</v>
      </c>
      <c r="I773" t="s">
        <v>3025</v>
      </c>
      <c r="J773" t="s">
        <v>3026</v>
      </c>
      <c r="K773" t="s">
        <v>37</v>
      </c>
      <c r="L773" t="s">
        <v>116</v>
      </c>
      <c r="M773" t="s">
        <v>22</v>
      </c>
    </row>
    <row r="774" spans="1:13" x14ac:dyDescent="0.3">
      <c r="A774" t="s">
        <v>3027</v>
      </c>
      <c r="B774" t="s">
        <v>3028</v>
      </c>
      <c r="C774" t="s">
        <v>181</v>
      </c>
      <c r="D774" t="s">
        <v>67</v>
      </c>
      <c r="E774" t="s">
        <v>26</v>
      </c>
      <c r="F774" t="s">
        <v>151</v>
      </c>
      <c r="G774">
        <v>44406</v>
      </c>
      <c r="H774">
        <v>44450</v>
      </c>
      <c r="I774" t="s">
        <v>3029</v>
      </c>
      <c r="J774" t="s">
        <v>3030</v>
      </c>
      <c r="K774" t="s">
        <v>21</v>
      </c>
      <c r="L774" t="s">
        <v>55</v>
      </c>
      <c r="M774" t="s">
        <v>22</v>
      </c>
    </row>
    <row r="775" spans="1:13" hidden="1" x14ac:dyDescent="0.3">
      <c r="A775" t="s">
        <v>3031</v>
      </c>
      <c r="B775" t="s">
        <v>3032</v>
      </c>
      <c r="C775" t="s">
        <v>15</v>
      </c>
      <c r="D775" t="s">
        <v>25</v>
      </c>
      <c r="E775" t="s">
        <v>26</v>
      </c>
      <c r="F775" t="s">
        <v>18</v>
      </c>
      <c r="G775">
        <v>45622</v>
      </c>
      <c r="H775">
        <v>45641</v>
      </c>
      <c r="I775" t="s">
        <v>3033</v>
      </c>
      <c r="K775" t="s">
        <v>21</v>
      </c>
      <c r="L775" t="s">
        <v>55</v>
      </c>
      <c r="M775" t="s">
        <v>3735</v>
      </c>
    </row>
    <row r="776" spans="1:13" hidden="1" x14ac:dyDescent="0.3">
      <c r="A776" t="s">
        <v>3034</v>
      </c>
      <c r="B776" t="s">
        <v>3721</v>
      </c>
      <c r="C776" t="s">
        <v>76</v>
      </c>
      <c r="D776" t="s">
        <v>25</v>
      </c>
      <c r="E776" t="s">
        <v>26</v>
      </c>
      <c r="F776" t="s">
        <v>151</v>
      </c>
      <c r="G776">
        <v>45404</v>
      </c>
      <c r="H776">
        <v>45684</v>
      </c>
      <c r="I776" t="s">
        <v>3035</v>
      </c>
      <c r="J776" t="s">
        <v>3036</v>
      </c>
      <c r="K776" t="s">
        <v>21</v>
      </c>
      <c r="L776" t="s">
        <v>91</v>
      </c>
      <c r="M776" t="s">
        <v>3735</v>
      </c>
    </row>
    <row r="777" spans="1:13" x14ac:dyDescent="0.3">
      <c r="A777" t="s">
        <v>3037</v>
      </c>
      <c r="B777" t="s">
        <v>3038</v>
      </c>
      <c r="C777" t="s">
        <v>87</v>
      </c>
      <c r="D777" t="s">
        <v>41</v>
      </c>
      <c r="E777" t="s">
        <v>17</v>
      </c>
      <c r="F777" t="s">
        <v>18</v>
      </c>
      <c r="G777">
        <v>44978</v>
      </c>
      <c r="H777">
        <v>45276</v>
      </c>
      <c r="I777" t="s">
        <v>3039</v>
      </c>
      <c r="J777" t="s">
        <v>3040</v>
      </c>
      <c r="K777" t="s">
        <v>21</v>
      </c>
      <c r="L777" t="s">
        <v>55</v>
      </c>
      <c r="M777" t="s">
        <v>22</v>
      </c>
    </row>
    <row r="778" spans="1:13" hidden="1" x14ac:dyDescent="0.3">
      <c r="A778" t="s">
        <v>3041</v>
      </c>
      <c r="B778" t="s">
        <v>3042</v>
      </c>
      <c r="C778" t="s">
        <v>46</v>
      </c>
      <c r="D778" t="s">
        <v>34</v>
      </c>
      <c r="E778" t="s">
        <v>26</v>
      </c>
      <c r="F778" t="s">
        <v>151</v>
      </c>
      <c r="G778">
        <v>45402</v>
      </c>
      <c r="H778">
        <v>45601</v>
      </c>
      <c r="I778" t="s">
        <v>3043</v>
      </c>
      <c r="J778" t="s">
        <v>3044</v>
      </c>
      <c r="K778" t="s">
        <v>37</v>
      </c>
      <c r="M778" t="s">
        <v>3735</v>
      </c>
    </row>
    <row r="779" spans="1:13" x14ac:dyDescent="0.3">
      <c r="A779" t="s">
        <v>3045</v>
      </c>
      <c r="B779" t="s">
        <v>3046</v>
      </c>
      <c r="C779" t="s">
        <v>181</v>
      </c>
      <c r="D779" t="s">
        <v>34</v>
      </c>
      <c r="E779" t="s">
        <v>26</v>
      </c>
      <c r="F779" t="s">
        <v>18</v>
      </c>
      <c r="G779">
        <v>45224</v>
      </c>
      <c r="H779">
        <v>45224</v>
      </c>
      <c r="I779" t="s">
        <v>3047</v>
      </c>
      <c r="J779" t="s">
        <v>3048</v>
      </c>
      <c r="K779" t="s">
        <v>37</v>
      </c>
      <c r="L779" t="s">
        <v>91</v>
      </c>
      <c r="M779" t="s">
        <v>22</v>
      </c>
    </row>
    <row r="780" spans="1:13" x14ac:dyDescent="0.3">
      <c r="A780" t="s">
        <v>3049</v>
      </c>
      <c r="B780" t="s">
        <v>3050</v>
      </c>
      <c r="C780" t="s">
        <v>76</v>
      </c>
      <c r="D780" t="s">
        <v>34</v>
      </c>
      <c r="E780" t="s">
        <v>26</v>
      </c>
      <c r="F780" t="s">
        <v>151</v>
      </c>
      <c r="G780">
        <v>43577</v>
      </c>
      <c r="H780">
        <v>43723</v>
      </c>
      <c r="I780" t="s">
        <v>3051</v>
      </c>
      <c r="J780" t="s">
        <v>3052</v>
      </c>
      <c r="K780" t="s">
        <v>37</v>
      </c>
      <c r="L780" t="s">
        <v>91</v>
      </c>
      <c r="M780" t="s">
        <v>22</v>
      </c>
    </row>
    <row r="781" spans="1:13" x14ac:dyDescent="0.3">
      <c r="A781" t="s">
        <v>3053</v>
      </c>
      <c r="B781" t="s">
        <v>3054</v>
      </c>
      <c r="C781" t="s">
        <v>76</v>
      </c>
      <c r="D781" t="s">
        <v>25</v>
      </c>
      <c r="E781" t="s">
        <v>26</v>
      </c>
      <c r="F781" t="s">
        <v>151</v>
      </c>
      <c r="G781">
        <v>43602</v>
      </c>
      <c r="H781">
        <v>43795</v>
      </c>
      <c r="I781" t="s">
        <v>3055</v>
      </c>
      <c r="J781" t="s">
        <v>3056</v>
      </c>
      <c r="K781" t="s">
        <v>37</v>
      </c>
      <c r="L781" t="s">
        <v>60</v>
      </c>
      <c r="M781" t="s">
        <v>22</v>
      </c>
    </row>
    <row r="782" spans="1:13" hidden="1" x14ac:dyDescent="0.3">
      <c r="A782" t="s">
        <v>3057</v>
      </c>
      <c r="B782" t="s">
        <v>3058</v>
      </c>
      <c r="C782" t="s">
        <v>76</v>
      </c>
      <c r="D782" t="s">
        <v>67</v>
      </c>
      <c r="E782" t="s">
        <v>26</v>
      </c>
      <c r="F782" t="s">
        <v>18</v>
      </c>
      <c r="G782">
        <v>44383</v>
      </c>
      <c r="H782">
        <v>44632</v>
      </c>
      <c r="I782" t="s">
        <v>3059</v>
      </c>
      <c r="K782" t="s">
        <v>29</v>
      </c>
      <c r="L782" t="s">
        <v>60</v>
      </c>
      <c r="M782" t="s">
        <v>3735</v>
      </c>
    </row>
    <row r="783" spans="1:13" hidden="1" x14ac:dyDescent="0.3">
      <c r="A783" t="s">
        <v>3060</v>
      </c>
      <c r="B783" t="s">
        <v>3061</v>
      </c>
      <c r="C783" t="s">
        <v>33</v>
      </c>
      <c r="D783" t="s">
        <v>67</v>
      </c>
      <c r="E783" t="s">
        <v>26</v>
      </c>
      <c r="F783" t="s">
        <v>160</v>
      </c>
      <c r="G783">
        <v>45070</v>
      </c>
      <c r="H783">
        <v>45096</v>
      </c>
      <c r="I783" t="s">
        <v>3062</v>
      </c>
      <c r="J783" t="s">
        <v>551</v>
      </c>
      <c r="K783" t="s">
        <v>90</v>
      </c>
      <c r="M783" t="s">
        <v>3735</v>
      </c>
    </row>
    <row r="784" spans="1:13" hidden="1" x14ac:dyDescent="0.3">
      <c r="A784" t="s">
        <v>3063</v>
      </c>
      <c r="B784" t="s">
        <v>2796</v>
      </c>
      <c r="C784" t="s">
        <v>76</v>
      </c>
      <c r="D784" t="s">
        <v>25</v>
      </c>
      <c r="E784" t="s">
        <v>26</v>
      </c>
      <c r="F784" t="s">
        <v>18</v>
      </c>
      <c r="G784">
        <v>43622</v>
      </c>
      <c r="H784">
        <v>43901</v>
      </c>
      <c r="I784" t="s">
        <v>3064</v>
      </c>
      <c r="J784" t="s">
        <v>3065</v>
      </c>
      <c r="K784" t="s">
        <v>37</v>
      </c>
      <c r="M784" t="s">
        <v>3735</v>
      </c>
    </row>
    <row r="785" spans="1:13" x14ac:dyDescent="0.3">
      <c r="A785" t="s">
        <v>3066</v>
      </c>
      <c r="B785" t="s">
        <v>3067</v>
      </c>
      <c r="C785" t="s">
        <v>87</v>
      </c>
      <c r="D785" t="s">
        <v>41</v>
      </c>
      <c r="E785" t="s">
        <v>17</v>
      </c>
      <c r="F785" t="s">
        <v>18</v>
      </c>
      <c r="G785">
        <v>44601</v>
      </c>
      <c r="H785">
        <v>44853</v>
      </c>
      <c r="I785" t="s">
        <v>3068</v>
      </c>
      <c r="J785" t="s">
        <v>3069</v>
      </c>
      <c r="K785" t="s">
        <v>21</v>
      </c>
      <c r="L785" t="s">
        <v>91</v>
      </c>
      <c r="M785" t="s">
        <v>22</v>
      </c>
    </row>
    <row r="786" spans="1:13" x14ac:dyDescent="0.3">
      <c r="A786" t="s">
        <v>3070</v>
      </c>
      <c r="B786" t="s">
        <v>857</v>
      </c>
      <c r="C786" t="s">
        <v>46</v>
      </c>
      <c r="D786" t="s">
        <v>67</v>
      </c>
      <c r="E786" t="s">
        <v>26</v>
      </c>
      <c r="F786" t="s">
        <v>160</v>
      </c>
      <c r="G786">
        <v>44025</v>
      </c>
      <c r="H786">
        <v>44060</v>
      </c>
      <c r="I786" t="s">
        <v>858</v>
      </c>
      <c r="J786" t="s">
        <v>3071</v>
      </c>
      <c r="K786" t="s">
        <v>29</v>
      </c>
      <c r="L786" t="s">
        <v>91</v>
      </c>
      <c r="M786" t="s">
        <v>22</v>
      </c>
    </row>
    <row r="787" spans="1:13" x14ac:dyDescent="0.3">
      <c r="A787" t="s">
        <v>3072</v>
      </c>
      <c r="B787" t="s">
        <v>3073</v>
      </c>
      <c r="C787" t="s">
        <v>181</v>
      </c>
      <c r="D787" t="s">
        <v>41</v>
      </c>
      <c r="E787" t="s">
        <v>17</v>
      </c>
      <c r="F787" t="s">
        <v>18</v>
      </c>
      <c r="G787">
        <v>44489</v>
      </c>
      <c r="H787">
        <v>44608</v>
      </c>
      <c r="I787" t="s">
        <v>3074</v>
      </c>
      <c r="J787" t="s">
        <v>3075</v>
      </c>
      <c r="K787" t="s">
        <v>90</v>
      </c>
      <c r="L787" t="s">
        <v>91</v>
      </c>
      <c r="M787" t="s">
        <v>22</v>
      </c>
    </row>
    <row r="788" spans="1:13" x14ac:dyDescent="0.3">
      <c r="A788" t="s">
        <v>3076</v>
      </c>
      <c r="B788" t="s">
        <v>3077</v>
      </c>
      <c r="C788" t="s">
        <v>33</v>
      </c>
      <c r="D788" t="s">
        <v>41</v>
      </c>
      <c r="E788" t="s">
        <v>17</v>
      </c>
      <c r="F788" t="s">
        <v>160</v>
      </c>
      <c r="G788">
        <v>44772</v>
      </c>
      <c r="H788">
        <v>45067</v>
      </c>
      <c r="I788" t="s">
        <v>3078</v>
      </c>
      <c r="J788" t="s">
        <v>3079</v>
      </c>
      <c r="K788" t="s">
        <v>37</v>
      </c>
      <c r="L788" t="s">
        <v>116</v>
      </c>
      <c r="M788" t="s">
        <v>22</v>
      </c>
    </row>
    <row r="789" spans="1:13" x14ac:dyDescent="0.3">
      <c r="A789" t="s">
        <v>3080</v>
      </c>
      <c r="B789" t="s">
        <v>3729</v>
      </c>
      <c r="C789" t="s">
        <v>87</v>
      </c>
      <c r="D789" t="s">
        <v>41</v>
      </c>
      <c r="E789" t="s">
        <v>17</v>
      </c>
      <c r="F789" t="s">
        <v>151</v>
      </c>
      <c r="G789">
        <v>44725</v>
      </c>
      <c r="H789">
        <v>44789</v>
      </c>
      <c r="I789" t="s">
        <v>3082</v>
      </c>
      <c r="J789" t="s">
        <v>3083</v>
      </c>
      <c r="K789" t="s">
        <v>90</v>
      </c>
      <c r="L789" t="s">
        <v>30</v>
      </c>
      <c r="M789" t="s">
        <v>22</v>
      </c>
    </row>
    <row r="790" spans="1:13" x14ac:dyDescent="0.3">
      <c r="A790" t="s">
        <v>3084</v>
      </c>
      <c r="B790" t="s">
        <v>3085</v>
      </c>
      <c r="C790" t="s">
        <v>15</v>
      </c>
      <c r="D790" t="s">
        <v>41</v>
      </c>
      <c r="E790" t="s">
        <v>17</v>
      </c>
      <c r="F790" t="s">
        <v>18</v>
      </c>
      <c r="G790">
        <v>44997</v>
      </c>
      <c r="H790">
        <v>45076</v>
      </c>
      <c r="I790" t="s">
        <v>3086</v>
      </c>
      <c r="J790" t="s">
        <v>3087</v>
      </c>
      <c r="K790" t="s">
        <v>90</v>
      </c>
      <c r="L790" t="s">
        <v>55</v>
      </c>
      <c r="M790" t="s">
        <v>22</v>
      </c>
    </row>
    <row r="791" spans="1:13" x14ac:dyDescent="0.3">
      <c r="A791" t="s">
        <v>3088</v>
      </c>
      <c r="B791" t="s">
        <v>3089</v>
      </c>
      <c r="C791" t="s">
        <v>15</v>
      </c>
      <c r="D791" t="s">
        <v>41</v>
      </c>
      <c r="E791" t="s">
        <v>17</v>
      </c>
      <c r="F791" t="s">
        <v>18</v>
      </c>
      <c r="G791">
        <v>45409</v>
      </c>
      <c r="H791">
        <v>45663</v>
      </c>
      <c r="I791" t="s">
        <v>3090</v>
      </c>
      <c r="J791" t="s">
        <v>3091</v>
      </c>
      <c r="K791" t="s">
        <v>90</v>
      </c>
      <c r="L791" t="s">
        <v>60</v>
      </c>
      <c r="M791" t="s">
        <v>22</v>
      </c>
    </row>
    <row r="792" spans="1:13" x14ac:dyDescent="0.3">
      <c r="A792" t="s">
        <v>3092</v>
      </c>
      <c r="B792" t="s">
        <v>3093</v>
      </c>
      <c r="C792" t="s">
        <v>46</v>
      </c>
      <c r="D792" t="s">
        <v>77</v>
      </c>
      <c r="E792" t="s">
        <v>52</v>
      </c>
      <c r="F792" t="s">
        <v>18</v>
      </c>
      <c r="G792">
        <v>43814</v>
      </c>
      <c r="H792">
        <v>43970</v>
      </c>
      <c r="I792" t="s">
        <v>3094</v>
      </c>
      <c r="J792" t="s">
        <v>3095</v>
      </c>
      <c r="K792" t="s">
        <v>37</v>
      </c>
      <c r="L792" t="s">
        <v>30</v>
      </c>
      <c r="M792" t="s">
        <v>22</v>
      </c>
    </row>
    <row r="793" spans="1:13" hidden="1" x14ac:dyDescent="0.3">
      <c r="A793" t="s">
        <v>3096</v>
      </c>
      <c r="B793" t="s">
        <v>3097</v>
      </c>
      <c r="C793" t="s">
        <v>46</v>
      </c>
      <c r="D793" t="s">
        <v>51</v>
      </c>
      <c r="E793" t="s">
        <v>52</v>
      </c>
      <c r="F793" t="s">
        <v>18</v>
      </c>
      <c r="G793">
        <v>44370</v>
      </c>
      <c r="H793">
        <v>44680</v>
      </c>
      <c r="I793" t="s">
        <v>3098</v>
      </c>
      <c r="J793" t="s">
        <v>3099</v>
      </c>
      <c r="K793" t="s">
        <v>37</v>
      </c>
      <c r="M793" t="s">
        <v>3735</v>
      </c>
    </row>
    <row r="794" spans="1:13" hidden="1" x14ac:dyDescent="0.3">
      <c r="A794" t="s">
        <v>3100</v>
      </c>
      <c r="B794" t="s">
        <v>192</v>
      </c>
      <c r="C794" t="s">
        <v>46</v>
      </c>
      <c r="D794" t="s">
        <v>51</v>
      </c>
      <c r="E794" t="s">
        <v>52</v>
      </c>
      <c r="F794" t="s">
        <v>18</v>
      </c>
      <c r="G794">
        <v>43908</v>
      </c>
      <c r="H794">
        <v>44154</v>
      </c>
      <c r="I794" t="s">
        <v>3101</v>
      </c>
      <c r="J794" t="s">
        <v>3102</v>
      </c>
      <c r="K794" t="s">
        <v>29</v>
      </c>
      <c r="M794" t="s">
        <v>3735</v>
      </c>
    </row>
    <row r="795" spans="1:13" x14ac:dyDescent="0.3">
      <c r="A795" t="s">
        <v>3103</v>
      </c>
      <c r="B795" t="s">
        <v>3104</v>
      </c>
      <c r="C795" t="s">
        <v>40</v>
      </c>
      <c r="D795" t="s">
        <v>16</v>
      </c>
      <c r="E795" t="s">
        <v>17</v>
      </c>
      <c r="F795" t="s">
        <v>160</v>
      </c>
      <c r="G795">
        <v>44385</v>
      </c>
      <c r="H795">
        <v>44395</v>
      </c>
      <c r="I795" t="s">
        <v>3105</v>
      </c>
      <c r="J795" t="s">
        <v>3106</v>
      </c>
      <c r="K795" t="s">
        <v>90</v>
      </c>
      <c r="L795" t="s">
        <v>30</v>
      </c>
      <c r="M795" t="s">
        <v>22</v>
      </c>
    </row>
    <row r="796" spans="1:13" hidden="1" x14ac:dyDescent="0.3">
      <c r="A796" t="s">
        <v>3107</v>
      </c>
      <c r="B796" t="s">
        <v>3108</v>
      </c>
      <c r="C796" t="s">
        <v>46</v>
      </c>
      <c r="D796" t="s">
        <v>41</v>
      </c>
      <c r="E796" t="s">
        <v>17</v>
      </c>
      <c r="F796" t="s">
        <v>18</v>
      </c>
      <c r="G796">
        <v>45394</v>
      </c>
      <c r="H796">
        <v>45459</v>
      </c>
      <c r="I796" t="s">
        <v>3109</v>
      </c>
      <c r="J796" t="s">
        <v>3110</v>
      </c>
      <c r="K796" t="s">
        <v>29</v>
      </c>
      <c r="M796" t="s">
        <v>3735</v>
      </c>
    </row>
    <row r="797" spans="1:13" x14ac:dyDescent="0.3">
      <c r="A797" t="s">
        <v>3111</v>
      </c>
      <c r="B797" t="s">
        <v>3112</v>
      </c>
      <c r="C797" t="s">
        <v>76</v>
      </c>
      <c r="D797" t="s">
        <v>34</v>
      </c>
      <c r="E797" t="s">
        <v>26</v>
      </c>
      <c r="F797" t="s">
        <v>18</v>
      </c>
      <c r="G797">
        <v>44714</v>
      </c>
      <c r="H797">
        <v>44772</v>
      </c>
      <c r="I797" t="s">
        <v>3113</v>
      </c>
      <c r="J797" t="s">
        <v>3114</v>
      </c>
      <c r="K797" t="s">
        <v>90</v>
      </c>
      <c r="L797" t="s">
        <v>91</v>
      </c>
      <c r="M797" t="s">
        <v>22</v>
      </c>
    </row>
    <row r="798" spans="1:13" hidden="1" x14ac:dyDescent="0.3">
      <c r="A798" t="s">
        <v>3115</v>
      </c>
      <c r="B798" t="s">
        <v>3116</v>
      </c>
      <c r="C798" t="s">
        <v>181</v>
      </c>
      <c r="D798" t="s">
        <v>16</v>
      </c>
      <c r="E798" t="s">
        <v>17</v>
      </c>
      <c r="F798" t="s">
        <v>18</v>
      </c>
      <c r="G798">
        <v>44395</v>
      </c>
      <c r="H798">
        <v>44502</v>
      </c>
      <c r="I798" t="s">
        <v>704</v>
      </c>
      <c r="J798" t="s">
        <v>3117</v>
      </c>
      <c r="K798" t="s">
        <v>21</v>
      </c>
      <c r="M798" t="s">
        <v>3735</v>
      </c>
    </row>
    <row r="799" spans="1:13" hidden="1" x14ac:dyDescent="0.3">
      <c r="A799" t="s">
        <v>3118</v>
      </c>
      <c r="B799" t="s">
        <v>3119</v>
      </c>
      <c r="C799" t="s">
        <v>46</v>
      </c>
      <c r="D799" t="s">
        <v>41</v>
      </c>
      <c r="E799" t="s">
        <v>17</v>
      </c>
      <c r="F799" t="s">
        <v>18</v>
      </c>
      <c r="G799">
        <v>43681</v>
      </c>
      <c r="H799">
        <v>43732</v>
      </c>
      <c r="J799" t="s">
        <v>3120</v>
      </c>
      <c r="K799" t="s">
        <v>21</v>
      </c>
      <c r="L799" t="s">
        <v>60</v>
      </c>
      <c r="M799" t="s">
        <v>3735</v>
      </c>
    </row>
    <row r="800" spans="1:13" hidden="1" x14ac:dyDescent="0.3">
      <c r="A800" t="s">
        <v>3122</v>
      </c>
      <c r="B800" t="s">
        <v>3123</v>
      </c>
      <c r="C800" t="s">
        <v>40</v>
      </c>
      <c r="D800" t="s">
        <v>67</v>
      </c>
      <c r="E800" t="s">
        <v>26</v>
      </c>
      <c r="F800" t="s">
        <v>18</v>
      </c>
      <c r="G800">
        <v>43866</v>
      </c>
      <c r="H800">
        <v>44116</v>
      </c>
      <c r="I800" t="s">
        <v>417</v>
      </c>
      <c r="J800" t="s">
        <v>3124</v>
      </c>
      <c r="K800" t="s">
        <v>29</v>
      </c>
      <c r="L800" t="s">
        <v>30</v>
      </c>
      <c r="M800" t="s">
        <v>3735</v>
      </c>
    </row>
    <row r="801" spans="1:13" x14ac:dyDescent="0.3">
      <c r="A801" t="s">
        <v>3125</v>
      </c>
      <c r="B801" t="s">
        <v>3126</v>
      </c>
      <c r="C801" t="s">
        <v>76</v>
      </c>
      <c r="D801" t="s">
        <v>67</v>
      </c>
      <c r="E801" t="s">
        <v>26</v>
      </c>
      <c r="F801" t="s">
        <v>18</v>
      </c>
      <c r="G801">
        <v>45556</v>
      </c>
      <c r="H801">
        <v>45762</v>
      </c>
      <c r="I801" t="s">
        <v>3127</v>
      </c>
      <c r="J801" t="s">
        <v>3128</v>
      </c>
      <c r="K801" t="s">
        <v>90</v>
      </c>
      <c r="L801" t="s">
        <v>116</v>
      </c>
      <c r="M801" t="s">
        <v>22</v>
      </c>
    </row>
    <row r="802" spans="1:13" x14ac:dyDescent="0.3">
      <c r="A802" t="s">
        <v>3129</v>
      </c>
      <c r="B802" t="s">
        <v>3130</v>
      </c>
      <c r="C802" t="s">
        <v>46</v>
      </c>
      <c r="D802" t="s">
        <v>34</v>
      </c>
      <c r="E802" t="s">
        <v>26</v>
      </c>
      <c r="F802" t="s">
        <v>18</v>
      </c>
      <c r="G802">
        <v>43980</v>
      </c>
      <c r="H802">
        <v>44135</v>
      </c>
      <c r="I802" t="s">
        <v>3131</v>
      </c>
      <c r="J802" t="s">
        <v>3132</v>
      </c>
      <c r="K802" t="s">
        <v>21</v>
      </c>
      <c r="L802" t="s">
        <v>60</v>
      </c>
      <c r="M802" t="s">
        <v>22</v>
      </c>
    </row>
    <row r="803" spans="1:13" x14ac:dyDescent="0.3">
      <c r="A803" t="s">
        <v>3133</v>
      </c>
      <c r="B803" t="s">
        <v>3134</v>
      </c>
      <c r="C803" t="s">
        <v>87</v>
      </c>
      <c r="D803" t="s">
        <v>16</v>
      </c>
      <c r="E803" t="s">
        <v>17</v>
      </c>
      <c r="F803" t="s">
        <v>18</v>
      </c>
      <c r="G803">
        <v>45164</v>
      </c>
      <c r="H803">
        <v>45375</v>
      </c>
      <c r="I803" t="s">
        <v>3135</v>
      </c>
      <c r="J803" t="s">
        <v>3065</v>
      </c>
      <c r="K803" t="s">
        <v>29</v>
      </c>
      <c r="L803" t="s">
        <v>91</v>
      </c>
      <c r="M803" t="s">
        <v>22</v>
      </c>
    </row>
    <row r="804" spans="1:13" x14ac:dyDescent="0.3">
      <c r="A804" t="s">
        <v>3136</v>
      </c>
      <c r="B804" t="s">
        <v>3137</v>
      </c>
      <c r="C804" t="s">
        <v>33</v>
      </c>
      <c r="D804" t="s">
        <v>16</v>
      </c>
      <c r="E804" t="s">
        <v>17</v>
      </c>
      <c r="F804" t="s">
        <v>18</v>
      </c>
      <c r="G804">
        <v>44026</v>
      </c>
      <c r="H804">
        <v>44291</v>
      </c>
      <c r="I804" t="s">
        <v>3138</v>
      </c>
      <c r="J804" t="s">
        <v>3139</v>
      </c>
      <c r="K804" t="s">
        <v>21</v>
      </c>
      <c r="L804" t="s">
        <v>30</v>
      </c>
      <c r="M804" t="s">
        <v>22</v>
      </c>
    </row>
    <row r="805" spans="1:13" x14ac:dyDescent="0.3">
      <c r="A805" t="s">
        <v>3140</v>
      </c>
      <c r="B805" t="s">
        <v>3141</v>
      </c>
      <c r="C805" t="s">
        <v>87</v>
      </c>
      <c r="D805" t="s">
        <v>77</v>
      </c>
      <c r="E805" t="s">
        <v>52</v>
      </c>
      <c r="F805" t="s">
        <v>18</v>
      </c>
      <c r="G805">
        <v>44017</v>
      </c>
      <c r="H805">
        <v>44145</v>
      </c>
      <c r="I805" t="s">
        <v>3142</v>
      </c>
      <c r="J805" t="s">
        <v>3143</v>
      </c>
      <c r="K805" t="s">
        <v>21</v>
      </c>
      <c r="L805" t="s">
        <v>91</v>
      </c>
      <c r="M805" t="s">
        <v>22</v>
      </c>
    </row>
    <row r="806" spans="1:13" hidden="1" x14ac:dyDescent="0.3">
      <c r="A806" t="s">
        <v>3144</v>
      </c>
      <c r="B806" t="s">
        <v>3145</v>
      </c>
      <c r="C806" t="s">
        <v>76</v>
      </c>
      <c r="D806" t="s">
        <v>67</v>
      </c>
      <c r="E806" t="s">
        <v>26</v>
      </c>
      <c r="F806" t="s">
        <v>18</v>
      </c>
      <c r="G806">
        <v>45474</v>
      </c>
      <c r="H806">
        <v>45636</v>
      </c>
      <c r="I806" t="s">
        <v>3146</v>
      </c>
      <c r="J806" t="s">
        <v>1611</v>
      </c>
      <c r="K806" t="s">
        <v>90</v>
      </c>
      <c r="M806" t="s">
        <v>3735</v>
      </c>
    </row>
    <row r="807" spans="1:13" x14ac:dyDescent="0.3">
      <c r="A807" t="s">
        <v>3147</v>
      </c>
      <c r="B807" t="s">
        <v>3148</v>
      </c>
      <c r="C807" t="s">
        <v>46</v>
      </c>
      <c r="D807" t="s">
        <v>67</v>
      </c>
      <c r="E807" t="s">
        <v>26</v>
      </c>
      <c r="F807" t="s">
        <v>18</v>
      </c>
      <c r="G807">
        <v>44339</v>
      </c>
      <c r="H807">
        <v>44362</v>
      </c>
      <c r="I807" t="s">
        <v>3149</v>
      </c>
      <c r="J807" t="s">
        <v>3150</v>
      </c>
      <c r="K807" t="s">
        <v>29</v>
      </c>
      <c r="L807" t="s">
        <v>60</v>
      </c>
      <c r="M807" t="s">
        <v>22</v>
      </c>
    </row>
    <row r="808" spans="1:13" x14ac:dyDescent="0.3">
      <c r="A808" t="s">
        <v>3151</v>
      </c>
      <c r="B808" t="s">
        <v>3152</v>
      </c>
      <c r="C808" t="s">
        <v>33</v>
      </c>
      <c r="D808" t="s">
        <v>77</v>
      </c>
      <c r="E808" t="s">
        <v>52</v>
      </c>
      <c r="F808" t="s">
        <v>18</v>
      </c>
      <c r="G808">
        <v>44765</v>
      </c>
      <c r="H808">
        <v>45128</v>
      </c>
      <c r="I808" t="s">
        <v>3153</v>
      </c>
      <c r="J808" t="s">
        <v>3154</v>
      </c>
      <c r="K808" t="s">
        <v>37</v>
      </c>
      <c r="L808" t="s">
        <v>116</v>
      </c>
      <c r="M808" t="s">
        <v>22</v>
      </c>
    </row>
    <row r="809" spans="1:13" x14ac:dyDescent="0.3">
      <c r="A809" t="s">
        <v>3155</v>
      </c>
      <c r="B809" t="s">
        <v>3156</v>
      </c>
      <c r="C809" t="s">
        <v>40</v>
      </c>
      <c r="D809" t="s">
        <v>16</v>
      </c>
      <c r="E809" t="s">
        <v>17</v>
      </c>
      <c r="F809" t="s">
        <v>18</v>
      </c>
      <c r="G809">
        <v>44349</v>
      </c>
      <c r="H809">
        <v>44576</v>
      </c>
      <c r="I809" t="s">
        <v>3157</v>
      </c>
      <c r="J809" t="s">
        <v>3158</v>
      </c>
      <c r="K809" t="s">
        <v>29</v>
      </c>
      <c r="L809" t="s">
        <v>55</v>
      </c>
      <c r="M809" t="s">
        <v>22</v>
      </c>
    </row>
    <row r="810" spans="1:13" x14ac:dyDescent="0.3">
      <c r="A810" t="s">
        <v>3159</v>
      </c>
      <c r="B810" t="s">
        <v>3160</v>
      </c>
      <c r="C810" t="s">
        <v>87</v>
      </c>
      <c r="D810" t="s">
        <v>25</v>
      </c>
      <c r="E810" t="s">
        <v>26</v>
      </c>
      <c r="F810" t="s">
        <v>160</v>
      </c>
      <c r="G810">
        <v>44159</v>
      </c>
      <c r="H810">
        <v>44338</v>
      </c>
      <c r="I810" t="s">
        <v>3161</v>
      </c>
      <c r="J810" t="s">
        <v>3162</v>
      </c>
      <c r="K810" t="s">
        <v>37</v>
      </c>
      <c r="L810" t="s">
        <v>30</v>
      </c>
      <c r="M810" t="s">
        <v>22</v>
      </c>
    </row>
    <row r="811" spans="1:13" hidden="1" x14ac:dyDescent="0.3">
      <c r="A811" t="s">
        <v>3163</v>
      </c>
      <c r="B811" t="s">
        <v>3164</v>
      </c>
      <c r="C811" t="s">
        <v>33</v>
      </c>
      <c r="D811" t="s">
        <v>51</v>
      </c>
      <c r="E811" t="s">
        <v>52</v>
      </c>
      <c r="F811" t="s">
        <v>18</v>
      </c>
      <c r="G811">
        <v>45597</v>
      </c>
      <c r="H811">
        <v>45902</v>
      </c>
      <c r="I811" t="s">
        <v>3165</v>
      </c>
      <c r="J811" t="s">
        <v>3166</v>
      </c>
      <c r="K811" t="s">
        <v>21</v>
      </c>
      <c r="M811" t="s">
        <v>3735</v>
      </c>
    </row>
    <row r="812" spans="1:13" x14ac:dyDescent="0.3">
      <c r="A812" t="s">
        <v>3167</v>
      </c>
      <c r="B812" t="s">
        <v>3168</v>
      </c>
      <c r="C812" t="s">
        <v>15</v>
      </c>
      <c r="D812" t="s">
        <v>41</v>
      </c>
      <c r="E812" t="s">
        <v>17</v>
      </c>
      <c r="F812" t="s">
        <v>160</v>
      </c>
      <c r="G812">
        <v>45345</v>
      </c>
      <c r="H812">
        <v>45693</v>
      </c>
      <c r="I812" t="s">
        <v>3169</v>
      </c>
      <c r="J812" t="s">
        <v>3170</v>
      </c>
      <c r="K812" t="s">
        <v>21</v>
      </c>
      <c r="L812" t="s">
        <v>60</v>
      </c>
      <c r="M812" t="s">
        <v>22</v>
      </c>
    </row>
    <row r="813" spans="1:13" x14ac:dyDescent="0.3">
      <c r="A813" t="s">
        <v>3171</v>
      </c>
      <c r="B813" t="s">
        <v>3172</v>
      </c>
      <c r="C813" t="s">
        <v>181</v>
      </c>
      <c r="D813" t="s">
        <v>67</v>
      </c>
      <c r="E813" t="s">
        <v>26</v>
      </c>
      <c r="F813" t="s">
        <v>18</v>
      </c>
      <c r="G813">
        <v>44161</v>
      </c>
      <c r="H813">
        <v>44498</v>
      </c>
      <c r="I813" t="s">
        <v>3173</v>
      </c>
      <c r="J813" t="s">
        <v>3174</v>
      </c>
      <c r="K813" t="s">
        <v>29</v>
      </c>
      <c r="L813" t="s">
        <v>60</v>
      </c>
      <c r="M813" t="s">
        <v>22</v>
      </c>
    </row>
    <row r="814" spans="1:13" x14ac:dyDescent="0.3">
      <c r="A814" t="s">
        <v>3175</v>
      </c>
      <c r="B814" t="s">
        <v>3176</v>
      </c>
      <c r="C814" t="s">
        <v>76</v>
      </c>
      <c r="D814" t="s">
        <v>34</v>
      </c>
      <c r="E814" t="s">
        <v>26</v>
      </c>
      <c r="F814" t="s">
        <v>18</v>
      </c>
      <c r="G814">
        <v>44581</v>
      </c>
      <c r="H814">
        <v>44725</v>
      </c>
      <c r="I814" t="s">
        <v>3177</v>
      </c>
      <c r="J814" t="s">
        <v>3178</v>
      </c>
      <c r="K814" t="s">
        <v>29</v>
      </c>
      <c r="L814" t="s">
        <v>55</v>
      </c>
      <c r="M814" t="s">
        <v>22</v>
      </c>
    </row>
    <row r="815" spans="1:13" x14ac:dyDescent="0.3">
      <c r="A815" t="s">
        <v>3179</v>
      </c>
      <c r="B815" t="s">
        <v>3180</v>
      </c>
      <c r="C815" t="s">
        <v>15</v>
      </c>
      <c r="D815" t="s">
        <v>51</v>
      </c>
      <c r="E815" t="s">
        <v>52</v>
      </c>
      <c r="F815" t="s">
        <v>18</v>
      </c>
      <c r="G815">
        <v>44186</v>
      </c>
      <c r="H815">
        <v>44515</v>
      </c>
      <c r="I815" t="s">
        <v>3181</v>
      </c>
      <c r="J815" t="s">
        <v>3182</v>
      </c>
      <c r="K815" t="s">
        <v>90</v>
      </c>
      <c r="L815" t="s">
        <v>60</v>
      </c>
      <c r="M815" t="s">
        <v>22</v>
      </c>
    </row>
    <row r="816" spans="1:13" x14ac:dyDescent="0.3">
      <c r="A816" t="s">
        <v>3183</v>
      </c>
      <c r="B816" t="s">
        <v>3184</v>
      </c>
      <c r="C816" t="s">
        <v>40</v>
      </c>
      <c r="D816" t="s">
        <v>77</v>
      </c>
      <c r="E816" t="s">
        <v>52</v>
      </c>
      <c r="F816" t="s">
        <v>160</v>
      </c>
      <c r="G816">
        <v>45503</v>
      </c>
      <c r="H816">
        <v>45514</v>
      </c>
      <c r="I816" t="s">
        <v>3185</v>
      </c>
      <c r="J816" t="s">
        <v>3186</v>
      </c>
      <c r="K816" t="s">
        <v>21</v>
      </c>
      <c r="L816" t="s">
        <v>55</v>
      </c>
      <c r="M816" t="s">
        <v>22</v>
      </c>
    </row>
    <row r="817" spans="1:13" x14ac:dyDescent="0.3">
      <c r="A817" t="s">
        <v>3187</v>
      </c>
      <c r="B817" t="s">
        <v>3188</v>
      </c>
      <c r="C817" t="s">
        <v>15</v>
      </c>
      <c r="D817" t="s">
        <v>77</v>
      </c>
      <c r="E817" t="s">
        <v>52</v>
      </c>
      <c r="F817" t="s">
        <v>160</v>
      </c>
      <c r="G817">
        <v>43573</v>
      </c>
      <c r="H817">
        <v>43884</v>
      </c>
      <c r="I817" t="s">
        <v>3189</v>
      </c>
      <c r="J817" t="s">
        <v>3190</v>
      </c>
      <c r="K817" t="s">
        <v>37</v>
      </c>
      <c r="L817" t="s">
        <v>116</v>
      </c>
      <c r="M817" t="s">
        <v>22</v>
      </c>
    </row>
    <row r="818" spans="1:13" x14ac:dyDescent="0.3">
      <c r="A818" t="s">
        <v>3191</v>
      </c>
      <c r="B818" t="s">
        <v>3192</v>
      </c>
      <c r="C818" t="s">
        <v>40</v>
      </c>
      <c r="D818" t="s">
        <v>25</v>
      </c>
      <c r="E818" t="s">
        <v>26</v>
      </c>
      <c r="F818" t="s">
        <v>151</v>
      </c>
      <c r="G818">
        <v>44474</v>
      </c>
      <c r="H818">
        <v>44770</v>
      </c>
      <c r="I818" t="s">
        <v>3193</v>
      </c>
      <c r="J818" t="s">
        <v>3194</v>
      </c>
      <c r="K818" t="s">
        <v>90</v>
      </c>
      <c r="L818" t="s">
        <v>30</v>
      </c>
      <c r="M818" t="s">
        <v>22</v>
      </c>
    </row>
    <row r="819" spans="1:13" x14ac:dyDescent="0.3">
      <c r="A819" t="s">
        <v>3195</v>
      </c>
      <c r="B819" t="s">
        <v>3730</v>
      </c>
      <c r="C819" t="s">
        <v>46</v>
      </c>
      <c r="D819" t="s">
        <v>67</v>
      </c>
      <c r="E819" t="s">
        <v>26</v>
      </c>
      <c r="F819" t="s">
        <v>18</v>
      </c>
      <c r="G819">
        <v>43833</v>
      </c>
      <c r="H819">
        <v>44035</v>
      </c>
      <c r="I819" t="s">
        <v>3197</v>
      </c>
      <c r="J819" t="s">
        <v>3198</v>
      </c>
      <c r="K819" t="s">
        <v>29</v>
      </c>
      <c r="L819" t="s">
        <v>30</v>
      </c>
      <c r="M819" t="s">
        <v>22</v>
      </c>
    </row>
    <row r="820" spans="1:13" x14ac:dyDescent="0.3">
      <c r="A820" t="s">
        <v>3199</v>
      </c>
      <c r="B820" t="s">
        <v>3200</v>
      </c>
      <c r="C820" t="s">
        <v>181</v>
      </c>
      <c r="D820" t="s">
        <v>51</v>
      </c>
      <c r="E820" t="s">
        <v>52</v>
      </c>
      <c r="F820" t="s">
        <v>160</v>
      </c>
      <c r="G820">
        <v>45275</v>
      </c>
      <c r="H820">
        <v>45334</v>
      </c>
      <c r="I820" t="s">
        <v>3201</v>
      </c>
      <c r="J820" t="s">
        <v>3202</v>
      </c>
      <c r="K820" t="s">
        <v>90</v>
      </c>
      <c r="L820" t="s">
        <v>91</v>
      </c>
      <c r="M820" t="s">
        <v>22</v>
      </c>
    </row>
    <row r="821" spans="1:13" x14ac:dyDescent="0.3">
      <c r="A821" t="s">
        <v>3203</v>
      </c>
      <c r="B821" t="s">
        <v>3204</v>
      </c>
      <c r="C821" t="s">
        <v>46</v>
      </c>
      <c r="D821" t="s">
        <v>25</v>
      </c>
      <c r="E821" t="s">
        <v>26</v>
      </c>
      <c r="F821" t="s">
        <v>18</v>
      </c>
      <c r="G821">
        <v>44307</v>
      </c>
      <c r="H821">
        <v>44659</v>
      </c>
      <c r="I821" t="s">
        <v>3205</v>
      </c>
      <c r="J821" t="s">
        <v>3206</v>
      </c>
      <c r="K821" t="s">
        <v>29</v>
      </c>
      <c r="L821" t="s">
        <v>60</v>
      </c>
      <c r="M821" t="s">
        <v>22</v>
      </c>
    </row>
    <row r="822" spans="1:13" x14ac:dyDescent="0.3">
      <c r="A822" t="s">
        <v>3207</v>
      </c>
      <c r="B822" t="s">
        <v>3208</v>
      </c>
      <c r="C822" t="s">
        <v>46</v>
      </c>
      <c r="D822" t="s">
        <v>77</v>
      </c>
      <c r="E822" t="s">
        <v>52</v>
      </c>
      <c r="F822" t="s">
        <v>18</v>
      </c>
      <c r="G822">
        <v>44888</v>
      </c>
      <c r="H822">
        <v>44927</v>
      </c>
      <c r="I822" t="s">
        <v>3209</v>
      </c>
      <c r="J822" t="s">
        <v>3210</v>
      </c>
      <c r="K822" t="s">
        <v>29</v>
      </c>
      <c r="L822" t="s">
        <v>30</v>
      </c>
      <c r="M822" t="s">
        <v>22</v>
      </c>
    </row>
    <row r="823" spans="1:13" x14ac:dyDescent="0.3">
      <c r="A823" t="s">
        <v>3211</v>
      </c>
      <c r="B823" t="s">
        <v>3212</v>
      </c>
      <c r="C823" t="s">
        <v>181</v>
      </c>
      <c r="D823" t="s">
        <v>67</v>
      </c>
      <c r="E823" t="s">
        <v>26</v>
      </c>
      <c r="F823" t="s">
        <v>18</v>
      </c>
      <c r="G823">
        <v>43876</v>
      </c>
      <c r="H823">
        <v>43930</v>
      </c>
      <c r="I823" t="s">
        <v>3213</v>
      </c>
      <c r="J823" t="s">
        <v>952</v>
      </c>
      <c r="K823" t="s">
        <v>29</v>
      </c>
      <c r="L823" t="s">
        <v>91</v>
      </c>
      <c r="M823" t="s">
        <v>22</v>
      </c>
    </row>
    <row r="824" spans="1:13" x14ac:dyDescent="0.3">
      <c r="A824" t="s">
        <v>3214</v>
      </c>
      <c r="B824" t="s">
        <v>184</v>
      </c>
      <c r="C824" t="s">
        <v>76</v>
      </c>
      <c r="D824" t="s">
        <v>67</v>
      </c>
      <c r="E824" t="s">
        <v>26</v>
      </c>
      <c r="F824" t="s">
        <v>18</v>
      </c>
      <c r="G824">
        <v>44231</v>
      </c>
      <c r="H824">
        <v>44418</v>
      </c>
      <c r="I824" t="s">
        <v>3215</v>
      </c>
      <c r="J824" t="s">
        <v>3216</v>
      </c>
      <c r="K824" t="s">
        <v>21</v>
      </c>
      <c r="L824" t="s">
        <v>60</v>
      </c>
      <c r="M824" t="s">
        <v>22</v>
      </c>
    </row>
    <row r="825" spans="1:13" hidden="1" x14ac:dyDescent="0.3">
      <c r="A825" t="s">
        <v>3217</v>
      </c>
      <c r="B825" t="s">
        <v>3218</v>
      </c>
      <c r="C825" t="s">
        <v>181</v>
      </c>
      <c r="D825" t="s">
        <v>25</v>
      </c>
      <c r="E825" t="s">
        <v>26</v>
      </c>
      <c r="F825" t="s">
        <v>18</v>
      </c>
      <c r="G825">
        <v>45335</v>
      </c>
      <c r="H825">
        <v>45474</v>
      </c>
      <c r="I825" t="s">
        <v>3219</v>
      </c>
      <c r="J825" t="s">
        <v>3220</v>
      </c>
      <c r="K825" t="s">
        <v>21</v>
      </c>
      <c r="M825" t="s">
        <v>3735</v>
      </c>
    </row>
    <row r="826" spans="1:13" hidden="1" x14ac:dyDescent="0.3">
      <c r="A826" t="s">
        <v>3221</v>
      </c>
      <c r="B826" t="s">
        <v>3222</v>
      </c>
      <c r="C826" t="s">
        <v>15</v>
      </c>
      <c r="D826" t="s">
        <v>77</v>
      </c>
      <c r="E826" t="s">
        <v>52</v>
      </c>
      <c r="F826" t="s">
        <v>18</v>
      </c>
      <c r="G826">
        <v>44936</v>
      </c>
      <c r="H826">
        <v>45106</v>
      </c>
      <c r="I826" t="s">
        <v>3223</v>
      </c>
      <c r="J826" t="s">
        <v>2770</v>
      </c>
      <c r="K826" t="s">
        <v>90</v>
      </c>
      <c r="M826" t="s">
        <v>3735</v>
      </c>
    </row>
    <row r="827" spans="1:13" x14ac:dyDescent="0.3">
      <c r="A827" t="s">
        <v>3224</v>
      </c>
      <c r="B827" t="s">
        <v>2985</v>
      </c>
      <c r="C827" t="s">
        <v>33</v>
      </c>
      <c r="D827" t="s">
        <v>34</v>
      </c>
      <c r="E827" t="s">
        <v>26</v>
      </c>
      <c r="F827" t="s">
        <v>18</v>
      </c>
      <c r="G827">
        <v>45301</v>
      </c>
      <c r="H827">
        <v>45391</v>
      </c>
      <c r="I827" t="s">
        <v>3225</v>
      </c>
      <c r="J827" t="s">
        <v>3226</v>
      </c>
      <c r="K827" t="s">
        <v>29</v>
      </c>
      <c r="L827" t="s">
        <v>91</v>
      </c>
      <c r="M827" t="s">
        <v>22</v>
      </c>
    </row>
    <row r="828" spans="1:13" x14ac:dyDescent="0.3">
      <c r="A828" t="s">
        <v>3227</v>
      </c>
      <c r="B828" t="s">
        <v>3228</v>
      </c>
      <c r="C828" t="s">
        <v>15</v>
      </c>
      <c r="D828" t="s">
        <v>41</v>
      </c>
      <c r="E828" t="s">
        <v>17</v>
      </c>
      <c r="F828" t="s">
        <v>18</v>
      </c>
      <c r="G828">
        <v>45265</v>
      </c>
      <c r="H828">
        <v>45580</v>
      </c>
      <c r="I828" t="s">
        <v>3229</v>
      </c>
      <c r="J828" t="s">
        <v>3230</v>
      </c>
      <c r="K828" t="s">
        <v>21</v>
      </c>
      <c r="L828" t="s">
        <v>55</v>
      </c>
      <c r="M828" t="s">
        <v>22</v>
      </c>
    </row>
    <row r="829" spans="1:13" x14ac:dyDescent="0.3">
      <c r="A829" t="s">
        <v>3231</v>
      </c>
      <c r="B829" t="s">
        <v>2364</v>
      </c>
      <c r="C829" t="s">
        <v>181</v>
      </c>
      <c r="D829" t="s">
        <v>25</v>
      </c>
      <c r="E829" t="s">
        <v>26</v>
      </c>
      <c r="F829" t="s">
        <v>151</v>
      </c>
      <c r="G829">
        <v>45102</v>
      </c>
      <c r="H829">
        <v>45282</v>
      </c>
      <c r="I829" t="s">
        <v>3232</v>
      </c>
      <c r="J829" t="s">
        <v>2416</v>
      </c>
      <c r="K829" t="s">
        <v>37</v>
      </c>
      <c r="L829" t="s">
        <v>91</v>
      </c>
      <c r="M829" t="s">
        <v>22</v>
      </c>
    </row>
    <row r="830" spans="1:13" x14ac:dyDescent="0.3">
      <c r="A830" t="s">
        <v>3233</v>
      </c>
      <c r="B830" t="s">
        <v>3234</v>
      </c>
      <c r="C830" t="s">
        <v>40</v>
      </c>
      <c r="D830" t="s">
        <v>34</v>
      </c>
      <c r="E830" t="s">
        <v>26</v>
      </c>
      <c r="F830" t="s">
        <v>18</v>
      </c>
      <c r="G830">
        <v>45276</v>
      </c>
      <c r="H830">
        <v>45488</v>
      </c>
      <c r="I830" t="s">
        <v>3235</v>
      </c>
      <c r="J830" t="s">
        <v>3236</v>
      </c>
      <c r="K830" t="s">
        <v>90</v>
      </c>
      <c r="L830" t="s">
        <v>116</v>
      </c>
      <c r="M830" t="s">
        <v>22</v>
      </c>
    </row>
    <row r="831" spans="1:13" hidden="1" x14ac:dyDescent="0.3">
      <c r="A831" t="s">
        <v>3237</v>
      </c>
      <c r="B831" t="s">
        <v>3238</v>
      </c>
      <c r="C831" t="s">
        <v>76</v>
      </c>
      <c r="D831" t="s">
        <v>67</v>
      </c>
      <c r="E831" t="s">
        <v>26</v>
      </c>
      <c r="F831" t="s">
        <v>18</v>
      </c>
      <c r="G831">
        <v>43983</v>
      </c>
      <c r="H831">
        <v>44225</v>
      </c>
      <c r="I831" t="s">
        <v>3239</v>
      </c>
      <c r="J831" t="s">
        <v>3240</v>
      </c>
      <c r="K831" t="s">
        <v>21</v>
      </c>
      <c r="M831" t="s">
        <v>3735</v>
      </c>
    </row>
    <row r="832" spans="1:13" x14ac:dyDescent="0.3">
      <c r="A832" t="s">
        <v>3241</v>
      </c>
      <c r="B832" t="s">
        <v>3242</v>
      </c>
      <c r="C832" t="s">
        <v>76</v>
      </c>
      <c r="D832" t="s">
        <v>34</v>
      </c>
      <c r="E832" t="s">
        <v>26</v>
      </c>
      <c r="F832" t="s">
        <v>18</v>
      </c>
      <c r="G832">
        <v>44145</v>
      </c>
      <c r="H832">
        <v>44408</v>
      </c>
      <c r="I832" t="s">
        <v>3243</v>
      </c>
      <c r="J832" t="s">
        <v>3244</v>
      </c>
      <c r="K832" t="s">
        <v>37</v>
      </c>
      <c r="L832" t="s">
        <v>55</v>
      </c>
      <c r="M832" t="s">
        <v>22</v>
      </c>
    </row>
    <row r="833" spans="1:13" x14ac:dyDescent="0.3">
      <c r="A833" t="s">
        <v>3245</v>
      </c>
      <c r="B833" t="s">
        <v>3246</v>
      </c>
      <c r="C833" t="s">
        <v>40</v>
      </c>
      <c r="D833" t="s">
        <v>16</v>
      </c>
      <c r="E833" t="s">
        <v>17</v>
      </c>
      <c r="F833" t="s">
        <v>18</v>
      </c>
      <c r="G833">
        <v>45209</v>
      </c>
      <c r="H833">
        <v>45528</v>
      </c>
      <c r="I833" t="s">
        <v>3247</v>
      </c>
      <c r="J833" t="s">
        <v>3248</v>
      </c>
      <c r="K833" t="s">
        <v>21</v>
      </c>
      <c r="L833" t="s">
        <v>91</v>
      </c>
      <c r="M833" t="s">
        <v>22</v>
      </c>
    </row>
    <row r="834" spans="1:13" x14ac:dyDescent="0.3">
      <c r="A834" t="s">
        <v>3249</v>
      </c>
      <c r="B834" t="s">
        <v>3250</v>
      </c>
      <c r="C834" t="s">
        <v>40</v>
      </c>
      <c r="D834" t="s">
        <v>25</v>
      </c>
      <c r="E834" t="s">
        <v>26</v>
      </c>
      <c r="F834" t="s">
        <v>160</v>
      </c>
      <c r="G834">
        <v>43934</v>
      </c>
      <c r="H834">
        <v>44269</v>
      </c>
      <c r="I834" t="s">
        <v>3251</v>
      </c>
      <c r="J834" t="s">
        <v>3252</v>
      </c>
      <c r="K834" t="s">
        <v>21</v>
      </c>
      <c r="L834" t="s">
        <v>30</v>
      </c>
      <c r="M834" t="s">
        <v>22</v>
      </c>
    </row>
    <row r="835" spans="1:13" x14ac:dyDescent="0.3">
      <c r="A835" t="s">
        <v>3253</v>
      </c>
      <c r="B835" t="s">
        <v>3254</v>
      </c>
      <c r="C835" t="s">
        <v>76</v>
      </c>
      <c r="D835" t="s">
        <v>77</v>
      </c>
      <c r="E835" t="s">
        <v>52</v>
      </c>
      <c r="F835" t="s">
        <v>18</v>
      </c>
      <c r="G835">
        <v>45365</v>
      </c>
      <c r="H835">
        <v>45688</v>
      </c>
      <c r="I835" t="s">
        <v>3255</v>
      </c>
      <c r="J835" t="s">
        <v>3256</v>
      </c>
      <c r="K835" t="s">
        <v>29</v>
      </c>
      <c r="L835" t="s">
        <v>30</v>
      </c>
      <c r="M835" t="s">
        <v>22</v>
      </c>
    </row>
    <row r="836" spans="1:13" x14ac:dyDescent="0.3">
      <c r="A836" t="s">
        <v>3257</v>
      </c>
      <c r="B836" t="s">
        <v>3258</v>
      </c>
      <c r="C836" t="s">
        <v>76</v>
      </c>
      <c r="D836" t="s">
        <v>25</v>
      </c>
      <c r="E836" t="s">
        <v>26</v>
      </c>
      <c r="F836" t="s">
        <v>18</v>
      </c>
      <c r="G836">
        <v>44534</v>
      </c>
      <c r="H836">
        <v>44716</v>
      </c>
      <c r="I836" t="s">
        <v>3259</v>
      </c>
      <c r="J836" t="s">
        <v>3260</v>
      </c>
      <c r="K836" t="s">
        <v>90</v>
      </c>
      <c r="L836" t="s">
        <v>60</v>
      </c>
      <c r="M836" t="s">
        <v>22</v>
      </c>
    </row>
    <row r="837" spans="1:13" x14ac:dyDescent="0.3">
      <c r="A837" t="s">
        <v>3261</v>
      </c>
      <c r="B837" t="s">
        <v>3262</v>
      </c>
      <c r="C837" t="s">
        <v>76</v>
      </c>
      <c r="D837" t="s">
        <v>51</v>
      </c>
      <c r="E837" t="s">
        <v>52</v>
      </c>
      <c r="F837" t="s">
        <v>18</v>
      </c>
      <c r="G837">
        <v>43896</v>
      </c>
      <c r="H837">
        <v>44154</v>
      </c>
      <c r="I837" t="s">
        <v>3263</v>
      </c>
      <c r="J837" t="s">
        <v>3264</v>
      </c>
      <c r="K837" t="s">
        <v>21</v>
      </c>
      <c r="L837" t="s">
        <v>55</v>
      </c>
      <c r="M837" t="s">
        <v>22</v>
      </c>
    </row>
    <row r="838" spans="1:13" hidden="1" x14ac:dyDescent="0.3">
      <c r="A838" t="s">
        <v>3265</v>
      </c>
      <c r="B838" t="s">
        <v>3266</v>
      </c>
      <c r="C838" t="s">
        <v>87</v>
      </c>
      <c r="D838" t="s">
        <v>77</v>
      </c>
      <c r="E838" t="s">
        <v>52</v>
      </c>
      <c r="F838" t="s">
        <v>18</v>
      </c>
      <c r="G838">
        <v>44569</v>
      </c>
      <c r="H838">
        <v>44873</v>
      </c>
      <c r="I838" t="s">
        <v>3267</v>
      </c>
      <c r="J838" t="s">
        <v>3268</v>
      </c>
      <c r="K838" t="s">
        <v>90</v>
      </c>
      <c r="M838" t="s">
        <v>3735</v>
      </c>
    </row>
    <row r="839" spans="1:13" x14ac:dyDescent="0.3">
      <c r="A839" t="s">
        <v>3269</v>
      </c>
      <c r="B839" t="s">
        <v>3270</v>
      </c>
      <c r="C839" t="s">
        <v>87</v>
      </c>
      <c r="D839" t="s">
        <v>77</v>
      </c>
      <c r="E839" t="s">
        <v>52</v>
      </c>
      <c r="F839" t="s">
        <v>18</v>
      </c>
      <c r="G839">
        <v>43813</v>
      </c>
      <c r="H839">
        <v>43971</v>
      </c>
      <c r="I839" t="s">
        <v>3271</v>
      </c>
      <c r="J839" t="s">
        <v>3272</v>
      </c>
      <c r="K839" t="s">
        <v>29</v>
      </c>
      <c r="L839" t="s">
        <v>55</v>
      </c>
      <c r="M839" t="s">
        <v>22</v>
      </c>
    </row>
    <row r="840" spans="1:13" hidden="1" x14ac:dyDescent="0.3">
      <c r="A840" t="s">
        <v>3273</v>
      </c>
      <c r="B840" t="s">
        <v>3274</v>
      </c>
      <c r="C840" t="s">
        <v>40</v>
      </c>
      <c r="D840" t="s">
        <v>51</v>
      </c>
      <c r="E840" t="s">
        <v>52</v>
      </c>
      <c r="F840" t="s">
        <v>18</v>
      </c>
      <c r="G840">
        <v>43750</v>
      </c>
      <c r="H840">
        <v>43892</v>
      </c>
      <c r="I840" t="s">
        <v>3275</v>
      </c>
      <c r="J840" t="s">
        <v>3276</v>
      </c>
      <c r="K840" t="s">
        <v>21</v>
      </c>
      <c r="M840" t="s">
        <v>3735</v>
      </c>
    </row>
    <row r="841" spans="1:13" hidden="1" x14ac:dyDescent="0.3">
      <c r="A841" t="s">
        <v>3277</v>
      </c>
      <c r="B841" t="s">
        <v>3278</v>
      </c>
      <c r="C841" t="s">
        <v>15</v>
      </c>
      <c r="D841" t="s">
        <v>34</v>
      </c>
      <c r="E841" t="s">
        <v>26</v>
      </c>
      <c r="F841" t="s">
        <v>18</v>
      </c>
      <c r="G841">
        <v>44031</v>
      </c>
      <c r="H841">
        <v>44368</v>
      </c>
      <c r="I841" t="s">
        <v>3279</v>
      </c>
      <c r="K841" t="s">
        <v>21</v>
      </c>
      <c r="M841" t="s">
        <v>3735</v>
      </c>
    </row>
    <row r="842" spans="1:13" x14ac:dyDescent="0.3">
      <c r="A842" t="s">
        <v>3280</v>
      </c>
      <c r="B842" t="s">
        <v>3126</v>
      </c>
      <c r="C842" t="s">
        <v>40</v>
      </c>
      <c r="D842" t="s">
        <v>51</v>
      </c>
      <c r="E842" t="s">
        <v>52</v>
      </c>
      <c r="F842" t="s">
        <v>18</v>
      </c>
      <c r="G842">
        <v>45454</v>
      </c>
      <c r="H842">
        <v>45746</v>
      </c>
      <c r="I842" t="s">
        <v>3281</v>
      </c>
      <c r="J842" t="s">
        <v>3282</v>
      </c>
      <c r="K842" t="s">
        <v>90</v>
      </c>
      <c r="L842" t="s">
        <v>55</v>
      </c>
      <c r="M842" t="s">
        <v>22</v>
      </c>
    </row>
    <row r="843" spans="1:13" x14ac:dyDescent="0.3">
      <c r="A843" t="s">
        <v>3283</v>
      </c>
      <c r="B843" t="s">
        <v>3284</v>
      </c>
      <c r="C843" t="s">
        <v>87</v>
      </c>
      <c r="D843" t="s">
        <v>34</v>
      </c>
      <c r="E843" t="s">
        <v>26</v>
      </c>
      <c r="F843" t="s">
        <v>151</v>
      </c>
      <c r="G843">
        <v>44179</v>
      </c>
      <c r="H843">
        <v>44364</v>
      </c>
      <c r="I843" t="s">
        <v>3285</v>
      </c>
      <c r="J843" t="s">
        <v>3286</v>
      </c>
      <c r="K843" t="s">
        <v>90</v>
      </c>
      <c r="L843" t="s">
        <v>55</v>
      </c>
      <c r="M843" t="s">
        <v>22</v>
      </c>
    </row>
    <row r="844" spans="1:13" x14ac:dyDescent="0.3">
      <c r="A844" t="s">
        <v>3287</v>
      </c>
      <c r="B844" t="s">
        <v>3288</v>
      </c>
      <c r="C844" t="s">
        <v>181</v>
      </c>
      <c r="D844" t="s">
        <v>67</v>
      </c>
      <c r="E844" t="s">
        <v>26</v>
      </c>
      <c r="F844" t="s">
        <v>18</v>
      </c>
      <c r="G844">
        <v>44544</v>
      </c>
      <c r="H844">
        <v>44797</v>
      </c>
      <c r="I844" t="s">
        <v>3289</v>
      </c>
      <c r="J844" t="s">
        <v>3290</v>
      </c>
      <c r="K844" t="s">
        <v>29</v>
      </c>
      <c r="L844" t="s">
        <v>116</v>
      </c>
      <c r="M844" t="s">
        <v>22</v>
      </c>
    </row>
    <row r="845" spans="1:13" x14ac:dyDescent="0.3">
      <c r="A845" t="s">
        <v>3291</v>
      </c>
      <c r="B845" t="s">
        <v>3292</v>
      </c>
      <c r="C845" t="s">
        <v>46</v>
      </c>
      <c r="D845" t="s">
        <v>51</v>
      </c>
      <c r="E845" t="s">
        <v>52</v>
      </c>
      <c r="F845" t="s">
        <v>151</v>
      </c>
      <c r="G845">
        <v>44578</v>
      </c>
      <c r="H845">
        <v>44648</v>
      </c>
      <c r="I845" t="s">
        <v>3293</v>
      </c>
      <c r="J845" t="s">
        <v>1784</v>
      </c>
      <c r="K845" t="s">
        <v>37</v>
      </c>
      <c r="L845" t="s">
        <v>60</v>
      </c>
      <c r="M845" t="s">
        <v>22</v>
      </c>
    </row>
    <row r="846" spans="1:13" x14ac:dyDescent="0.3">
      <c r="A846" t="s">
        <v>3294</v>
      </c>
      <c r="B846" t="s">
        <v>3295</v>
      </c>
      <c r="C846" t="s">
        <v>87</v>
      </c>
      <c r="D846" t="s">
        <v>41</v>
      </c>
      <c r="E846" t="s">
        <v>17</v>
      </c>
      <c r="F846" t="s">
        <v>18</v>
      </c>
      <c r="G846">
        <v>44285</v>
      </c>
      <c r="H846">
        <v>44606</v>
      </c>
      <c r="I846" t="s">
        <v>3296</v>
      </c>
      <c r="J846" t="s">
        <v>1103</v>
      </c>
      <c r="K846" t="s">
        <v>90</v>
      </c>
      <c r="L846" t="s">
        <v>60</v>
      </c>
      <c r="M846" t="s">
        <v>22</v>
      </c>
    </row>
    <row r="847" spans="1:13" x14ac:dyDescent="0.3">
      <c r="A847" t="s">
        <v>3297</v>
      </c>
      <c r="B847" t="s">
        <v>3298</v>
      </c>
      <c r="C847" t="s">
        <v>46</v>
      </c>
      <c r="D847" t="s">
        <v>77</v>
      </c>
      <c r="E847" t="s">
        <v>52</v>
      </c>
      <c r="F847" t="s">
        <v>160</v>
      </c>
      <c r="G847">
        <v>45292</v>
      </c>
      <c r="H847">
        <v>45373</v>
      </c>
      <c r="I847" t="s">
        <v>3299</v>
      </c>
      <c r="J847" t="s">
        <v>3300</v>
      </c>
      <c r="K847" t="s">
        <v>29</v>
      </c>
      <c r="L847" t="s">
        <v>55</v>
      </c>
      <c r="M847" t="s">
        <v>22</v>
      </c>
    </row>
    <row r="848" spans="1:13" x14ac:dyDescent="0.3">
      <c r="A848" t="s">
        <v>3301</v>
      </c>
      <c r="B848" t="s">
        <v>3302</v>
      </c>
      <c r="C848" t="s">
        <v>76</v>
      </c>
      <c r="D848" t="s">
        <v>67</v>
      </c>
      <c r="E848" t="s">
        <v>26</v>
      </c>
      <c r="F848" t="s">
        <v>18</v>
      </c>
      <c r="G848">
        <v>45247</v>
      </c>
      <c r="H848">
        <v>45586</v>
      </c>
      <c r="I848" t="s">
        <v>3303</v>
      </c>
      <c r="J848" t="s">
        <v>3304</v>
      </c>
      <c r="K848" t="s">
        <v>29</v>
      </c>
      <c r="L848" t="s">
        <v>116</v>
      </c>
      <c r="M848" t="s">
        <v>22</v>
      </c>
    </row>
    <row r="849" spans="1:13" hidden="1" x14ac:dyDescent="0.3">
      <c r="A849" t="s">
        <v>3305</v>
      </c>
      <c r="B849" t="s">
        <v>3306</v>
      </c>
      <c r="C849" t="s">
        <v>46</v>
      </c>
      <c r="D849" t="s">
        <v>25</v>
      </c>
      <c r="E849" t="s">
        <v>26</v>
      </c>
      <c r="F849" t="s">
        <v>151</v>
      </c>
      <c r="G849">
        <v>43870</v>
      </c>
      <c r="H849">
        <v>43979</v>
      </c>
      <c r="I849" t="s">
        <v>3307</v>
      </c>
      <c r="J849" t="s">
        <v>3308</v>
      </c>
      <c r="K849" t="s">
        <v>29</v>
      </c>
      <c r="M849" t="s">
        <v>3735</v>
      </c>
    </row>
    <row r="850" spans="1:13" x14ac:dyDescent="0.3">
      <c r="A850" t="s">
        <v>3309</v>
      </c>
      <c r="B850" t="s">
        <v>3310</v>
      </c>
      <c r="C850" t="s">
        <v>33</v>
      </c>
      <c r="D850" t="s">
        <v>51</v>
      </c>
      <c r="E850" t="s">
        <v>52</v>
      </c>
      <c r="F850" t="s">
        <v>18</v>
      </c>
      <c r="G850">
        <v>43608</v>
      </c>
      <c r="H850">
        <v>43948</v>
      </c>
      <c r="I850" t="s">
        <v>3311</v>
      </c>
      <c r="J850" t="s">
        <v>3095</v>
      </c>
      <c r="K850" t="s">
        <v>37</v>
      </c>
      <c r="L850" t="s">
        <v>116</v>
      </c>
      <c r="M850" t="s">
        <v>22</v>
      </c>
    </row>
    <row r="851" spans="1:13" hidden="1" x14ac:dyDescent="0.3">
      <c r="A851" t="s">
        <v>3312</v>
      </c>
      <c r="B851" t="s">
        <v>3313</v>
      </c>
      <c r="C851" t="s">
        <v>181</v>
      </c>
      <c r="D851" t="s">
        <v>67</v>
      </c>
      <c r="E851" t="s">
        <v>26</v>
      </c>
      <c r="F851" t="s">
        <v>18</v>
      </c>
      <c r="G851">
        <v>44604</v>
      </c>
      <c r="H851">
        <v>44704</v>
      </c>
      <c r="I851" t="s">
        <v>3314</v>
      </c>
      <c r="J851" t="s">
        <v>3315</v>
      </c>
      <c r="K851" t="s">
        <v>21</v>
      </c>
      <c r="M851" t="s">
        <v>3735</v>
      </c>
    </row>
    <row r="852" spans="1:13" x14ac:dyDescent="0.3">
      <c r="A852" t="s">
        <v>3316</v>
      </c>
      <c r="B852" t="s">
        <v>3317</v>
      </c>
      <c r="C852" t="s">
        <v>15</v>
      </c>
      <c r="D852" t="s">
        <v>16</v>
      </c>
      <c r="E852" t="s">
        <v>17</v>
      </c>
      <c r="F852" t="s">
        <v>18</v>
      </c>
      <c r="G852">
        <v>43599</v>
      </c>
      <c r="H852">
        <v>43739</v>
      </c>
      <c r="I852" t="s">
        <v>1532</v>
      </c>
      <c r="J852" t="s">
        <v>3318</v>
      </c>
      <c r="K852" t="s">
        <v>29</v>
      </c>
      <c r="L852" t="s">
        <v>55</v>
      </c>
      <c r="M852" t="s">
        <v>22</v>
      </c>
    </row>
    <row r="853" spans="1:13" x14ac:dyDescent="0.3">
      <c r="A853" t="s">
        <v>3319</v>
      </c>
      <c r="B853" t="s">
        <v>3320</v>
      </c>
      <c r="C853" t="s">
        <v>76</v>
      </c>
      <c r="D853" t="s">
        <v>77</v>
      </c>
      <c r="E853" t="s">
        <v>52</v>
      </c>
      <c r="F853" t="s">
        <v>18</v>
      </c>
      <c r="G853">
        <v>45429</v>
      </c>
      <c r="H853">
        <v>45785</v>
      </c>
      <c r="I853" t="s">
        <v>3321</v>
      </c>
      <c r="J853" t="s">
        <v>3322</v>
      </c>
      <c r="K853" t="s">
        <v>21</v>
      </c>
      <c r="L853" t="s">
        <v>55</v>
      </c>
      <c r="M853" t="s">
        <v>22</v>
      </c>
    </row>
    <row r="854" spans="1:13" x14ac:dyDescent="0.3">
      <c r="A854" t="s">
        <v>3323</v>
      </c>
      <c r="B854" t="s">
        <v>3324</v>
      </c>
      <c r="C854" t="s">
        <v>181</v>
      </c>
      <c r="D854" t="s">
        <v>77</v>
      </c>
      <c r="E854" t="s">
        <v>52</v>
      </c>
      <c r="F854" t="s">
        <v>18</v>
      </c>
      <c r="G854">
        <v>44472</v>
      </c>
      <c r="H854">
        <v>44727</v>
      </c>
      <c r="I854" t="s">
        <v>3325</v>
      </c>
      <c r="J854" t="s">
        <v>3326</v>
      </c>
      <c r="K854" t="s">
        <v>29</v>
      </c>
      <c r="L854" t="s">
        <v>30</v>
      </c>
      <c r="M854" t="s">
        <v>22</v>
      </c>
    </row>
    <row r="855" spans="1:13" x14ac:dyDescent="0.3">
      <c r="A855" t="s">
        <v>3327</v>
      </c>
      <c r="B855" t="s">
        <v>3328</v>
      </c>
      <c r="C855" t="s">
        <v>181</v>
      </c>
      <c r="D855" t="s">
        <v>34</v>
      </c>
      <c r="E855" t="s">
        <v>26</v>
      </c>
      <c r="F855" t="s">
        <v>160</v>
      </c>
      <c r="G855">
        <v>44980</v>
      </c>
      <c r="H855">
        <v>45177</v>
      </c>
      <c r="I855" t="s">
        <v>3329</v>
      </c>
      <c r="J855" t="s">
        <v>3330</v>
      </c>
      <c r="K855" t="s">
        <v>29</v>
      </c>
      <c r="L855" t="s">
        <v>116</v>
      </c>
      <c r="M855" t="s">
        <v>22</v>
      </c>
    </row>
    <row r="856" spans="1:13" x14ac:dyDescent="0.3">
      <c r="A856" t="s">
        <v>3331</v>
      </c>
      <c r="B856" t="s">
        <v>3332</v>
      </c>
      <c r="C856" t="s">
        <v>15</v>
      </c>
      <c r="D856" t="s">
        <v>67</v>
      </c>
      <c r="E856" t="s">
        <v>26</v>
      </c>
      <c r="F856" t="s">
        <v>18</v>
      </c>
      <c r="G856">
        <v>44219</v>
      </c>
      <c r="H856">
        <v>44332</v>
      </c>
      <c r="I856" t="s">
        <v>3333</v>
      </c>
      <c r="J856" t="s">
        <v>3334</v>
      </c>
      <c r="K856" t="s">
        <v>37</v>
      </c>
      <c r="L856" t="s">
        <v>60</v>
      </c>
      <c r="M856" t="s">
        <v>22</v>
      </c>
    </row>
    <row r="857" spans="1:13" hidden="1" x14ac:dyDescent="0.3">
      <c r="A857" t="s">
        <v>3335</v>
      </c>
      <c r="B857" t="s">
        <v>3336</v>
      </c>
      <c r="C857" t="s">
        <v>15</v>
      </c>
      <c r="D857" t="s">
        <v>51</v>
      </c>
      <c r="E857" t="s">
        <v>52</v>
      </c>
      <c r="F857" t="s">
        <v>18</v>
      </c>
      <c r="G857">
        <v>44398</v>
      </c>
      <c r="H857">
        <v>44530</v>
      </c>
      <c r="I857" t="s">
        <v>3337</v>
      </c>
      <c r="J857" t="s">
        <v>3338</v>
      </c>
      <c r="K857" t="s">
        <v>21</v>
      </c>
      <c r="M857" t="s">
        <v>3735</v>
      </c>
    </row>
    <row r="858" spans="1:13" x14ac:dyDescent="0.3">
      <c r="A858" t="s">
        <v>3339</v>
      </c>
      <c r="B858" t="s">
        <v>3340</v>
      </c>
      <c r="C858" t="s">
        <v>181</v>
      </c>
      <c r="D858" t="s">
        <v>41</v>
      </c>
      <c r="E858" t="s">
        <v>17</v>
      </c>
      <c r="F858" t="s">
        <v>18</v>
      </c>
      <c r="G858">
        <v>45114</v>
      </c>
      <c r="H858">
        <v>45259</v>
      </c>
      <c r="I858" t="s">
        <v>3341</v>
      </c>
      <c r="J858" t="s">
        <v>3342</v>
      </c>
      <c r="K858" t="s">
        <v>29</v>
      </c>
      <c r="L858" t="s">
        <v>30</v>
      </c>
      <c r="M858" t="s">
        <v>22</v>
      </c>
    </row>
    <row r="859" spans="1:13" x14ac:dyDescent="0.3">
      <c r="A859" t="s">
        <v>3343</v>
      </c>
      <c r="B859" t="s">
        <v>3344</v>
      </c>
      <c r="C859" t="s">
        <v>46</v>
      </c>
      <c r="D859" t="s">
        <v>51</v>
      </c>
      <c r="E859" t="s">
        <v>52</v>
      </c>
      <c r="F859" t="s">
        <v>151</v>
      </c>
      <c r="G859">
        <v>43952</v>
      </c>
      <c r="H859">
        <v>44260</v>
      </c>
      <c r="I859" t="s">
        <v>3345</v>
      </c>
      <c r="J859" t="s">
        <v>3346</v>
      </c>
      <c r="K859" t="s">
        <v>90</v>
      </c>
      <c r="L859" t="s">
        <v>116</v>
      </c>
      <c r="M859" t="s">
        <v>22</v>
      </c>
    </row>
    <row r="860" spans="1:13" x14ac:dyDescent="0.3">
      <c r="A860" t="s">
        <v>3347</v>
      </c>
      <c r="B860" t="s">
        <v>3348</v>
      </c>
      <c r="C860" t="s">
        <v>46</v>
      </c>
      <c r="D860" t="s">
        <v>67</v>
      </c>
      <c r="E860" t="s">
        <v>26</v>
      </c>
      <c r="F860" t="s">
        <v>18</v>
      </c>
      <c r="G860">
        <v>43573</v>
      </c>
      <c r="H860">
        <v>43618</v>
      </c>
      <c r="I860" t="s">
        <v>3349</v>
      </c>
      <c r="J860" t="s">
        <v>1930</v>
      </c>
      <c r="K860" t="s">
        <v>29</v>
      </c>
      <c r="L860" t="s">
        <v>30</v>
      </c>
      <c r="M860" t="s">
        <v>22</v>
      </c>
    </row>
    <row r="861" spans="1:13" x14ac:dyDescent="0.3">
      <c r="A861" t="s">
        <v>3350</v>
      </c>
      <c r="B861" t="s">
        <v>3351</v>
      </c>
      <c r="C861" t="s">
        <v>33</v>
      </c>
      <c r="D861" t="s">
        <v>25</v>
      </c>
      <c r="E861" t="s">
        <v>26</v>
      </c>
      <c r="F861" t="s">
        <v>18</v>
      </c>
      <c r="G861">
        <v>45493</v>
      </c>
      <c r="H861">
        <v>45798</v>
      </c>
      <c r="I861" t="s">
        <v>3352</v>
      </c>
      <c r="J861" t="s">
        <v>3353</v>
      </c>
      <c r="K861" t="s">
        <v>90</v>
      </c>
      <c r="L861" t="s">
        <v>60</v>
      </c>
      <c r="M861" t="s">
        <v>22</v>
      </c>
    </row>
    <row r="862" spans="1:13" x14ac:dyDescent="0.3">
      <c r="A862" t="s">
        <v>3354</v>
      </c>
      <c r="B862" t="s">
        <v>3355</v>
      </c>
      <c r="C862" t="s">
        <v>40</v>
      </c>
      <c r="D862" t="s">
        <v>67</v>
      </c>
      <c r="E862" t="s">
        <v>26</v>
      </c>
      <c r="F862" t="s">
        <v>18</v>
      </c>
      <c r="G862">
        <v>45304</v>
      </c>
      <c r="H862">
        <v>45423</v>
      </c>
      <c r="I862" t="s">
        <v>3356</v>
      </c>
      <c r="J862" t="s">
        <v>3357</v>
      </c>
      <c r="K862" t="s">
        <v>29</v>
      </c>
      <c r="L862" t="s">
        <v>30</v>
      </c>
      <c r="M862" t="s">
        <v>22</v>
      </c>
    </row>
    <row r="863" spans="1:13" x14ac:dyDescent="0.3">
      <c r="A863" t="s">
        <v>3358</v>
      </c>
      <c r="B863" t="s">
        <v>3359</v>
      </c>
      <c r="C863" t="s">
        <v>46</v>
      </c>
      <c r="D863" t="s">
        <v>51</v>
      </c>
      <c r="E863" t="s">
        <v>52</v>
      </c>
      <c r="F863" t="s">
        <v>18</v>
      </c>
      <c r="G863">
        <v>43754</v>
      </c>
      <c r="H863">
        <v>43909</v>
      </c>
      <c r="I863" t="s">
        <v>3360</v>
      </c>
      <c r="J863" t="s">
        <v>3361</v>
      </c>
      <c r="K863" t="s">
        <v>90</v>
      </c>
      <c r="L863" t="s">
        <v>60</v>
      </c>
      <c r="M863" t="s">
        <v>22</v>
      </c>
    </row>
    <row r="864" spans="1:13" x14ac:dyDescent="0.3">
      <c r="A864" t="s">
        <v>3362</v>
      </c>
      <c r="B864" t="s">
        <v>3363</v>
      </c>
      <c r="C864" t="s">
        <v>46</v>
      </c>
      <c r="D864" t="s">
        <v>67</v>
      </c>
      <c r="E864" t="s">
        <v>26</v>
      </c>
      <c r="F864" t="s">
        <v>151</v>
      </c>
      <c r="G864">
        <v>43736</v>
      </c>
      <c r="H864">
        <v>44038</v>
      </c>
      <c r="I864" t="s">
        <v>3364</v>
      </c>
      <c r="J864" t="s">
        <v>3365</v>
      </c>
      <c r="K864" t="s">
        <v>90</v>
      </c>
      <c r="L864" t="s">
        <v>30</v>
      </c>
      <c r="M864" t="s">
        <v>22</v>
      </c>
    </row>
    <row r="865" spans="1:13" x14ac:dyDescent="0.3">
      <c r="A865" t="s">
        <v>3366</v>
      </c>
      <c r="B865" t="s">
        <v>3367</v>
      </c>
      <c r="C865" t="s">
        <v>40</v>
      </c>
      <c r="D865" t="s">
        <v>41</v>
      </c>
      <c r="E865" t="s">
        <v>17</v>
      </c>
      <c r="F865" t="s">
        <v>18</v>
      </c>
      <c r="G865">
        <v>44204</v>
      </c>
      <c r="H865">
        <v>44245</v>
      </c>
      <c r="I865" t="s">
        <v>3368</v>
      </c>
      <c r="J865" t="s">
        <v>3369</v>
      </c>
      <c r="K865" t="s">
        <v>37</v>
      </c>
      <c r="L865" t="s">
        <v>116</v>
      </c>
      <c r="M865" t="s">
        <v>22</v>
      </c>
    </row>
    <row r="866" spans="1:13" x14ac:dyDescent="0.3">
      <c r="A866" t="s">
        <v>3370</v>
      </c>
      <c r="B866" t="s">
        <v>3371</v>
      </c>
      <c r="C866" t="s">
        <v>15</v>
      </c>
      <c r="D866" t="s">
        <v>25</v>
      </c>
      <c r="E866" t="s">
        <v>26</v>
      </c>
      <c r="F866" t="s">
        <v>18</v>
      </c>
      <c r="G866">
        <v>45131</v>
      </c>
      <c r="H866">
        <v>45242</v>
      </c>
      <c r="I866" t="s">
        <v>3372</v>
      </c>
      <c r="J866" t="s">
        <v>3373</v>
      </c>
      <c r="K866" t="s">
        <v>29</v>
      </c>
      <c r="L866" t="s">
        <v>55</v>
      </c>
      <c r="M866" t="s">
        <v>22</v>
      </c>
    </row>
    <row r="867" spans="1:13" x14ac:dyDescent="0.3">
      <c r="A867" t="s">
        <v>3374</v>
      </c>
      <c r="B867" t="s">
        <v>3375</v>
      </c>
      <c r="C867" t="s">
        <v>15</v>
      </c>
      <c r="D867" t="s">
        <v>16</v>
      </c>
      <c r="E867" t="s">
        <v>17</v>
      </c>
      <c r="F867" t="s">
        <v>18</v>
      </c>
      <c r="G867">
        <v>45440</v>
      </c>
      <c r="H867">
        <v>45749</v>
      </c>
      <c r="I867" t="s">
        <v>3376</v>
      </c>
      <c r="J867" t="s">
        <v>3377</v>
      </c>
      <c r="K867" t="s">
        <v>37</v>
      </c>
      <c r="L867" t="s">
        <v>30</v>
      </c>
      <c r="M867" t="s">
        <v>22</v>
      </c>
    </row>
    <row r="868" spans="1:13" x14ac:dyDescent="0.3">
      <c r="A868" t="s">
        <v>3378</v>
      </c>
      <c r="B868" t="s">
        <v>3379</v>
      </c>
      <c r="C868" t="s">
        <v>46</v>
      </c>
      <c r="D868" t="s">
        <v>77</v>
      </c>
      <c r="E868" t="s">
        <v>52</v>
      </c>
      <c r="F868" t="s">
        <v>18</v>
      </c>
      <c r="G868">
        <v>45369</v>
      </c>
      <c r="H868">
        <v>45707</v>
      </c>
      <c r="I868" t="s">
        <v>3380</v>
      </c>
      <c r="J868" t="s">
        <v>3381</v>
      </c>
      <c r="K868" t="s">
        <v>29</v>
      </c>
      <c r="L868" t="s">
        <v>116</v>
      </c>
      <c r="M868" t="s">
        <v>22</v>
      </c>
    </row>
    <row r="869" spans="1:13" x14ac:dyDescent="0.3">
      <c r="A869" t="s">
        <v>3382</v>
      </c>
      <c r="B869" t="s">
        <v>3383</v>
      </c>
      <c r="C869" t="s">
        <v>181</v>
      </c>
      <c r="D869" t="s">
        <v>67</v>
      </c>
      <c r="E869" t="s">
        <v>26</v>
      </c>
      <c r="F869" t="s">
        <v>160</v>
      </c>
      <c r="G869">
        <v>43842</v>
      </c>
      <c r="H869">
        <v>44138</v>
      </c>
      <c r="I869" t="s">
        <v>3384</v>
      </c>
      <c r="J869" t="s">
        <v>3385</v>
      </c>
      <c r="K869" t="s">
        <v>29</v>
      </c>
      <c r="L869" t="s">
        <v>60</v>
      </c>
      <c r="M869" t="s">
        <v>22</v>
      </c>
    </row>
    <row r="870" spans="1:13" hidden="1" x14ac:dyDescent="0.3">
      <c r="A870" t="s">
        <v>3386</v>
      </c>
      <c r="B870" t="s">
        <v>3387</v>
      </c>
      <c r="C870" t="s">
        <v>40</v>
      </c>
      <c r="D870" t="s">
        <v>67</v>
      </c>
      <c r="E870" t="s">
        <v>26</v>
      </c>
      <c r="F870" t="s">
        <v>18</v>
      </c>
      <c r="G870">
        <v>45354</v>
      </c>
      <c r="H870">
        <v>45680</v>
      </c>
      <c r="I870" t="s">
        <v>3388</v>
      </c>
      <c r="J870" t="s">
        <v>3389</v>
      </c>
      <c r="K870" t="s">
        <v>29</v>
      </c>
      <c r="M870" t="s">
        <v>3735</v>
      </c>
    </row>
    <row r="871" spans="1:13" x14ac:dyDescent="0.3">
      <c r="A871" t="s">
        <v>3390</v>
      </c>
      <c r="B871" t="s">
        <v>3391</v>
      </c>
      <c r="C871" t="s">
        <v>76</v>
      </c>
      <c r="D871" t="s">
        <v>34</v>
      </c>
      <c r="E871" t="s">
        <v>26</v>
      </c>
      <c r="F871" t="s">
        <v>160</v>
      </c>
      <c r="G871">
        <v>45028</v>
      </c>
      <c r="H871">
        <v>45068</v>
      </c>
      <c r="I871" t="s">
        <v>3392</v>
      </c>
      <c r="J871" t="s">
        <v>3393</v>
      </c>
      <c r="K871" t="s">
        <v>29</v>
      </c>
      <c r="L871" t="s">
        <v>30</v>
      </c>
      <c r="M871" t="s">
        <v>22</v>
      </c>
    </row>
    <row r="872" spans="1:13" x14ac:dyDescent="0.3">
      <c r="A872" t="s">
        <v>3394</v>
      </c>
      <c r="B872" t="s">
        <v>3395</v>
      </c>
      <c r="C872" t="s">
        <v>76</v>
      </c>
      <c r="D872" t="s">
        <v>16</v>
      </c>
      <c r="E872" t="s">
        <v>17</v>
      </c>
      <c r="F872" t="s">
        <v>160</v>
      </c>
      <c r="G872">
        <v>43502</v>
      </c>
      <c r="H872">
        <v>43744</v>
      </c>
      <c r="I872" t="s">
        <v>3396</v>
      </c>
      <c r="J872" t="s">
        <v>3397</v>
      </c>
      <c r="K872" t="s">
        <v>90</v>
      </c>
      <c r="L872" t="s">
        <v>55</v>
      </c>
      <c r="M872" t="s">
        <v>22</v>
      </c>
    </row>
    <row r="873" spans="1:13" x14ac:dyDescent="0.3">
      <c r="A873" t="s">
        <v>3398</v>
      </c>
      <c r="B873" t="s">
        <v>3399</v>
      </c>
      <c r="C873" t="s">
        <v>76</v>
      </c>
      <c r="D873" t="s">
        <v>25</v>
      </c>
      <c r="E873" t="s">
        <v>26</v>
      </c>
      <c r="F873" t="s">
        <v>18</v>
      </c>
      <c r="G873">
        <v>45535</v>
      </c>
      <c r="H873">
        <v>45843</v>
      </c>
      <c r="I873" t="s">
        <v>3400</v>
      </c>
      <c r="J873" t="s">
        <v>3401</v>
      </c>
      <c r="K873" t="s">
        <v>21</v>
      </c>
      <c r="L873" t="s">
        <v>55</v>
      </c>
      <c r="M873" t="s">
        <v>22</v>
      </c>
    </row>
    <row r="874" spans="1:13" x14ac:dyDescent="0.3">
      <c r="A874" t="s">
        <v>3402</v>
      </c>
      <c r="B874" t="s">
        <v>3403</v>
      </c>
      <c r="C874" t="s">
        <v>46</v>
      </c>
      <c r="D874" t="s">
        <v>25</v>
      </c>
      <c r="E874" t="s">
        <v>26</v>
      </c>
      <c r="F874" t="s">
        <v>18</v>
      </c>
      <c r="G874">
        <v>45092</v>
      </c>
      <c r="H874">
        <v>45385</v>
      </c>
      <c r="I874" t="s">
        <v>3404</v>
      </c>
      <c r="J874" t="s">
        <v>3405</v>
      </c>
      <c r="K874" t="s">
        <v>21</v>
      </c>
      <c r="L874" t="s">
        <v>91</v>
      </c>
      <c r="M874" t="s">
        <v>22</v>
      </c>
    </row>
    <row r="875" spans="1:13" x14ac:dyDescent="0.3">
      <c r="A875" t="s">
        <v>3407</v>
      </c>
      <c r="B875" t="s">
        <v>3408</v>
      </c>
      <c r="C875" t="s">
        <v>46</v>
      </c>
      <c r="D875" t="s">
        <v>41</v>
      </c>
      <c r="E875" t="s">
        <v>17</v>
      </c>
      <c r="F875" t="s">
        <v>151</v>
      </c>
      <c r="G875">
        <v>44702</v>
      </c>
      <c r="H875">
        <v>44705</v>
      </c>
      <c r="I875" t="s">
        <v>3409</v>
      </c>
      <c r="J875" t="s">
        <v>3410</v>
      </c>
      <c r="K875" t="s">
        <v>37</v>
      </c>
      <c r="L875" t="s">
        <v>116</v>
      </c>
      <c r="M875" t="s">
        <v>22</v>
      </c>
    </row>
    <row r="876" spans="1:13" x14ac:dyDescent="0.3">
      <c r="A876" t="s">
        <v>3411</v>
      </c>
      <c r="B876" t="s">
        <v>897</v>
      </c>
      <c r="C876" t="s">
        <v>40</v>
      </c>
      <c r="D876" t="s">
        <v>51</v>
      </c>
      <c r="E876" t="s">
        <v>52</v>
      </c>
      <c r="F876" t="s">
        <v>18</v>
      </c>
      <c r="G876">
        <v>45222</v>
      </c>
      <c r="H876">
        <v>45378</v>
      </c>
      <c r="I876" t="s">
        <v>3412</v>
      </c>
      <c r="J876" t="s">
        <v>3413</v>
      </c>
      <c r="K876" t="s">
        <v>90</v>
      </c>
      <c r="L876" t="s">
        <v>55</v>
      </c>
      <c r="M876" t="s">
        <v>22</v>
      </c>
    </row>
    <row r="877" spans="1:13" x14ac:dyDescent="0.3">
      <c r="A877" t="s">
        <v>3414</v>
      </c>
      <c r="B877" t="s">
        <v>3415</v>
      </c>
      <c r="C877" t="s">
        <v>76</v>
      </c>
      <c r="D877" t="s">
        <v>41</v>
      </c>
      <c r="E877" t="s">
        <v>17</v>
      </c>
      <c r="F877" t="s">
        <v>160</v>
      </c>
      <c r="G877">
        <v>45406</v>
      </c>
      <c r="H877">
        <v>45671</v>
      </c>
      <c r="I877" t="s">
        <v>3416</v>
      </c>
      <c r="J877" t="s">
        <v>1729</v>
      </c>
      <c r="K877" t="s">
        <v>37</v>
      </c>
      <c r="L877" t="s">
        <v>116</v>
      </c>
      <c r="M877" t="s">
        <v>22</v>
      </c>
    </row>
    <row r="878" spans="1:13" x14ac:dyDescent="0.3">
      <c r="A878" t="s">
        <v>3417</v>
      </c>
      <c r="B878" t="s">
        <v>3418</v>
      </c>
      <c r="C878" t="s">
        <v>15</v>
      </c>
      <c r="D878" t="s">
        <v>41</v>
      </c>
      <c r="E878" t="s">
        <v>17</v>
      </c>
      <c r="F878" t="s">
        <v>18</v>
      </c>
      <c r="G878">
        <v>44538</v>
      </c>
      <c r="H878">
        <v>44620</v>
      </c>
      <c r="I878" t="s">
        <v>3419</v>
      </c>
      <c r="J878" t="s">
        <v>3420</v>
      </c>
      <c r="K878" t="s">
        <v>90</v>
      </c>
      <c r="L878" t="s">
        <v>60</v>
      </c>
      <c r="M878" t="s">
        <v>22</v>
      </c>
    </row>
    <row r="879" spans="1:13" x14ac:dyDescent="0.3">
      <c r="A879" t="s">
        <v>3421</v>
      </c>
      <c r="B879" t="s">
        <v>3422</v>
      </c>
      <c r="C879" t="s">
        <v>76</v>
      </c>
      <c r="D879" t="s">
        <v>67</v>
      </c>
      <c r="E879" t="s">
        <v>26</v>
      </c>
      <c r="F879" t="s">
        <v>18</v>
      </c>
      <c r="G879">
        <v>44270</v>
      </c>
      <c r="H879">
        <v>45435</v>
      </c>
      <c r="I879" t="s">
        <v>3423</v>
      </c>
      <c r="J879" t="s">
        <v>3424</v>
      </c>
      <c r="K879" t="s">
        <v>29</v>
      </c>
      <c r="L879" t="s">
        <v>30</v>
      </c>
      <c r="M879" t="s">
        <v>22</v>
      </c>
    </row>
    <row r="880" spans="1:13" x14ac:dyDescent="0.3">
      <c r="A880" t="s">
        <v>3425</v>
      </c>
      <c r="B880" t="s">
        <v>3426</v>
      </c>
      <c r="C880" t="s">
        <v>33</v>
      </c>
      <c r="D880" t="s">
        <v>77</v>
      </c>
      <c r="E880" t="s">
        <v>52</v>
      </c>
      <c r="F880" t="s">
        <v>160</v>
      </c>
      <c r="G880">
        <v>44591</v>
      </c>
      <c r="H880">
        <v>44842</v>
      </c>
      <c r="I880" t="s">
        <v>3427</v>
      </c>
      <c r="J880" t="s">
        <v>3428</v>
      </c>
      <c r="K880" t="s">
        <v>29</v>
      </c>
      <c r="L880" t="s">
        <v>30</v>
      </c>
      <c r="M880" t="s">
        <v>22</v>
      </c>
    </row>
    <row r="881" spans="1:13" x14ac:dyDescent="0.3">
      <c r="A881" t="s">
        <v>3429</v>
      </c>
      <c r="B881" t="s">
        <v>3430</v>
      </c>
      <c r="C881" t="s">
        <v>15</v>
      </c>
      <c r="D881" t="s">
        <v>25</v>
      </c>
      <c r="E881" t="s">
        <v>26</v>
      </c>
      <c r="F881" t="s">
        <v>160</v>
      </c>
      <c r="G881">
        <v>44713</v>
      </c>
      <c r="H881">
        <v>44973</v>
      </c>
      <c r="I881" t="s">
        <v>3431</v>
      </c>
      <c r="J881" t="s">
        <v>3432</v>
      </c>
      <c r="K881" t="s">
        <v>21</v>
      </c>
      <c r="L881" t="s">
        <v>116</v>
      </c>
      <c r="M881" t="s">
        <v>22</v>
      </c>
    </row>
    <row r="882" spans="1:13" x14ac:dyDescent="0.3">
      <c r="A882" t="s">
        <v>3433</v>
      </c>
      <c r="B882" t="s">
        <v>3434</v>
      </c>
      <c r="C882" t="s">
        <v>76</v>
      </c>
      <c r="D882" t="s">
        <v>34</v>
      </c>
      <c r="E882" t="s">
        <v>26</v>
      </c>
      <c r="F882" t="s">
        <v>18</v>
      </c>
      <c r="G882">
        <v>43563</v>
      </c>
      <c r="H882">
        <v>43798</v>
      </c>
      <c r="I882" t="s">
        <v>3435</v>
      </c>
      <c r="J882" t="s">
        <v>3436</v>
      </c>
      <c r="K882" t="s">
        <v>90</v>
      </c>
      <c r="L882" t="s">
        <v>60</v>
      </c>
      <c r="M882" t="s">
        <v>22</v>
      </c>
    </row>
    <row r="883" spans="1:13" x14ac:dyDescent="0.3">
      <c r="A883" t="s">
        <v>3437</v>
      </c>
      <c r="B883" t="s">
        <v>3438</v>
      </c>
      <c r="C883" t="s">
        <v>40</v>
      </c>
      <c r="D883" t="s">
        <v>34</v>
      </c>
      <c r="E883" t="s">
        <v>26</v>
      </c>
      <c r="F883" t="s">
        <v>18</v>
      </c>
      <c r="G883">
        <v>44141</v>
      </c>
      <c r="H883">
        <v>44451</v>
      </c>
      <c r="I883" t="s">
        <v>3439</v>
      </c>
      <c r="J883" t="s">
        <v>3440</v>
      </c>
      <c r="K883" t="s">
        <v>90</v>
      </c>
      <c r="L883" t="s">
        <v>60</v>
      </c>
      <c r="M883" t="s">
        <v>22</v>
      </c>
    </row>
    <row r="884" spans="1:13" x14ac:dyDescent="0.3">
      <c r="A884" t="s">
        <v>3441</v>
      </c>
      <c r="B884" t="s">
        <v>3442</v>
      </c>
      <c r="C884" t="s">
        <v>46</v>
      </c>
      <c r="D884" t="s">
        <v>51</v>
      </c>
      <c r="E884" t="s">
        <v>52</v>
      </c>
      <c r="F884" t="s">
        <v>18</v>
      </c>
      <c r="G884">
        <v>45507</v>
      </c>
      <c r="H884">
        <v>45827</v>
      </c>
      <c r="I884" t="s">
        <v>3443</v>
      </c>
      <c r="J884" t="s">
        <v>3444</v>
      </c>
      <c r="K884" t="s">
        <v>37</v>
      </c>
      <c r="L884" t="s">
        <v>116</v>
      </c>
      <c r="M884" t="s">
        <v>22</v>
      </c>
    </row>
    <row r="885" spans="1:13" hidden="1" x14ac:dyDescent="0.3">
      <c r="A885" t="s">
        <v>3445</v>
      </c>
      <c r="B885" t="s">
        <v>3446</v>
      </c>
      <c r="C885" t="s">
        <v>15</v>
      </c>
      <c r="D885" t="s">
        <v>16</v>
      </c>
      <c r="E885" t="s">
        <v>17</v>
      </c>
      <c r="F885" t="s">
        <v>18</v>
      </c>
      <c r="G885">
        <v>44102</v>
      </c>
      <c r="H885">
        <v>44156</v>
      </c>
      <c r="I885" t="s">
        <v>736</v>
      </c>
      <c r="J885" t="s">
        <v>3447</v>
      </c>
      <c r="K885" t="s">
        <v>21</v>
      </c>
      <c r="L885" t="s">
        <v>116</v>
      </c>
      <c r="M885" t="s">
        <v>3735</v>
      </c>
    </row>
    <row r="886" spans="1:13" hidden="1" x14ac:dyDescent="0.3">
      <c r="A886" t="s">
        <v>3448</v>
      </c>
      <c r="B886" t="s">
        <v>3449</v>
      </c>
      <c r="C886" t="s">
        <v>76</v>
      </c>
      <c r="D886" t="s">
        <v>16</v>
      </c>
      <c r="E886" t="s">
        <v>17</v>
      </c>
      <c r="F886" t="s">
        <v>18</v>
      </c>
      <c r="G886">
        <v>44435</v>
      </c>
      <c r="H886">
        <v>44472</v>
      </c>
      <c r="I886" t="s">
        <v>3450</v>
      </c>
      <c r="J886" t="s">
        <v>3451</v>
      </c>
      <c r="K886" t="s">
        <v>90</v>
      </c>
      <c r="M886" t="s">
        <v>3735</v>
      </c>
    </row>
    <row r="887" spans="1:13" x14ac:dyDescent="0.3">
      <c r="A887" t="s">
        <v>3452</v>
      </c>
      <c r="B887" t="s">
        <v>3453</v>
      </c>
      <c r="C887" t="s">
        <v>181</v>
      </c>
      <c r="D887" t="s">
        <v>34</v>
      </c>
      <c r="E887" t="s">
        <v>26</v>
      </c>
      <c r="F887" t="s">
        <v>18</v>
      </c>
      <c r="G887">
        <v>44795</v>
      </c>
      <c r="H887">
        <v>45042</v>
      </c>
      <c r="I887" t="s">
        <v>3454</v>
      </c>
      <c r="J887" t="s">
        <v>3455</v>
      </c>
      <c r="K887" t="s">
        <v>90</v>
      </c>
      <c r="L887" t="s">
        <v>91</v>
      </c>
      <c r="M887" t="s">
        <v>22</v>
      </c>
    </row>
    <row r="888" spans="1:13" x14ac:dyDescent="0.3">
      <c r="A888" t="s">
        <v>3456</v>
      </c>
      <c r="B888" t="s">
        <v>3457</v>
      </c>
      <c r="C888" t="s">
        <v>15</v>
      </c>
      <c r="D888" t="s">
        <v>16</v>
      </c>
      <c r="E888" t="s">
        <v>17</v>
      </c>
      <c r="F888" t="s">
        <v>151</v>
      </c>
      <c r="G888">
        <v>44299</v>
      </c>
      <c r="H888">
        <v>44510</v>
      </c>
      <c r="I888" t="s">
        <v>3458</v>
      </c>
      <c r="J888" t="s">
        <v>3459</v>
      </c>
      <c r="K888" t="s">
        <v>37</v>
      </c>
      <c r="L888" t="s">
        <v>116</v>
      </c>
      <c r="M888" t="s">
        <v>22</v>
      </c>
    </row>
    <row r="889" spans="1:13" x14ac:dyDescent="0.3">
      <c r="A889" t="s">
        <v>3460</v>
      </c>
      <c r="B889" t="s">
        <v>3461</v>
      </c>
      <c r="C889" t="s">
        <v>87</v>
      </c>
      <c r="D889" t="s">
        <v>67</v>
      </c>
      <c r="E889" t="s">
        <v>26</v>
      </c>
      <c r="F889" t="s">
        <v>151</v>
      </c>
      <c r="G889">
        <v>44696</v>
      </c>
      <c r="H889">
        <v>44836</v>
      </c>
      <c r="I889" t="s">
        <v>3462</v>
      </c>
      <c r="J889" t="s">
        <v>3463</v>
      </c>
      <c r="K889" t="s">
        <v>21</v>
      </c>
      <c r="L889" t="s">
        <v>91</v>
      </c>
      <c r="M889" t="s">
        <v>22</v>
      </c>
    </row>
    <row r="890" spans="1:13" x14ac:dyDescent="0.3">
      <c r="A890" t="s">
        <v>3464</v>
      </c>
      <c r="B890" t="s">
        <v>3731</v>
      </c>
      <c r="C890" t="s">
        <v>87</v>
      </c>
      <c r="D890" t="s">
        <v>67</v>
      </c>
      <c r="E890" t="s">
        <v>26</v>
      </c>
      <c r="F890" t="s">
        <v>18</v>
      </c>
      <c r="G890">
        <v>45092</v>
      </c>
      <c r="H890">
        <v>44283</v>
      </c>
      <c r="I890" t="s">
        <v>3466</v>
      </c>
      <c r="J890" t="s">
        <v>157</v>
      </c>
      <c r="K890" t="s">
        <v>90</v>
      </c>
      <c r="L890" t="s">
        <v>91</v>
      </c>
      <c r="M890" t="s">
        <v>22</v>
      </c>
    </row>
    <row r="891" spans="1:13" x14ac:dyDescent="0.3">
      <c r="A891" t="s">
        <v>3467</v>
      </c>
      <c r="B891" t="s">
        <v>3732</v>
      </c>
      <c r="C891" t="s">
        <v>40</v>
      </c>
      <c r="D891" t="s">
        <v>51</v>
      </c>
      <c r="E891" t="s">
        <v>52</v>
      </c>
      <c r="F891" t="s">
        <v>151</v>
      </c>
      <c r="G891">
        <v>44754</v>
      </c>
      <c r="H891">
        <v>44825</v>
      </c>
      <c r="I891" t="s">
        <v>3469</v>
      </c>
      <c r="J891" t="s">
        <v>3470</v>
      </c>
      <c r="K891" t="s">
        <v>90</v>
      </c>
      <c r="L891" t="s">
        <v>55</v>
      </c>
      <c r="M891" t="s">
        <v>22</v>
      </c>
    </row>
    <row r="892" spans="1:13" x14ac:dyDescent="0.3">
      <c r="A892" t="s">
        <v>3471</v>
      </c>
      <c r="B892" t="s">
        <v>3472</v>
      </c>
      <c r="C892" t="s">
        <v>76</v>
      </c>
      <c r="D892" t="s">
        <v>16</v>
      </c>
      <c r="E892" t="s">
        <v>17</v>
      </c>
      <c r="F892" t="s">
        <v>18</v>
      </c>
      <c r="G892">
        <v>44838</v>
      </c>
      <c r="H892">
        <v>45127</v>
      </c>
      <c r="I892" t="s">
        <v>3473</v>
      </c>
      <c r="J892" t="s">
        <v>3474</v>
      </c>
      <c r="K892" t="s">
        <v>37</v>
      </c>
      <c r="L892" t="s">
        <v>55</v>
      </c>
      <c r="M892" t="s">
        <v>22</v>
      </c>
    </row>
    <row r="893" spans="1:13" x14ac:dyDescent="0.3">
      <c r="A893" t="s">
        <v>3475</v>
      </c>
      <c r="B893" t="s">
        <v>3476</v>
      </c>
      <c r="C893" t="s">
        <v>33</v>
      </c>
      <c r="D893" t="s">
        <v>51</v>
      </c>
      <c r="E893" t="s">
        <v>52</v>
      </c>
      <c r="F893" t="s">
        <v>18</v>
      </c>
      <c r="G893">
        <v>44525</v>
      </c>
      <c r="H893">
        <v>44877</v>
      </c>
      <c r="I893" t="s">
        <v>3477</v>
      </c>
      <c r="J893" t="s">
        <v>3478</v>
      </c>
      <c r="K893" t="s">
        <v>90</v>
      </c>
      <c r="L893" t="s">
        <v>30</v>
      </c>
      <c r="M893" t="s">
        <v>22</v>
      </c>
    </row>
    <row r="894" spans="1:13" hidden="1" x14ac:dyDescent="0.3">
      <c r="A894" t="s">
        <v>3479</v>
      </c>
      <c r="B894" t="s">
        <v>3480</v>
      </c>
      <c r="C894" t="s">
        <v>76</v>
      </c>
      <c r="D894" t="s">
        <v>77</v>
      </c>
      <c r="E894" t="s">
        <v>52</v>
      </c>
      <c r="F894" t="s">
        <v>18</v>
      </c>
      <c r="G894">
        <v>45022</v>
      </c>
      <c r="H894">
        <v>45190</v>
      </c>
      <c r="I894" t="s">
        <v>3481</v>
      </c>
      <c r="J894" t="s">
        <v>3482</v>
      </c>
      <c r="K894" t="s">
        <v>21</v>
      </c>
      <c r="M894" t="s">
        <v>3735</v>
      </c>
    </row>
    <row r="895" spans="1:13" x14ac:dyDescent="0.3">
      <c r="A895" t="s">
        <v>3483</v>
      </c>
      <c r="B895" t="s">
        <v>3484</v>
      </c>
      <c r="C895" t="s">
        <v>40</v>
      </c>
      <c r="D895" t="s">
        <v>25</v>
      </c>
      <c r="E895" t="s">
        <v>26</v>
      </c>
      <c r="F895" t="s">
        <v>18</v>
      </c>
      <c r="G895">
        <v>43581</v>
      </c>
      <c r="H895">
        <v>43744</v>
      </c>
      <c r="I895" t="s">
        <v>3485</v>
      </c>
      <c r="J895" t="s">
        <v>3486</v>
      </c>
      <c r="K895" t="s">
        <v>37</v>
      </c>
      <c r="L895" t="s">
        <v>55</v>
      </c>
      <c r="M895" t="s">
        <v>22</v>
      </c>
    </row>
    <row r="896" spans="1:13" x14ac:dyDescent="0.3">
      <c r="A896" t="s">
        <v>3488</v>
      </c>
      <c r="B896" t="s">
        <v>3489</v>
      </c>
      <c r="C896" t="s">
        <v>87</v>
      </c>
      <c r="D896" t="s">
        <v>25</v>
      </c>
      <c r="E896" t="s">
        <v>26</v>
      </c>
      <c r="F896" t="s">
        <v>18</v>
      </c>
      <c r="G896">
        <v>45459</v>
      </c>
      <c r="H896">
        <v>45795</v>
      </c>
      <c r="I896" t="s">
        <v>3490</v>
      </c>
      <c r="J896" t="s">
        <v>3491</v>
      </c>
      <c r="K896" t="s">
        <v>90</v>
      </c>
      <c r="L896" t="s">
        <v>55</v>
      </c>
      <c r="M896" t="s">
        <v>22</v>
      </c>
    </row>
    <row r="897" spans="1:13" x14ac:dyDescent="0.3">
      <c r="A897" t="s">
        <v>3492</v>
      </c>
      <c r="B897" t="s">
        <v>3493</v>
      </c>
      <c r="C897" t="s">
        <v>76</v>
      </c>
      <c r="D897" t="s">
        <v>25</v>
      </c>
      <c r="E897" t="s">
        <v>26</v>
      </c>
      <c r="F897" t="s">
        <v>18</v>
      </c>
      <c r="G897">
        <v>45364</v>
      </c>
      <c r="H897">
        <v>45710</v>
      </c>
      <c r="I897" t="s">
        <v>3494</v>
      </c>
      <c r="J897" t="s">
        <v>3495</v>
      </c>
      <c r="K897" t="s">
        <v>21</v>
      </c>
      <c r="L897" t="s">
        <v>91</v>
      </c>
      <c r="M897" t="s">
        <v>22</v>
      </c>
    </row>
    <row r="898" spans="1:13" x14ac:dyDescent="0.3">
      <c r="A898" t="s">
        <v>3496</v>
      </c>
      <c r="B898" t="s">
        <v>3497</v>
      </c>
      <c r="C898" t="s">
        <v>15</v>
      </c>
      <c r="D898" t="s">
        <v>67</v>
      </c>
      <c r="E898" t="s">
        <v>26</v>
      </c>
      <c r="F898" t="s">
        <v>18</v>
      </c>
      <c r="G898">
        <v>44078</v>
      </c>
      <c r="H898">
        <v>44388</v>
      </c>
      <c r="I898" t="s">
        <v>3498</v>
      </c>
      <c r="J898" t="s">
        <v>3499</v>
      </c>
      <c r="K898" t="s">
        <v>21</v>
      </c>
      <c r="L898" t="s">
        <v>91</v>
      </c>
      <c r="M898" t="s">
        <v>22</v>
      </c>
    </row>
    <row r="899" spans="1:13" x14ac:dyDescent="0.3">
      <c r="A899" t="s">
        <v>3500</v>
      </c>
      <c r="B899" t="s">
        <v>3501</v>
      </c>
      <c r="C899" t="s">
        <v>76</v>
      </c>
      <c r="D899" t="s">
        <v>34</v>
      </c>
      <c r="E899" t="s">
        <v>26</v>
      </c>
      <c r="F899" t="s">
        <v>160</v>
      </c>
      <c r="G899">
        <v>44482</v>
      </c>
      <c r="H899">
        <v>44629</v>
      </c>
      <c r="I899" t="s">
        <v>3502</v>
      </c>
      <c r="J899" t="s">
        <v>3503</v>
      </c>
      <c r="K899" t="s">
        <v>29</v>
      </c>
      <c r="L899" t="s">
        <v>60</v>
      </c>
      <c r="M899" t="s">
        <v>22</v>
      </c>
    </row>
    <row r="900" spans="1:13" x14ac:dyDescent="0.3">
      <c r="A900" t="s">
        <v>3504</v>
      </c>
      <c r="B900" t="s">
        <v>3505</v>
      </c>
      <c r="C900" t="s">
        <v>40</v>
      </c>
      <c r="D900" t="s">
        <v>77</v>
      </c>
      <c r="E900" t="s">
        <v>52</v>
      </c>
      <c r="F900" t="s">
        <v>160</v>
      </c>
      <c r="G900">
        <v>44657</v>
      </c>
      <c r="H900">
        <v>44675</v>
      </c>
      <c r="I900" t="s">
        <v>3506</v>
      </c>
      <c r="J900" t="s">
        <v>3507</v>
      </c>
      <c r="K900" t="s">
        <v>21</v>
      </c>
      <c r="L900" t="s">
        <v>91</v>
      </c>
      <c r="M900" t="s">
        <v>22</v>
      </c>
    </row>
    <row r="901" spans="1:13" x14ac:dyDescent="0.3">
      <c r="A901" t="s">
        <v>3508</v>
      </c>
      <c r="B901" t="s">
        <v>3509</v>
      </c>
      <c r="C901" t="s">
        <v>15</v>
      </c>
      <c r="D901" t="s">
        <v>67</v>
      </c>
      <c r="E901" t="s">
        <v>26</v>
      </c>
      <c r="F901" t="s">
        <v>18</v>
      </c>
      <c r="G901">
        <v>44389</v>
      </c>
      <c r="H901">
        <v>44542</v>
      </c>
      <c r="I901" t="s">
        <v>3510</v>
      </c>
      <c r="J901" t="s">
        <v>3511</v>
      </c>
      <c r="K901" t="s">
        <v>90</v>
      </c>
      <c r="L901" t="s">
        <v>91</v>
      </c>
      <c r="M901" t="s">
        <v>22</v>
      </c>
    </row>
    <row r="902" spans="1:13" x14ac:dyDescent="0.3">
      <c r="A902" t="s">
        <v>3512</v>
      </c>
      <c r="B902" t="s">
        <v>3513</v>
      </c>
      <c r="C902" t="s">
        <v>15</v>
      </c>
      <c r="D902" t="s">
        <v>25</v>
      </c>
      <c r="E902" t="s">
        <v>26</v>
      </c>
      <c r="F902" t="s">
        <v>160</v>
      </c>
      <c r="G902">
        <v>44394</v>
      </c>
      <c r="H902">
        <v>44728</v>
      </c>
      <c r="I902" t="s">
        <v>3514</v>
      </c>
      <c r="J902" t="s">
        <v>2429</v>
      </c>
      <c r="K902" t="s">
        <v>21</v>
      </c>
      <c r="L902" t="s">
        <v>60</v>
      </c>
      <c r="M902" t="s">
        <v>22</v>
      </c>
    </row>
    <row r="903" spans="1:13" x14ac:dyDescent="0.3">
      <c r="A903" t="s">
        <v>3515</v>
      </c>
      <c r="B903" t="s">
        <v>3516</v>
      </c>
      <c r="C903" t="s">
        <v>76</v>
      </c>
      <c r="D903" t="s">
        <v>51</v>
      </c>
      <c r="E903" t="s">
        <v>52</v>
      </c>
      <c r="F903" t="s">
        <v>18</v>
      </c>
      <c r="G903">
        <v>44776</v>
      </c>
      <c r="H903">
        <v>44848</v>
      </c>
      <c r="I903" t="s">
        <v>3517</v>
      </c>
      <c r="J903" t="s">
        <v>3518</v>
      </c>
      <c r="K903" t="s">
        <v>29</v>
      </c>
      <c r="L903" t="s">
        <v>30</v>
      </c>
      <c r="M903" t="s">
        <v>22</v>
      </c>
    </row>
    <row r="904" spans="1:13" x14ac:dyDescent="0.3">
      <c r="A904" t="s">
        <v>3519</v>
      </c>
      <c r="B904" t="s">
        <v>3520</v>
      </c>
      <c r="C904" t="s">
        <v>15</v>
      </c>
      <c r="D904" t="s">
        <v>34</v>
      </c>
      <c r="E904" t="s">
        <v>26</v>
      </c>
      <c r="F904" t="s">
        <v>160</v>
      </c>
      <c r="G904">
        <v>45560</v>
      </c>
      <c r="H904">
        <v>45844</v>
      </c>
      <c r="I904" t="s">
        <v>3521</v>
      </c>
      <c r="J904" t="s">
        <v>3522</v>
      </c>
      <c r="K904" t="s">
        <v>90</v>
      </c>
      <c r="L904" t="s">
        <v>60</v>
      </c>
      <c r="M904" t="s">
        <v>22</v>
      </c>
    </row>
    <row r="905" spans="1:13" x14ac:dyDescent="0.3">
      <c r="A905" t="s">
        <v>3523</v>
      </c>
      <c r="B905" t="s">
        <v>3524</v>
      </c>
      <c r="C905" t="s">
        <v>76</v>
      </c>
      <c r="D905" t="s">
        <v>34</v>
      </c>
      <c r="E905" t="s">
        <v>26</v>
      </c>
      <c r="F905" t="s">
        <v>18</v>
      </c>
      <c r="G905">
        <v>44628</v>
      </c>
      <c r="H905">
        <v>44841</v>
      </c>
      <c r="I905" t="s">
        <v>3525</v>
      </c>
      <c r="J905" t="s">
        <v>3526</v>
      </c>
      <c r="K905" t="s">
        <v>37</v>
      </c>
      <c r="L905" t="s">
        <v>55</v>
      </c>
      <c r="M905" t="s">
        <v>22</v>
      </c>
    </row>
    <row r="906" spans="1:13" x14ac:dyDescent="0.3">
      <c r="A906" t="s">
        <v>3527</v>
      </c>
      <c r="B906" t="s">
        <v>3528</v>
      </c>
      <c r="C906" t="s">
        <v>76</v>
      </c>
      <c r="D906" t="s">
        <v>25</v>
      </c>
      <c r="E906" t="s">
        <v>26</v>
      </c>
      <c r="F906" t="s">
        <v>18</v>
      </c>
      <c r="G906">
        <v>45426</v>
      </c>
      <c r="H906">
        <v>45695</v>
      </c>
      <c r="I906" t="s">
        <v>3529</v>
      </c>
      <c r="J906" t="s">
        <v>3530</v>
      </c>
      <c r="K906" t="s">
        <v>90</v>
      </c>
      <c r="L906" t="s">
        <v>55</v>
      </c>
      <c r="M906" t="s">
        <v>22</v>
      </c>
    </row>
    <row r="907" spans="1:13" x14ac:dyDescent="0.3">
      <c r="A907" t="s">
        <v>3531</v>
      </c>
      <c r="B907" t="s">
        <v>3532</v>
      </c>
      <c r="C907" t="s">
        <v>181</v>
      </c>
      <c r="D907" t="s">
        <v>67</v>
      </c>
      <c r="E907" t="s">
        <v>26</v>
      </c>
      <c r="F907" t="s">
        <v>18</v>
      </c>
      <c r="G907">
        <v>44749</v>
      </c>
      <c r="H907">
        <v>44917</v>
      </c>
      <c r="I907" t="s">
        <v>3533</v>
      </c>
      <c r="J907" t="s">
        <v>3534</v>
      </c>
      <c r="K907" t="s">
        <v>37</v>
      </c>
      <c r="L907" t="s">
        <v>30</v>
      </c>
      <c r="M907" t="s">
        <v>22</v>
      </c>
    </row>
    <row r="908" spans="1:13" x14ac:dyDescent="0.3">
      <c r="A908" t="s">
        <v>3535</v>
      </c>
      <c r="B908" t="s">
        <v>3536</v>
      </c>
      <c r="C908" t="s">
        <v>15</v>
      </c>
      <c r="D908" t="s">
        <v>77</v>
      </c>
      <c r="E908" t="s">
        <v>52</v>
      </c>
      <c r="F908" t="s">
        <v>18</v>
      </c>
      <c r="G908">
        <v>45219</v>
      </c>
      <c r="H908">
        <v>45345</v>
      </c>
      <c r="I908" t="s">
        <v>3537</v>
      </c>
      <c r="J908" t="s">
        <v>2185</v>
      </c>
      <c r="K908" t="s">
        <v>21</v>
      </c>
      <c r="L908" t="s">
        <v>91</v>
      </c>
      <c r="M908" t="s">
        <v>22</v>
      </c>
    </row>
    <row r="909" spans="1:13" x14ac:dyDescent="0.3">
      <c r="A909" t="s">
        <v>3538</v>
      </c>
      <c r="B909" t="s">
        <v>3539</v>
      </c>
      <c r="C909" t="s">
        <v>33</v>
      </c>
      <c r="D909" t="s">
        <v>67</v>
      </c>
      <c r="E909" t="s">
        <v>26</v>
      </c>
      <c r="F909" t="s">
        <v>18</v>
      </c>
      <c r="G909">
        <v>43784</v>
      </c>
      <c r="H909">
        <v>44048</v>
      </c>
      <c r="I909" t="s">
        <v>3540</v>
      </c>
      <c r="J909" t="s">
        <v>3541</v>
      </c>
      <c r="K909" t="s">
        <v>37</v>
      </c>
      <c r="L909" t="s">
        <v>91</v>
      </c>
      <c r="M909" t="s">
        <v>22</v>
      </c>
    </row>
    <row r="910" spans="1:13" x14ac:dyDescent="0.3">
      <c r="A910" t="s">
        <v>3542</v>
      </c>
      <c r="B910" t="s">
        <v>3543</v>
      </c>
      <c r="C910" t="s">
        <v>76</v>
      </c>
      <c r="D910" t="s">
        <v>51</v>
      </c>
      <c r="E910" t="s">
        <v>52</v>
      </c>
      <c r="F910" t="s">
        <v>160</v>
      </c>
      <c r="G910">
        <v>43864</v>
      </c>
      <c r="H910">
        <v>44097</v>
      </c>
      <c r="I910" t="s">
        <v>3544</v>
      </c>
      <c r="J910" t="s">
        <v>3545</v>
      </c>
      <c r="K910" t="s">
        <v>90</v>
      </c>
      <c r="L910" t="s">
        <v>60</v>
      </c>
      <c r="M910" t="s">
        <v>22</v>
      </c>
    </row>
    <row r="911" spans="1:13" hidden="1" x14ac:dyDescent="0.3">
      <c r="A911" t="s">
        <v>3546</v>
      </c>
      <c r="B911" t="s">
        <v>879</v>
      </c>
      <c r="C911" t="s">
        <v>15</v>
      </c>
      <c r="D911" t="s">
        <v>41</v>
      </c>
      <c r="E911" t="s">
        <v>17</v>
      </c>
      <c r="F911" t="s">
        <v>18</v>
      </c>
      <c r="G911">
        <v>43959</v>
      </c>
      <c r="H911">
        <v>44316</v>
      </c>
      <c r="I911" t="s">
        <v>3547</v>
      </c>
      <c r="J911" t="s">
        <v>3548</v>
      </c>
      <c r="K911" t="s">
        <v>29</v>
      </c>
      <c r="M911" t="s">
        <v>3735</v>
      </c>
    </row>
    <row r="912" spans="1:13" x14ac:dyDescent="0.3">
      <c r="A912" t="s">
        <v>3549</v>
      </c>
      <c r="B912" t="s">
        <v>3550</v>
      </c>
      <c r="C912" t="s">
        <v>40</v>
      </c>
      <c r="D912" t="s">
        <v>25</v>
      </c>
      <c r="E912" t="s">
        <v>26</v>
      </c>
      <c r="F912" t="s">
        <v>18</v>
      </c>
      <c r="G912">
        <v>45122</v>
      </c>
      <c r="H912">
        <v>45206</v>
      </c>
      <c r="I912" t="s">
        <v>3551</v>
      </c>
      <c r="J912" t="s">
        <v>3552</v>
      </c>
      <c r="K912" t="s">
        <v>90</v>
      </c>
      <c r="L912" t="s">
        <v>30</v>
      </c>
      <c r="M912" t="s">
        <v>22</v>
      </c>
    </row>
    <row r="913" spans="1:13" x14ac:dyDescent="0.3">
      <c r="A913" t="s">
        <v>3553</v>
      </c>
      <c r="B913" t="s">
        <v>3554</v>
      </c>
      <c r="C913" t="s">
        <v>76</v>
      </c>
      <c r="D913" t="s">
        <v>34</v>
      </c>
      <c r="E913" t="s">
        <v>26</v>
      </c>
      <c r="F913" t="s">
        <v>18</v>
      </c>
      <c r="G913">
        <v>45601</v>
      </c>
      <c r="H913">
        <v>45925</v>
      </c>
      <c r="I913" t="s">
        <v>3555</v>
      </c>
      <c r="J913" t="s">
        <v>3556</v>
      </c>
      <c r="K913" t="s">
        <v>37</v>
      </c>
      <c r="L913" t="s">
        <v>30</v>
      </c>
      <c r="M913" t="s">
        <v>22</v>
      </c>
    </row>
    <row r="914" spans="1:13" x14ac:dyDescent="0.3">
      <c r="A914" t="s">
        <v>3557</v>
      </c>
      <c r="B914" t="s">
        <v>3558</v>
      </c>
      <c r="C914" t="s">
        <v>87</v>
      </c>
      <c r="D914" t="s">
        <v>51</v>
      </c>
      <c r="E914" t="s">
        <v>52</v>
      </c>
      <c r="F914" t="s">
        <v>18</v>
      </c>
      <c r="G914">
        <v>45319</v>
      </c>
      <c r="H914">
        <v>45548</v>
      </c>
      <c r="I914" t="s">
        <v>3559</v>
      </c>
      <c r="J914" t="s">
        <v>3560</v>
      </c>
      <c r="K914" t="s">
        <v>90</v>
      </c>
      <c r="L914" t="s">
        <v>116</v>
      </c>
      <c r="M914" t="s">
        <v>22</v>
      </c>
    </row>
    <row r="915" spans="1:13" x14ac:dyDescent="0.3">
      <c r="A915" t="s">
        <v>3561</v>
      </c>
      <c r="B915" t="s">
        <v>3562</v>
      </c>
      <c r="C915" t="s">
        <v>15</v>
      </c>
      <c r="D915" t="s">
        <v>34</v>
      </c>
      <c r="E915" t="s">
        <v>26</v>
      </c>
      <c r="F915" t="s">
        <v>18</v>
      </c>
      <c r="G915">
        <v>44039</v>
      </c>
      <c r="H915">
        <v>44404</v>
      </c>
      <c r="I915" t="s">
        <v>3563</v>
      </c>
      <c r="J915" t="s">
        <v>3564</v>
      </c>
      <c r="K915" t="s">
        <v>37</v>
      </c>
      <c r="L915" t="s">
        <v>60</v>
      </c>
      <c r="M915" t="s">
        <v>22</v>
      </c>
    </row>
    <row r="916" spans="1:13" x14ac:dyDescent="0.3">
      <c r="A916" t="s">
        <v>3565</v>
      </c>
      <c r="B916" t="s">
        <v>3733</v>
      </c>
      <c r="C916" t="s">
        <v>76</v>
      </c>
      <c r="D916" t="s">
        <v>16</v>
      </c>
      <c r="E916" t="s">
        <v>17</v>
      </c>
      <c r="F916" t="s">
        <v>18</v>
      </c>
      <c r="G916">
        <v>43523</v>
      </c>
      <c r="H916">
        <v>43793</v>
      </c>
      <c r="I916" t="s">
        <v>3567</v>
      </c>
      <c r="J916" t="s">
        <v>3568</v>
      </c>
      <c r="K916" t="s">
        <v>29</v>
      </c>
      <c r="L916" t="s">
        <v>55</v>
      </c>
      <c r="M916" t="s">
        <v>22</v>
      </c>
    </row>
    <row r="917" spans="1:13" x14ac:dyDescent="0.3">
      <c r="A917" t="s">
        <v>3569</v>
      </c>
      <c r="B917" t="s">
        <v>3570</v>
      </c>
      <c r="C917" t="s">
        <v>87</v>
      </c>
      <c r="D917" t="s">
        <v>77</v>
      </c>
      <c r="E917" t="s">
        <v>52</v>
      </c>
      <c r="F917" t="s">
        <v>18</v>
      </c>
      <c r="G917">
        <v>44908</v>
      </c>
      <c r="H917">
        <v>44994</v>
      </c>
      <c r="I917" t="s">
        <v>3571</v>
      </c>
      <c r="J917" t="s">
        <v>3572</v>
      </c>
      <c r="K917" t="s">
        <v>21</v>
      </c>
      <c r="L917" t="s">
        <v>55</v>
      </c>
      <c r="M917" t="s">
        <v>22</v>
      </c>
    </row>
    <row r="918" spans="1:13" x14ac:dyDescent="0.3">
      <c r="A918" t="s">
        <v>3573</v>
      </c>
      <c r="B918" t="s">
        <v>3574</v>
      </c>
      <c r="C918" t="s">
        <v>15</v>
      </c>
      <c r="D918" t="s">
        <v>25</v>
      </c>
      <c r="E918" t="s">
        <v>26</v>
      </c>
      <c r="F918" t="s">
        <v>18</v>
      </c>
      <c r="G918">
        <v>43891</v>
      </c>
      <c r="H918">
        <v>44519</v>
      </c>
      <c r="I918" t="s">
        <v>3575</v>
      </c>
      <c r="J918" t="s">
        <v>3576</v>
      </c>
      <c r="K918" t="s">
        <v>21</v>
      </c>
      <c r="L918" t="s">
        <v>55</v>
      </c>
      <c r="M918" t="s">
        <v>22</v>
      </c>
    </row>
    <row r="919" spans="1:13" hidden="1" x14ac:dyDescent="0.3">
      <c r="A919" t="s">
        <v>3577</v>
      </c>
      <c r="B919" t="s">
        <v>3578</v>
      </c>
      <c r="C919" t="s">
        <v>181</v>
      </c>
      <c r="D919" t="s">
        <v>25</v>
      </c>
      <c r="E919" t="s">
        <v>26</v>
      </c>
      <c r="F919" t="s">
        <v>18</v>
      </c>
      <c r="G919">
        <v>43500</v>
      </c>
      <c r="H919">
        <v>43812</v>
      </c>
      <c r="I919" t="s">
        <v>3579</v>
      </c>
      <c r="J919" t="s">
        <v>3580</v>
      </c>
      <c r="K919" t="s">
        <v>29</v>
      </c>
      <c r="M919" t="s">
        <v>3735</v>
      </c>
    </row>
    <row r="920" spans="1:13" x14ac:dyDescent="0.3">
      <c r="A920" t="s">
        <v>3581</v>
      </c>
      <c r="B920" t="s">
        <v>3582</v>
      </c>
      <c r="C920" t="s">
        <v>87</v>
      </c>
      <c r="D920" t="s">
        <v>16</v>
      </c>
      <c r="E920" t="s">
        <v>17</v>
      </c>
      <c r="F920" t="s">
        <v>160</v>
      </c>
      <c r="G920">
        <v>44994</v>
      </c>
      <c r="H920">
        <v>44999</v>
      </c>
      <c r="I920" t="s">
        <v>3583</v>
      </c>
      <c r="J920" t="s">
        <v>3584</v>
      </c>
      <c r="K920" t="s">
        <v>90</v>
      </c>
      <c r="L920" t="s">
        <v>60</v>
      </c>
      <c r="M920" t="s">
        <v>22</v>
      </c>
    </row>
    <row r="921" spans="1:13" hidden="1" x14ac:dyDescent="0.3">
      <c r="A921" t="s">
        <v>3585</v>
      </c>
      <c r="B921" t="s">
        <v>3586</v>
      </c>
      <c r="C921" t="s">
        <v>15</v>
      </c>
      <c r="D921" t="s">
        <v>34</v>
      </c>
      <c r="E921" t="s">
        <v>26</v>
      </c>
      <c r="F921" t="s">
        <v>160</v>
      </c>
      <c r="G921">
        <v>44144</v>
      </c>
      <c r="H921">
        <v>44368</v>
      </c>
      <c r="I921" t="s">
        <v>3587</v>
      </c>
      <c r="J921" t="s">
        <v>3588</v>
      </c>
      <c r="K921" t="s">
        <v>29</v>
      </c>
      <c r="M921" t="s">
        <v>3735</v>
      </c>
    </row>
    <row r="922" spans="1:13" hidden="1" x14ac:dyDescent="0.3">
      <c r="A922" t="s">
        <v>3589</v>
      </c>
      <c r="B922" t="s">
        <v>3590</v>
      </c>
      <c r="C922" t="s">
        <v>46</v>
      </c>
      <c r="D922" t="s">
        <v>41</v>
      </c>
      <c r="E922" t="s">
        <v>17</v>
      </c>
      <c r="F922" t="s">
        <v>18</v>
      </c>
      <c r="G922">
        <v>44202</v>
      </c>
      <c r="H922">
        <v>44551</v>
      </c>
      <c r="I922" t="s">
        <v>3591</v>
      </c>
      <c r="J922" t="s">
        <v>2354</v>
      </c>
      <c r="K922" t="s">
        <v>21</v>
      </c>
      <c r="M922" t="s">
        <v>3735</v>
      </c>
    </row>
    <row r="923" spans="1:13" hidden="1" x14ac:dyDescent="0.3">
      <c r="A923" t="s">
        <v>3592</v>
      </c>
      <c r="B923" t="s">
        <v>3593</v>
      </c>
      <c r="C923" t="s">
        <v>15</v>
      </c>
      <c r="D923" t="s">
        <v>25</v>
      </c>
      <c r="E923" t="s">
        <v>26</v>
      </c>
      <c r="F923" t="s">
        <v>160</v>
      </c>
      <c r="G923">
        <v>45588</v>
      </c>
      <c r="I923" t="s">
        <v>3594</v>
      </c>
      <c r="J923" t="s">
        <v>3595</v>
      </c>
      <c r="K923" t="s">
        <v>37</v>
      </c>
      <c r="L923" t="s">
        <v>116</v>
      </c>
      <c r="M923" t="s">
        <v>3735</v>
      </c>
    </row>
    <row r="924" spans="1:13" x14ac:dyDescent="0.3">
      <c r="A924" t="s">
        <v>3596</v>
      </c>
      <c r="B924" t="s">
        <v>3597</v>
      </c>
      <c r="C924" t="s">
        <v>181</v>
      </c>
      <c r="D924" t="s">
        <v>25</v>
      </c>
      <c r="E924" t="s">
        <v>26</v>
      </c>
      <c r="F924" t="s">
        <v>18</v>
      </c>
      <c r="G924">
        <v>44942</v>
      </c>
      <c r="H924">
        <v>45302</v>
      </c>
      <c r="I924" t="s">
        <v>3598</v>
      </c>
      <c r="J924" t="s">
        <v>3599</v>
      </c>
      <c r="K924" t="s">
        <v>29</v>
      </c>
      <c r="L924" t="s">
        <v>30</v>
      </c>
      <c r="M924" t="s">
        <v>22</v>
      </c>
    </row>
    <row r="925" spans="1:13" x14ac:dyDescent="0.3">
      <c r="A925" t="s">
        <v>3600</v>
      </c>
      <c r="B925" t="s">
        <v>3601</v>
      </c>
      <c r="C925" t="s">
        <v>76</v>
      </c>
      <c r="D925" t="s">
        <v>41</v>
      </c>
      <c r="E925" t="s">
        <v>17</v>
      </c>
      <c r="F925" t="s">
        <v>18</v>
      </c>
      <c r="G925">
        <v>44616</v>
      </c>
      <c r="H925">
        <v>44800</v>
      </c>
      <c r="I925" t="s">
        <v>3602</v>
      </c>
      <c r="J925" t="s">
        <v>2501</v>
      </c>
      <c r="K925" t="s">
        <v>29</v>
      </c>
      <c r="L925" t="s">
        <v>91</v>
      </c>
      <c r="M925" t="s">
        <v>22</v>
      </c>
    </row>
    <row r="926" spans="1:13" x14ac:dyDescent="0.3">
      <c r="A926" t="s">
        <v>3603</v>
      </c>
      <c r="B926" t="s">
        <v>2905</v>
      </c>
      <c r="C926" t="s">
        <v>181</v>
      </c>
      <c r="D926" t="s">
        <v>25</v>
      </c>
      <c r="E926" t="s">
        <v>26</v>
      </c>
      <c r="F926" t="s">
        <v>18</v>
      </c>
      <c r="G926">
        <v>44316</v>
      </c>
      <c r="H926">
        <v>44668</v>
      </c>
      <c r="I926" t="s">
        <v>2906</v>
      </c>
      <c r="J926" t="s">
        <v>3604</v>
      </c>
      <c r="K926" t="s">
        <v>37</v>
      </c>
      <c r="L926" t="s">
        <v>60</v>
      </c>
      <c r="M926" t="s">
        <v>22</v>
      </c>
    </row>
    <row r="927" spans="1:13" x14ac:dyDescent="0.3">
      <c r="A927" t="s">
        <v>3605</v>
      </c>
      <c r="B927" t="s">
        <v>767</v>
      </c>
      <c r="C927" t="s">
        <v>15</v>
      </c>
      <c r="D927" t="s">
        <v>67</v>
      </c>
      <c r="E927" t="s">
        <v>26</v>
      </c>
      <c r="F927" t="s">
        <v>18</v>
      </c>
      <c r="G927">
        <v>44982</v>
      </c>
      <c r="H927">
        <v>45268</v>
      </c>
      <c r="I927" t="s">
        <v>768</v>
      </c>
      <c r="J927" t="s">
        <v>3606</v>
      </c>
      <c r="K927" t="s">
        <v>29</v>
      </c>
      <c r="L927" t="s">
        <v>116</v>
      </c>
      <c r="M927" t="s">
        <v>22</v>
      </c>
    </row>
    <row r="928" spans="1:13" x14ac:dyDescent="0.3">
      <c r="A928" t="s">
        <v>3607</v>
      </c>
      <c r="B928" t="s">
        <v>3608</v>
      </c>
      <c r="C928" t="s">
        <v>46</v>
      </c>
      <c r="D928" t="s">
        <v>41</v>
      </c>
      <c r="E928" t="s">
        <v>17</v>
      </c>
      <c r="F928" t="s">
        <v>18</v>
      </c>
      <c r="G928">
        <v>43883</v>
      </c>
      <c r="H928">
        <v>43954</v>
      </c>
      <c r="I928" t="s">
        <v>3609</v>
      </c>
      <c r="J928" t="s">
        <v>3610</v>
      </c>
      <c r="K928" t="s">
        <v>90</v>
      </c>
      <c r="L928" t="s">
        <v>55</v>
      </c>
      <c r="M928" t="s">
        <v>22</v>
      </c>
    </row>
    <row r="929" spans="1:13" hidden="1" x14ac:dyDescent="0.3">
      <c r="A929" t="s">
        <v>3611</v>
      </c>
      <c r="B929" t="s">
        <v>3612</v>
      </c>
      <c r="C929" t="s">
        <v>15</v>
      </c>
      <c r="D929" t="s">
        <v>34</v>
      </c>
      <c r="E929" t="s">
        <v>26</v>
      </c>
      <c r="F929" t="s">
        <v>18</v>
      </c>
      <c r="G929">
        <v>44692</v>
      </c>
      <c r="H929">
        <v>44878</v>
      </c>
      <c r="I929" t="s">
        <v>3613</v>
      </c>
      <c r="J929" t="s">
        <v>3614</v>
      </c>
      <c r="K929" t="s">
        <v>21</v>
      </c>
      <c r="M929" t="s">
        <v>3735</v>
      </c>
    </row>
    <row r="930" spans="1:13" x14ac:dyDescent="0.3">
      <c r="A930" t="s">
        <v>3615</v>
      </c>
      <c r="B930" t="s">
        <v>2934</v>
      </c>
      <c r="C930" t="s">
        <v>46</v>
      </c>
      <c r="D930" t="s">
        <v>41</v>
      </c>
      <c r="E930" t="s">
        <v>17</v>
      </c>
      <c r="F930" t="s">
        <v>151</v>
      </c>
      <c r="G930">
        <v>44006</v>
      </c>
      <c r="H930">
        <v>44338</v>
      </c>
      <c r="I930" t="s">
        <v>2935</v>
      </c>
      <c r="J930" t="s">
        <v>3616</v>
      </c>
      <c r="K930" t="s">
        <v>29</v>
      </c>
      <c r="L930" t="s">
        <v>60</v>
      </c>
      <c r="M930" t="s">
        <v>22</v>
      </c>
    </row>
    <row r="931" spans="1:13" x14ac:dyDescent="0.3">
      <c r="A931" t="s">
        <v>3617</v>
      </c>
      <c r="B931" t="s">
        <v>3618</v>
      </c>
      <c r="C931" t="s">
        <v>15</v>
      </c>
      <c r="D931" t="s">
        <v>77</v>
      </c>
      <c r="E931" t="s">
        <v>52</v>
      </c>
      <c r="F931" t="s">
        <v>18</v>
      </c>
      <c r="G931">
        <v>44759</v>
      </c>
      <c r="H931">
        <v>45030</v>
      </c>
      <c r="I931" t="s">
        <v>3619</v>
      </c>
      <c r="J931" t="s">
        <v>3620</v>
      </c>
      <c r="K931" t="s">
        <v>29</v>
      </c>
      <c r="L931" t="s">
        <v>30</v>
      </c>
      <c r="M931" t="s">
        <v>22</v>
      </c>
    </row>
    <row r="932" spans="1:13" x14ac:dyDescent="0.3">
      <c r="A932" t="s">
        <v>3621</v>
      </c>
      <c r="B932" t="s">
        <v>3622</v>
      </c>
      <c r="C932" t="s">
        <v>33</v>
      </c>
      <c r="D932" t="s">
        <v>41</v>
      </c>
      <c r="E932" t="s">
        <v>17</v>
      </c>
      <c r="F932" t="s">
        <v>18</v>
      </c>
      <c r="G932">
        <v>45408</v>
      </c>
      <c r="H932">
        <v>45442</v>
      </c>
      <c r="I932" t="s">
        <v>3623</v>
      </c>
      <c r="J932" t="s">
        <v>3624</v>
      </c>
      <c r="K932" t="s">
        <v>90</v>
      </c>
      <c r="L932" t="s">
        <v>30</v>
      </c>
      <c r="M932" t="s">
        <v>22</v>
      </c>
    </row>
    <row r="933" spans="1:13" hidden="1" x14ac:dyDescent="0.3">
      <c r="A933" t="s">
        <v>3625</v>
      </c>
      <c r="B933" t="s">
        <v>3626</v>
      </c>
      <c r="C933" t="s">
        <v>87</v>
      </c>
      <c r="D933" t="s">
        <v>41</v>
      </c>
      <c r="E933" t="s">
        <v>17</v>
      </c>
      <c r="F933" t="s">
        <v>160</v>
      </c>
      <c r="G933">
        <v>44264</v>
      </c>
      <c r="H933">
        <v>44530</v>
      </c>
      <c r="I933" t="s">
        <v>736</v>
      </c>
      <c r="J933" t="s">
        <v>1111</v>
      </c>
      <c r="K933" t="s">
        <v>29</v>
      </c>
      <c r="L933" t="s">
        <v>91</v>
      </c>
      <c r="M933" t="s">
        <v>3735</v>
      </c>
    </row>
    <row r="934" spans="1:13" x14ac:dyDescent="0.3">
      <c r="A934" t="s">
        <v>3627</v>
      </c>
      <c r="B934" t="s">
        <v>3628</v>
      </c>
      <c r="C934" t="s">
        <v>46</v>
      </c>
      <c r="D934" t="s">
        <v>41</v>
      </c>
      <c r="E934" t="s">
        <v>17</v>
      </c>
      <c r="F934" t="s">
        <v>151</v>
      </c>
      <c r="G934">
        <v>44592</v>
      </c>
      <c r="H934">
        <v>44697</v>
      </c>
      <c r="I934" t="s">
        <v>3629</v>
      </c>
      <c r="J934" t="s">
        <v>3630</v>
      </c>
      <c r="K934" t="s">
        <v>90</v>
      </c>
      <c r="L934" t="s">
        <v>91</v>
      </c>
      <c r="M934" t="s">
        <v>22</v>
      </c>
    </row>
    <row r="935" spans="1:13" hidden="1" x14ac:dyDescent="0.3">
      <c r="A935" t="s">
        <v>3631</v>
      </c>
      <c r="B935" t="s">
        <v>3632</v>
      </c>
      <c r="C935" t="s">
        <v>46</v>
      </c>
      <c r="D935" t="s">
        <v>51</v>
      </c>
      <c r="E935" t="s">
        <v>52</v>
      </c>
      <c r="F935" t="s">
        <v>160</v>
      </c>
      <c r="G935">
        <v>45269</v>
      </c>
      <c r="H935">
        <v>45320</v>
      </c>
      <c r="I935" t="s">
        <v>3633</v>
      </c>
      <c r="J935" t="s">
        <v>3634</v>
      </c>
      <c r="K935" t="s">
        <v>90</v>
      </c>
      <c r="M935" t="s">
        <v>3735</v>
      </c>
    </row>
    <row r="936" spans="1:13" x14ac:dyDescent="0.3">
      <c r="A936" t="s">
        <v>3635</v>
      </c>
      <c r="B936" t="s">
        <v>3636</v>
      </c>
      <c r="C936" t="s">
        <v>181</v>
      </c>
      <c r="D936" t="s">
        <v>16</v>
      </c>
      <c r="E936" t="s">
        <v>17</v>
      </c>
      <c r="F936" t="s">
        <v>18</v>
      </c>
      <c r="G936">
        <v>43718</v>
      </c>
      <c r="H936">
        <v>43795</v>
      </c>
      <c r="I936" t="s">
        <v>3637</v>
      </c>
      <c r="J936" t="s">
        <v>3638</v>
      </c>
      <c r="K936" t="s">
        <v>29</v>
      </c>
      <c r="L936" t="s">
        <v>91</v>
      </c>
      <c r="M936" t="s">
        <v>22</v>
      </c>
    </row>
    <row r="937" spans="1:13" x14ac:dyDescent="0.3">
      <c r="A937" t="s">
        <v>3639</v>
      </c>
      <c r="B937" t="s">
        <v>3640</v>
      </c>
      <c r="C937" t="s">
        <v>46</v>
      </c>
      <c r="D937" t="s">
        <v>25</v>
      </c>
      <c r="E937" t="s">
        <v>26</v>
      </c>
      <c r="F937" t="s">
        <v>160</v>
      </c>
      <c r="G937">
        <v>44183</v>
      </c>
      <c r="H937">
        <v>44423</v>
      </c>
      <c r="I937" t="s">
        <v>3641</v>
      </c>
      <c r="J937" t="s">
        <v>3162</v>
      </c>
      <c r="K937" t="s">
        <v>29</v>
      </c>
      <c r="L937" t="s">
        <v>55</v>
      </c>
      <c r="M937" t="s">
        <v>22</v>
      </c>
    </row>
    <row r="938" spans="1:13" hidden="1" x14ac:dyDescent="0.3">
      <c r="A938" t="s">
        <v>3642</v>
      </c>
      <c r="B938" t="s">
        <v>3643</v>
      </c>
      <c r="C938" t="s">
        <v>87</v>
      </c>
      <c r="D938" t="s">
        <v>25</v>
      </c>
      <c r="E938" t="s">
        <v>26</v>
      </c>
      <c r="F938" t="s">
        <v>18</v>
      </c>
      <c r="G938">
        <v>45651</v>
      </c>
      <c r="H938">
        <v>45763</v>
      </c>
      <c r="I938" t="s">
        <v>3644</v>
      </c>
      <c r="J938" t="s">
        <v>3645</v>
      </c>
      <c r="K938" t="s">
        <v>29</v>
      </c>
      <c r="M938" t="s">
        <v>3735</v>
      </c>
    </row>
    <row r="939" spans="1:13" hidden="1" x14ac:dyDescent="0.3">
      <c r="A939" t="s">
        <v>3646</v>
      </c>
      <c r="B939" t="s">
        <v>3721</v>
      </c>
      <c r="C939" t="s">
        <v>87</v>
      </c>
      <c r="D939" t="s">
        <v>51</v>
      </c>
      <c r="E939" t="s">
        <v>52</v>
      </c>
      <c r="F939" t="s">
        <v>18</v>
      </c>
      <c r="G939">
        <v>43785</v>
      </c>
      <c r="H939">
        <v>44077</v>
      </c>
      <c r="I939" t="s">
        <v>3647</v>
      </c>
      <c r="J939" t="s">
        <v>3648</v>
      </c>
      <c r="K939" t="s">
        <v>90</v>
      </c>
      <c r="L939" t="s">
        <v>55</v>
      </c>
      <c r="M939" t="s">
        <v>3735</v>
      </c>
    </row>
    <row r="940" spans="1:13" x14ac:dyDescent="0.3">
      <c r="A940" t="s">
        <v>3649</v>
      </c>
      <c r="B940" t="s">
        <v>3650</v>
      </c>
      <c r="C940" t="s">
        <v>15</v>
      </c>
      <c r="D940" t="s">
        <v>34</v>
      </c>
      <c r="E940" t="s">
        <v>26</v>
      </c>
      <c r="F940" t="s">
        <v>18</v>
      </c>
      <c r="G940">
        <v>43965</v>
      </c>
      <c r="H940">
        <v>44258</v>
      </c>
      <c r="I940" t="s">
        <v>3651</v>
      </c>
      <c r="J940" t="s">
        <v>3652</v>
      </c>
      <c r="K940" t="s">
        <v>21</v>
      </c>
      <c r="L940" t="s">
        <v>116</v>
      </c>
      <c r="M940" t="s">
        <v>22</v>
      </c>
    </row>
    <row r="941" spans="1:13" x14ac:dyDescent="0.3">
      <c r="A941" t="s">
        <v>3653</v>
      </c>
      <c r="B941" t="s">
        <v>3654</v>
      </c>
      <c r="C941" t="s">
        <v>40</v>
      </c>
      <c r="D941" t="s">
        <v>51</v>
      </c>
      <c r="E941" t="s">
        <v>52</v>
      </c>
      <c r="F941" t="s">
        <v>160</v>
      </c>
      <c r="G941">
        <v>44016</v>
      </c>
      <c r="H941">
        <v>44363</v>
      </c>
      <c r="I941" t="s">
        <v>3655</v>
      </c>
      <c r="J941" t="s">
        <v>3656</v>
      </c>
      <c r="K941" t="s">
        <v>21</v>
      </c>
      <c r="L941" t="s">
        <v>30</v>
      </c>
      <c r="M941" t="s">
        <v>22</v>
      </c>
    </row>
    <row r="942" spans="1:13" x14ac:dyDescent="0.3">
      <c r="A942" t="s">
        <v>3657</v>
      </c>
      <c r="B942" t="s">
        <v>3658</v>
      </c>
      <c r="C942" t="s">
        <v>15</v>
      </c>
      <c r="D942" t="s">
        <v>16</v>
      </c>
      <c r="E942" t="s">
        <v>17</v>
      </c>
      <c r="F942" t="s">
        <v>18</v>
      </c>
      <c r="G942">
        <v>44350</v>
      </c>
      <c r="H942">
        <v>44469</v>
      </c>
      <c r="I942" t="s">
        <v>3659</v>
      </c>
      <c r="J942" t="s">
        <v>3660</v>
      </c>
      <c r="K942" t="s">
        <v>90</v>
      </c>
      <c r="L942" t="s">
        <v>116</v>
      </c>
      <c r="M942" t="s">
        <v>22</v>
      </c>
    </row>
    <row r="943" spans="1:13" x14ac:dyDescent="0.3">
      <c r="A943" t="s">
        <v>3661</v>
      </c>
      <c r="B943" t="s">
        <v>3662</v>
      </c>
      <c r="C943" t="s">
        <v>15</v>
      </c>
      <c r="D943" t="s">
        <v>25</v>
      </c>
      <c r="E943" t="s">
        <v>26</v>
      </c>
      <c r="F943" t="s">
        <v>18</v>
      </c>
      <c r="G943">
        <v>44831</v>
      </c>
      <c r="H943">
        <v>45005</v>
      </c>
      <c r="I943" t="s">
        <v>3663</v>
      </c>
      <c r="J943" t="s">
        <v>3664</v>
      </c>
      <c r="K943" t="s">
        <v>37</v>
      </c>
      <c r="L943" t="s">
        <v>55</v>
      </c>
      <c r="M943" t="s">
        <v>22</v>
      </c>
    </row>
    <row r="944" spans="1:13" hidden="1" x14ac:dyDescent="0.3">
      <c r="A944" t="s">
        <v>3665</v>
      </c>
      <c r="B944" t="s">
        <v>3666</v>
      </c>
      <c r="C944" t="s">
        <v>40</v>
      </c>
      <c r="D944" t="s">
        <v>51</v>
      </c>
      <c r="E944" t="s">
        <v>52</v>
      </c>
      <c r="F944" t="s">
        <v>18</v>
      </c>
      <c r="G944">
        <v>45378</v>
      </c>
      <c r="H944">
        <v>45405</v>
      </c>
      <c r="I944" t="s">
        <v>3667</v>
      </c>
      <c r="J944" t="s">
        <v>3668</v>
      </c>
      <c r="K944" t="s">
        <v>21</v>
      </c>
      <c r="M944" t="s">
        <v>3735</v>
      </c>
    </row>
    <row r="945" spans="1:13" hidden="1" x14ac:dyDescent="0.3">
      <c r="A945" t="s">
        <v>3669</v>
      </c>
      <c r="B945" t="s">
        <v>3670</v>
      </c>
      <c r="C945" t="s">
        <v>46</v>
      </c>
      <c r="D945" t="s">
        <v>41</v>
      </c>
      <c r="E945" t="s">
        <v>17</v>
      </c>
      <c r="F945" t="s">
        <v>151</v>
      </c>
      <c r="G945">
        <v>43486</v>
      </c>
      <c r="H945">
        <v>43699</v>
      </c>
      <c r="I945" t="s">
        <v>3671</v>
      </c>
      <c r="J945" t="s">
        <v>3672</v>
      </c>
      <c r="K945" t="s">
        <v>21</v>
      </c>
      <c r="M945" t="s">
        <v>3735</v>
      </c>
    </row>
    <row r="946" spans="1:13" x14ac:dyDescent="0.3">
      <c r="A946" t="s">
        <v>3673</v>
      </c>
      <c r="B946" t="s">
        <v>3674</v>
      </c>
      <c r="C946" t="s">
        <v>40</v>
      </c>
      <c r="D946" t="s">
        <v>77</v>
      </c>
      <c r="E946" t="s">
        <v>52</v>
      </c>
      <c r="F946" t="s">
        <v>18</v>
      </c>
      <c r="G946">
        <v>44450</v>
      </c>
      <c r="H946">
        <v>44803</v>
      </c>
      <c r="I946" t="s">
        <v>3675</v>
      </c>
      <c r="J946" t="s">
        <v>3676</v>
      </c>
      <c r="K946" t="s">
        <v>21</v>
      </c>
      <c r="L946" t="s">
        <v>60</v>
      </c>
      <c r="M946" t="s">
        <v>22</v>
      </c>
    </row>
    <row r="947" spans="1:13" hidden="1" x14ac:dyDescent="0.3">
      <c r="A947" t="s">
        <v>3677</v>
      </c>
      <c r="B947" t="s">
        <v>3678</v>
      </c>
      <c r="C947" t="s">
        <v>15</v>
      </c>
      <c r="D947" t="s">
        <v>77</v>
      </c>
      <c r="E947" t="s">
        <v>52</v>
      </c>
      <c r="F947" t="s">
        <v>151</v>
      </c>
      <c r="G947">
        <v>44113</v>
      </c>
      <c r="H947">
        <v>44150</v>
      </c>
      <c r="I947" t="s">
        <v>3679</v>
      </c>
      <c r="J947" t="s">
        <v>3680</v>
      </c>
      <c r="K947" t="s">
        <v>29</v>
      </c>
      <c r="M947" t="s">
        <v>3735</v>
      </c>
    </row>
    <row r="948" spans="1:13" hidden="1" x14ac:dyDescent="0.3">
      <c r="A948" t="s">
        <v>3681</v>
      </c>
      <c r="B948" t="s">
        <v>3682</v>
      </c>
      <c r="C948" t="s">
        <v>40</v>
      </c>
      <c r="D948" t="s">
        <v>77</v>
      </c>
      <c r="E948" t="s">
        <v>52</v>
      </c>
      <c r="F948" t="s">
        <v>160</v>
      </c>
      <c r="G948">
        <v>44460</v>
      </c>
      <c r="I948" t="s">
        <v>3683</v>
      </c>
      <c r="J948" t="s">
        <v>3684</v>
      </c>
      <c r="K948" t="s">
        <v>21</v>
      </c>
      <c r="L948" t="s">
        <v>55</v>
      </c>
      <c r="M948" t="s">
        <v>3735</v>
      </c>
    </row>
    <row r="949" spans="1:13" hidden="1" x14ac:dyDescent="0.3">
      <c r="A949" t="s">
        <v>3685</v>
      </c>
      <c r="B949" t="s">
        <v>3686</v>
      </c>
      <c r="C949" t="s">
        <v>40</v>
      </c>
      <c r="D949" t="s">
        <v>34</v>
      </c>
      <c r="E949" t="s">
        <v>26</v>
      </c>
      <c r="F949" t="s">
        <v>151</v>
      </c>
      <c r="G949">
        <v>44133</v>
      </c>
      <c r="H949">
        <v>44206</v>
      </c>
      <c r="I949" t="s">
        <v>3687</v>
      </c>
      <c r="J949" t="s">
        <v>3688</v>
      </c>
      <c r="K949" t="s">
        <v>21</v>
      </c>
      <c r="M949" t="s">
        <v>3735</v>
      </c>
    </row>
    <row r="950" spans="1:13" x14ac:dyDescent="0.3">
      <c r="A950" t="s">
        <v>3689</v>
      </c>
      <c r="B950" t="s">
        <v>3690</v>
      </c>
      <c r="C950" t="s">
        <v>87</v>
      </c>
      <c r="D950" t="s">
        <v>16</v>
      </c>
      <c r="E950" t="s">
        <v>17</v>
      </c>
      <c r="F950" t="s">
        <v>18</v>
      </c>
      <c r="G950">
        <v>45095</v>
      </c>
      <c r="H950">
        <v>45270</v>
      </c>
      <c r="I950" t="s">
        <v>3691</v>
      </c>
      <c r="J950" t="s">
        <v>3692</v>
      </c>
      <c r="K950" t="s">
        <v>37</v>
      </c>
      <c r="L950" t="s">
        <v>55</v>
      </c>
      <c r="M950" t="s">
        <v>22</v>
      </c>
    </row>
    <row r="951" spans="1:13" x14ac:dyDescent="0.3">
      <c r="A951" t="s">
        <v>3693</v>
      </c>
      <c r="B951" t="s">
        <v>3694</v>
      </c>
      <c r="C951" t="s">
        <v>87</v>
      </c>
      <c r="D951" t="s">
        <v>34</v>
      </c>
      <c r="E951" t="s">
        <v>26</v>
      </c>
      <c r="F951" t="s">
        <v>151</v>
      </c>
      <c r="G951">
        <v>44397</v>
      </c>
      <c r="H951">
        <v>44443</v>
      </c>
      <c r="I951" t="s">
        <v>3695</v>
      </c>
      <c r="J951" t="s">
        <v>3696</v>
      </c>
      <c r="K951" t="s">
        <v>90</v>
      </c>
      <c r="L951" t="s">
        <v>30</v>
      </c>
      <c r="M951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7E93-55B8-4273-A8AB-CCA5E362B473}">
  <dimension ref="B2:H60"/>
  <sheetViews>
    <sheetView showGridLines="0" zoomScale="80" zoomScaleNormal="80" workbookViewId="0">
      <selection activeCell="L9" sqref="L9"/>
    </sheetView>
  </sheetViews>
  <sheetFormatPr defaultRowHeight="14.4" x14ac:dyDescent="0.3"/>
  <cols>
    <col min="2" max="2" width="31.5546875" customWidth="1"/>
    <col min="3" max="3" width="12.77734375" customWidth="1"/>
    <col min="4" max="4" width="29.6640625" customWidth="1"/>
    <col min="5" max="5" width="12.77734375" customWidth="1"/>
    <col min="6" max="6" width="19.88671875" customWidth="1"/>
    <col min="7" max="7" width="15.109375" customWidth="1"/>
    <col min="8" max="8" width="30.21875" customWidth="1"/>
    <col min="16" max="16" width="54.33203125" customWidth="1"/>
  </cols>
  <sheetData>
    <row r="2" spans="2:8" ht="25.8" x14ac:dyDescent="0.5">
      <c r="B2" s="32" t="s">
        <v>3764</v>
      </c>
      <c r="C2" s="32"/>
      <c r="D2" s="32"/>
      <c r="E2" s="32"/>
      <c r="F2" s="32"/>
      <c r="G2" s="32"/>
      <c r="H2" s="32"/>
    </row>
    <row r="3" spans="2:8" x14ac:dyDescent="0.3">
      <c r="B3" s="33" t="s">
        <v>3751</v>
      </c>
      <c r="C3" s="33"/>
      <c r="D3" s="33"/>
      <c r="E3" s="33"/>
      <c r="F3" s="33"/>
      <c r="G3" s="33"/>
      <c r="H3" s="33"/>
    </row>
    <row r="4" spans="2:8" x14ac:dyDescent="0.3">
      <c r="B4" s="33" t="s">
        <v>3736</v>
      </c>
      <c r="C4" s="33"/>
      <c r="D4" s="33"/>
      <c r="E4" s="33"/>
      <c r="F4" s="33"/>
      <c r="G4" s="33"/>
      <c r="H4" s="33"/>
    </row>
    <row r="5" spans="2:8" ht="22.2" customHeight="1" x14ac:dyDescent="0.3">
      <c r="B5" s="9" t="s">
        <v>3737</v>
      </c>
      <c r="C5" s="9"/>
      <c r="D5" s="9" t="s">
        <v>3738</v>
      </c>
      <c r="E5" s="10"/>
      <c r="F5" s="9" t="s">
        <v>3739</v>
      </c>
      <c r="G5" s="10"/>
      <c r="H5" s="9" t="s">
        <v>3740</v>
      </c>
    </row>
    <row r="6" spans="2:8" ht="33" customHeight="1" x14ac:dyDescent="0.3">
      <c r="B6" s="11">
        <v>1000</v>
      </c>
      <c r="C6" s="12"/>
      <c r="D6" s="11">
        <v>715</v>
      </c>
      <c r="E6" s="13"/>
      <c r="F6" s="11">
        <v>445</v>
      </c>
      <c r="G6" s="13"/>
      <c r="H6" s="14">
        <v>0.753</v>
      </c>
    </row>
    <row r="7" spans="2:8" ht="21" x14ac:dyDescent="0.4">
      <c r="B7" s="27" t="s">
        <v>3741</v>
      </c>
      <c r="C7" s="27"/>
      <c r="D7" s="27"/>
    </row>
    <row r="8" spans="2:8" ht="16.8" x14ac:dyDescent="0.35">
      <c r="B8" s="22" t="s">
        <v>3742</v>
      </c>
      <c r="C8" s="23" t="s">
        <v>3718</v>
      </c>
      <c r="D8" s="24" t="s">
        <v>5</v>
      </c>
    </row>
    <row r="9" spans="2:8" ht="16.8" x14ac:dyDescent="0.35">
      <c r="B9" s="18" t="s">
        <v>3706</v>
      </c>
      <c r="C9" s="19">
        <v>97</v>
      </c>
      <c r="D9" s="25" t="s">
        <v>3743</v>
      </c>
    </row>
    <row r="10" spans="2:8" ht="16.8" x14ac:dyDescent="0.35">
      <c r="B10" s="18" t="s">
        <v>3707</v>
      </c>
      <c r="C10" s="19">
        <v>20</v>
      </c>
      <c r="D10" s="25" t="s">
        <v>3744</v>
      </c>
    </row>
    <row r="11" spans="2:8" ht="16.8" x14ac:dyDescent="0.35">
      <c r="B11" s="18" t="s">
        <v>3708</v>
      </c>
      <c r="C11" s="19">
        <v>19</v>
      </c>
      <c r="D11" s="25" t="s">
        <v>3743</v>
      </c>
    </row>
    <row r="12" spans="2:8" ht="16.8" x14ac:dyDescent="0.35">
      <c r="B12" s="18" t="s">
        <v>3709</v>
      </c>
      <c r="C12" s="19">
        <v>25</v>
      </c>
      <c r="D12" s="25" t="s">
        <v>3743</v>
      </c>
    </row>
    <row r="13" spans="2:8" ht="16.8" x14ac:dyDescent="0.35">
      <c r="B13" s="18" t="s">
        <v>3710</v>
      </c>
      <c r="C13" s="19">
        <v>17</v>
      </c>
      <c r="D13" s="25" t="s">
        <v>3743</v>
      </c>
    </row>
    <row r="14" spans="2:8" ht="16.8" x14ac:dyDescent="0.35">
      <c r="B14" s="18" t="s">
        <v>3711</v>
      </c>
      <c r="C14" s="19">
        <v>15</v>
      </c>
      <c r="D14" s="25" t="s">
        <v>3744</v>
      </c>
    </row>
    <row r="15" spans="2:8" ht="16.8" x14ac:dyDescent="0.35">
      <c r="B15" s="18" t="s">
        <v>3712</v>
      </c>
      <c r="C15" s="19">
        <v>18</v>
      </c>
      <c r="D15" s="25" t="s">
        <v>3744</v>
      </c>
    </row>
    <row r="16" spans="2:8" ht="16.8" x14ac:dyDescent="0.35">
      <c r="B16" s="18" t="s">
        <v>3713</v>
      </c>
      <c r="C16" s="19">
        <v>20</v>
      </c>
      <c r="D16" s="25" t="s">
        <v>3744</v>
      </c>
    </row>
    <row r="17" spans="2:4" ht="16.8" x14ac:dyDescent="0.35">
      <c r="B17" s="18" t="s">
        <v>3714</v>
      </c>
      <c r="C17" s="19">
        <v>10</v>
      </c>
      <c r="D17" s="25" t="s">
        <v>3743</v>
      </c>
    </row>
    <row r="18" spans="2:4" ht="16.8" x14ac:dyDescent="0.35">
      <c r="B18" s="18" t="s">
        <v>3715</v>
      </c>
      <c r="C18" s="19">
        <v>15</v>
      </c>
      <c r="D18" s="25" t="s">
        <v>3743</v>
      </c>
    </row>
    <row r="19" spans="2:4" ht="16.8" x14ac:dyDescent="0.35">
      <c r="B19" s="18" t="s">
        <v>3716</v>
      </c>
      <c r="C19" s="19">
        <v>10</v>
      </c>
      <c r="D19" s="25" t="s">
        <v>3744</v>
      </c>
    </row>
    <row r="20" spans="2:4" ht="16.8" x14ac:dyDescent="0.35">
      <c r="B20" s="20" t="s">
        <v>3734</v>
      </c>
      <c r="C20" s="21">
        <v>179</v>
      </c>
      <c r="D20" s="26" t="s">
        <v>3744</v>
      </c>
    </row>
    <row r="21" spans="2:4" ht="16.8" x14ac:dyDescent="0.35">
      <c r="B21" s="15" t="s">
        <v>3717</v>
      </c>
      <c r="C21" s="34">
        <f>SUM(C9:C20)</f>
        <v>445</v>
      </c>
      <c r="D21" s="35"/>
    </row>
    <row r="22" spans="2:4" ht="21" x14ac:dyDescent="0.4">
      <c r="B22" s="28" t="s">
        <v>3763</v>
      </c>
      <c r="C22" s="29"/>
      <c r="D22" s="29"/>
    </row>
    <row r="23" spans="2:4" ht="24.6" customHeight="1" x14ac:dyDescent="0.3">
      <c r="B23" s="30" t="s">
        <v>3753</v>
      </c>
      <c r="C23" s="30"/>
      <c r="D23" s="17" t="s">
        <v>3754</v>
      </c>
    </row>
    <row r="24" spans="2:4" ht="28.8" customHeight="1" x14ac:dyDescent="0.3">
      <c r="B24" s="31" t="s">
        <v>3755</v>
      </c>
      <c r="C24" s="31"/>
      <c r="D24" s="16" t="s">
        <v>3756</v>
      </c>
    </row>
    <row r="25" spans="2:4" ht="28.8" customHeight="1" x14ac:dyDescent="0.3">
      <c r="B25" s="31" t="s">
        <v>3757</v>
      </c>
      <c r="C25" s="31"/>
      <c r="D25" s="16" t="s">
        <v>3756</v>
      </c>
    </row>
    <row r="26" spans="2:4" ht="28.8" customHeight="1" x14ac:dyDescent="0.3">
      <c r="B26" s="31" t="s">
        <v>3758</v>
      </c>
      <c r="C26" s="31"/>
      <c r="D26" s="16" t="s">
        <v>3759</v>
      </c>
    </row>
    <row r="27" spans="2:4" ht="25.2" customHeight="1" x14ac:dyDescent="0.3">
      <c r="B27" s="31" t="s">
        <v>3760</v>
      </c>
      <c r="C27" s="31"/>
      <c r="D27" s="16" t="s">
        <v>3759</v>
      </c>
    </row>
    <row r="28" spans="2:4" ht="28.8" customHeight="1" x14ac:dyDescent="0.3">
      <c r="B28" s="31" t="s">
        <v>3761</v>
      </c>
      <c r="C28" s="31"/>
      <c r="D28" s="16" t="s">
        <v>3762</v>
      </c>
    </row>
    <row r="54" spans="2:3" ht="21" x14ac:dyDescent="0.4">
      <c r="B54" s="27" t="s">
        <v>3752</v>
      </c>
      <c r="C54" s="27"/>
    </row>
    <row r="55" spans="2:3" x14ac:dyDescent="0.3">
      <c r="B55" t="s">
        <v>3745</v>
      </c>
      <c r="C55">
        <v>192</v>
      </c>
    </row>
    <row r="56" spans="2:3" x14ac:dyDescent="0.3">
      <c r="B56" t="s">
        <v>3746</v>
      </c>
      <c r="C56">
        <v>253</v>
      </c>
    </row>
    <row r="57" spans="2:3" x14ac:dyDescent="0.3">
      <c r="B57" t="s">
        <v>3747</v>
      </c>
      <c r="C57">
        <v>950</v>
      </c>
    </row>
    <row r="58" spans="2:3" x14ac:dyDescent="0.3">
      <c r="B58" t="s">
        <v>3748</v>
      </c>
      <c r="C58">
        <v>715</v>
      </c>
    </row>
    <row r="59" spans="2:3" x14ac:dyDescent="0.3">
      <c r="B59" t="s">
        <v>3749</v>
      </c>
      <c r="C59">
        <v>235</v>
      </c>
    </row>
    <row r="60" spans="2:3" x14ac:dyDescent="0.3">
      <c r="B60" t="s">
        <v>3750</v>
      </c>
      <c r="C60" s="8">
        <v>0.43</v>
      </c>
    </row>
  </sheetData>
  <mergeCells count="13">
    <mergeCell ref="B2:H2"/>
    <mergeCell ref="B3:H3"/>
    <mergeCell ref="B4:H4"/>
    <mergeCell ref="C21:D21"/>
    <mergeCell ref="B7:D7"/>
    <mergeCell ref="B54:C54"/>
    <mergeCell ref="B22:D22"/>
    <mergeCell ref="B23:C23"/>
    <mergeCell ref="B24:C24"/>
    <mergeCell ref="B25:C25"/>
    <mergeCell ref="B26:C26"/>
    <mergeCell ref="B27:C27"/>
    <mergeCell ref="B28:C28"/>
  </mergeCells>
  <conditionalFormatting sqref="D8:D20">
    <cfRule type="containsText" dxfId="4" priority="5" operator="containsText" text="Pending">
      <formula>NOT(ISERROR(SEARCH("Pending",D8)))</formula>
    </cfRule>
    <cfRule type="containsText" dxfId="3" priority="6" operator="containsText" text="Resolved">
      <formula>NOT(ISERROR(SEARCH("Resolved",D8)))</formula>
    </cfRule>
  </conditionalFormatting>
  <conditionalFormatting sqref="D24:D28">
    <cfRule type="containsText" dxfId="2" priority="1" operator="containsText" text="Low">
      <formula>NOT(ISERROR(SEARCH("Low",D24)))</formula>
    </cfRule>
    <cfRule type="containsText" dxfId="1" priority="2" operator="containsText" text="Medium">
      <formula>NOT(ISERROR(SEARCH("Medium",D24)))</formula>
    </cfRule>
    <cfRule type="containsText" dxfId="0" priority="3" operator="containsText" text="High">
      <formula>NOT(ISERROR(SEARCH("High",D24)))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validated_data</vt:lpstr>
      <vt:lpstr>reference_data</vt:lpstr>
      <vt:lpstr>issue_log</vt:lpstr>
      <vt:lpstr>Cleaned_Data</vt:lpstr>
      <vt:lpstr>summary_dashboard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sushma suvethan</cp:lastModifiedBy>
  <dcterms:created xsi:type="dcterms:W3CDTF">2026-05-28T11:17:26Z</dcterms:created>
  <dcterms:modified xsi:type="dcterms:W3CDTF">2026-06-04T05:31:06Z</dcterms:modified>
</cp:coreProperties>
</file>